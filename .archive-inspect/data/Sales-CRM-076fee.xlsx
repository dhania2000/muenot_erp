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Leads" sheetId="2" r:id="rId6"/>
    <sheet state="visible" name="Follow-ups" sheetId="3" r:id="rId7"/>
    <sheet state="visible" name="Companies" sheetId="4" r:id="rId8"/>
    <sheet state="visible" name="Email Sender" sheetId="5" r:id="rId9"/>
    <sheet state="visible" name="Meetings" sheetId="6" r:id="rId10"/>
    <sheet state="visible" name="Quotations" sheetId="7" r:id="rId11"/>
    <sheet state="visible" name="Contracts" sheetId="8" r:id="rId12"/>
    <sheet state="visible" name="Client Onboarding" sheetId="9" r:id="rId13"/>
    <sheet state="visible" name="Lost Deals" sheetId="10" r:id="rId14"/>
    <sheet state="visible" name="Won Deals" sheetId="11" r:id="rId15"/>
    <sheet state="visible" name="Sales KPIs" sheetId="12" r:id="rId16"/>
    <sheet state="visible" name="Revenue Forecast" sheetId="13" r:id="rId17"/>
    <sheet state="visible" name="Calc_Data" sheetId="14" r:id="rId18"/>
    <sheet state="visible" name="Email Finder" sheetId="15" r:id="rId19"/>
    <sheet state="visible" name="Settings" sheetId="16" r:id="rId20"/>
    <sheet state="visible" name="Dashboard_Data" sheetId="17" r:id="rId21"/>
  </sheets>
  <definedNames/>
  <calcPr/>
</workbook>
</file>

<file path=xl/sharedStrings.xml><?xml version="1.0" encoding="utf-8"?>
<sst xmlns="http://schemas.openxmlformats.org/spreadsheetml/2006/main" count="30858" uniqueCount="13250">
  <si>
    <t>Date</t>
  </si>
  <si>
    <t>Lead ID</t>
  </si>
  <si>
    <t>Contact Person</t>
  </si>
  <si>
    <t>Contact Number</t>
  </si>
  <si>
    <t>Email</t>
  </si>
  <si>
    <t>Designation</t>
  </si>
  <si>
    <t>Source URL (If Available)</t>
  </si>
  <si>
    <t>Lead Source</t>
  </si>
  <si>
    <t>Company Name</t>
  </si>
  <si>
    <t>Industry</t>
  </si>
  <si>
    <t>Website</t>
  </si>
  <si>
    <t>Company Email</t>
  </si>
  <si>
    <t>Country</t>
  </si>
  <si>
    <t>Company ID</t>
  </si>
  <si>
    <t>Assigned To</t>
  </si>
  <si>
    <t>Status</t>
  </si>
  <si>
    <t>Follow-up Date</t>
  </si>
  <si>
    <t>Remarks</t>
  </si>
  <si>
    <t>Action</t>
  </si>
  <si>
    <t>Entry Time</t>
  </si>
  <si>
    <t>Last Contact Date</t>
  </si>
  <si>
    <t>LinkedIn URL</t>
  </si>
  <si>
    <t>Days Since Last Contact</t>
  </si>
  <si>
    <t>Overdue?</t>
  </si>
  <si>
    <t>Days Past Due</t>
  </si>
  <si>
    <t>SLA Gap (Days)</t>
  </si>
  <si>
    <t>Next Auto Follow-Up Date</t>
  </si>
  <si>
    <t>Lead Health Score</t>
  </si>
  <si>
    <t>Company Type</t>
  </si>
  <si>
    <t>Priority</t>
  </si>
  <si>
    <t>Created By</t>
  </si>
  <si>
    <t>Founded Year</t>
  </si>
  <si>
    <t>Number of Employees</t>
  </si>
  <si>
    <t>Sandeep Kumar</t>
  </si>
  <si>
    <t>sandeep@muenot.co.in</t>
  </si>
  <si>
    <t>Director</t>
  </si>
  <si>
    <t>Harmonic</t>
  </si>
  <si>
    <t>LinkedIn</t>
  </si>
  <si>
    <t>Muenot</t>
  </si>
  <si>
    <t>https://harmonic.fun/</t>
  </si>
  <si>
    <t>Ed-Tech</t>
  </si>
  <si>
    <t>www.muenot.com</t>
  </si>
  <si>
    <t>Palo Alto, California, United States</t>
  </si>
  <si>
    <t>contact@muenot.co.in</t>
  </si>
  <si>
    <t>New</t>
  </si>
  <si>
    <t>MCLD-002</t>
  </si>
  <si>
    <t>Campus</t>
  </si>
  <si>
    <t>India</t>
  </si>
  <si>
    <t>New York, New York, United States</t>
  </si>
  <si>
    <t>MCLD-003</t>
  </si>
  <si>
    <t>Parallel Learning</t>
  </si>
  <si>
    <t>https://www.parallellearning.com</t>
  </si>
  <si>
    <t>Follow Up 2</t>
  </si>
  <si>
    <t>Proposal Sent</t>
  </si>
  <si>
    <t>MCLD-004</t>
  </si>
  <si>
    <t>Multiverse</t>
  </si>
  <si>
    <t>https://www.multiverse.io</t>
  </si>
  <si>
    <t>London, England, United Kingdom</t>
  </si>
  <si>
    <t>MCLD-005</t>
  </si>
  <si>
    <t>D2L</t>
  </si>
  <si>
    <t>https://www.d2l.com</t>
  </si>
  <si>
    <t>Kitchener, Ontario, Canada</t>
  </si>
  <si>
    <t>MCLD-006</t>
  </si>
  <si>
    <t>Upwards</t>
  </si>
  <si>
    <t>https://www.upwards.net</t>
  </si>
  <si>
    <t>Los Angeles, California, United States</t>
  </si>
  <si>
    <t>MCLD-007</t>
  </si>
  <si>
    <t>ClassDojo</t>
  </si>
  <si>
    <t>https://www.classdojo.com</t>
  </si>
  <si>
    <t>San Francisco, California, United States</t>
  </si>
  <si>
    <t>MCLD-008</t>
  </si>
  <si>
    <t>Flint</t>
  </si>
  <si>
    <t>https://www.flintapp.org</t>
  </si>
  <si>
    <t>MCLD-009</t>
  </si>
  <si>
    <t>Oboe</t>
  </si>
  <si>
    <t>https://oboe.education</t>
  </si>
  <si>
    <t>New City, New York, United States</t>
  </si>
  <si>
    <t>MCLD-010</t>
  </si>
  <si>
    <t>Maven</t>
  </si>
  <si>
    <t>https://www.maven.com</t>
  </si>
  <si>
    <t>Austin, Texas, United States</t>
  </si>
  <si>
    <t>MCLD-011</t>
  </si>
  <si>
    <t>Coursera</t>
  </si>
  <si>
    <t>https://www.coursera.org</t>
  </si>
  <si>
    <t>Mountain View, California, United States</t>
  </si>
  <si>
    <t>MCLD-012</t>
  </si>
  <si>
    <t>Kiddom</t>
  </si>
  <si>
    <t>https://www.kiddom.co</t>
  </si>
  <si>
    <t>MCLD-013</t>
  </si>
  <si>
    <t>Simplilearn</t>
  </si>
  <si>
    <t>https://www.simplilearn.com</t>
  </si>
  <si>
    <t>MCLD-014</t>
  </si>
  <si>
    <t>BoodleBox</t>
  </si>
  <si>
    <t>https://boodlebox.com</t>
  </si>
  <si>
    <t>Colorado Springs, Colorado, United States</t>
  </si>
  <si>
    <t>MCLD-015</t>
  </si>
  <si>
    <t>Pathify</t>
  </si>
  <si>
    <t>https://www.pathify.com</t>
  </si>
  <si>
    <t>Denver, Colorado, United States</t>
  </si>
  <si>
    <t>MCLD-016</t>
  </si>
  <si>
    <t>Yoto</t>
  </si>
  <si>
    <t>https://www.yoto.com</t>
  </si>
  <si>
    <t>MCLD-017</t>
  </si>
  <si>
    <t>Genius Group</t>
  </si>
  <si>
    <t>https://www.geniusgroup.net</t>
  </si>
  <si>
    <t>MLD-029</t>
  </si>
  <si>
    <t>Reena Shah</t>
  </si>
  <si>
    <t>NA</t>
  </si>
  <si>
    <t>reena.shah@hurix.com</t>
  </si>
  <si>
    <t>Vice President Delivery</t>
  </si>
  <si>
    <t>HurixDigital</t>
  </si>
  <si>
    <t>Singapore, Central Region, Singapore</t>
  </si>
  <si>
    <t>Follow Up 1</t>
  </si>
  <si>
    <t>MCLD-018</t>
  </si>
  <si>
    <t>Kajabi</t>
  </si>
  <si>
    <t>https://kajabi.com</t>
  </si>
  <si>
    <t>MLD-134</t>
  </si>
  <si>
    <t>Rachel Decker</t>
  </si>
  <si>
    <t>Irvine, California, United States</t>
  </si>
  <si>
    <t>-1 days ago</t>
  </si>
  <si>
    <t>MCLD-019</t>
  </si>
  <si>
    <t>Classover</t>
  </si>
  <si>
    <t>https://classover.com</t>
  </si>
  <si>
    <t>MCLD-020</t>
  </si>
  <si>
    <t>AMBOSS</t>
  </si>
  <si>
    <t>https://www.amboss.com</t>
  </si>
  <si>
    <t>MLD-002</t>
  </si>
  <si>
    <t>Berlin, Berlin, Germany</t>
  </si>
  <si>
    <t>Ashutosh Garg</t>
  </si>
  <si>
    <t>ashutosh@zeuslearning.com</t>
  </si>
  <si>
    <t>MCLD-021</t>
  </si>
  <si>
    <t>Shape Robotics</t>
  </si>
  <si>
    <t>https://shaperobotics.com</t>
  </si>
  <si>
    <t>Zeus Learning</t>
  </si>
  <si>
    <t>Farum, Hovedstaden, Denmark</t>
  </si>
  <si>
    <t>MCLD-022</t>
  </si>
  <si>
    <t>Education Cannot Wait</t>
  </si>
  <si>
    <t>https://www.educationcannotwait.org</t>
  </si>
  <si>
    <t>7 days ago</t>
  </si>
  <si>
    <t>MLD-003</t>
  </si>
  <si>
    <t>Atul Gupta</t>
  </si>
  <si>
    <t>Atul.Gupta@mheducation.com</t>
  </si>
  <si>
    <t>MCLD-023</t>
  </si>
  <si>
    <t>McGraw-Hill Education</t>
  </si>
  <si>
    <t>Codeyoung</t>
  </si>
  <si>
    <t>https://www.codeyoung.com</t>
  </si>
  <si>
    <t>United States</t>
  </si>
  <si>
    <t>In Discussion</t>
  </si>
  <si>
    <t>Bengaluru, Karnataka, India</t>
  </si>
  <si>
    <t>MLD-004</t>
  </si>
  <si>
    <t>Bhavik Rathod</t>
  </si>
  <si>
    <t>bhavik.rathod@scale.com</t>
  </si>
  <si>
    <t>VP | General Manager (Regional Head), India</t>
  </si>
  <si>
    <t>MCLD-024</t>
  </si>
  <si>
    <t>360Learning</t>
  </si>
  <si>
    <t>Scale AI</t>
  </si>
  <si>
    <t>https://360learning.com</t>
  </si>
  <si>
    <t>AI Solutions</t>
  </si>
  <si>
    <t>Ready</t>
  </si>
  <si>
    <t>6 days ago</t>
  </si>
  <si>
    <t>MLD-005</t>
  </si>
  <si>
    <t>Manana NA</t>
  </si>
  <si>
    <t>manana.hakobyan@scale.com</t>
  </si>
  <si>
    <t>Strategic Projects Lead, Gen AI</t>
  </si>
  <si>
    <t>MCLD-025</t>
  </si>
  <si>
    <t>LingoAce</t>
  </si>
  <si>
    <t>https://www.lingoace.com</t>
  </si>
  <si>
    <t>MLD-006</t>
  </si>
  <si>
    <t>Alex tang</t>
  </si>
  <si>
    <t>atang@scale.com</t>
  </si>
  <si>
    <t>Head of Gen AI Operations</t>
  </si>
  <si>
    <t>MCLD-026</t>
  </si>
  <si>
    <t>Platzi</t>
  </si>
  <si>
    <t>https://platzi.com</t>
  </si>
  <si>
    <t/>
  </si>
  <si>
    <t>MLD-007</t>
  </si>
  <si>
    <t>Amaya Neely</t>
  </si>
  <si>
    <t>MCLD-027</t>
  </si>
  <si>
    <t>PowerSchool</t>
  </si>
  <si>
    <t>amaya.neely@scale.com</t>
  </si>
  <si>
    <t>Strategic Projects Lead - Generative AI</t>
  </si>
  <si>
    <t>https://www.powerschool.com</t>
  </si>
  <si>
    <t>MLD-008</t>
  </si>
  <si>
    <t>Saeed Arafeh</t>
  </si>
  <si>
    <t>Folsom, California, United States</t>
  </si>
  <si>
    <t>saeed.arafeh@scale.com</t>
  </si>
  <si>
    <t>SVP,Operations</t>
  </si>
  <si>
    <t>MCLD-028</t>
  </si>
  <si>
    <t>EdSights</t>
  </si>
  <si>
    <t>https://edsights.com</t>
  </si>
  <si>
    <t>MLD-009</t>
  </si>
  <si>
    <t>Hunter Morales</t>
  </si>
  <si>
    <t>hunter.morales@scale.com</t>
  </si>
  <si>
    <t>Head of Ops, GenAI</t>
  </si>
  <si>
    <t>MLD-010</t>
  </si>
  <si>
    <t>Robert Welch</t>
  </si>
  <si>
    <t>robert.welch@scale.com</t>
  </si>
  <si>
    <t>Operations Manager</t>
  </si>
  <si>
    <t>MCLD-029</t>
  </si>
  <si>
    <t>https://www.mheducation.com</t>
  </si>
  <si>
    <t>MLD-011</t>
  </si>
  <si>
    <t>Jesse Shemen</t>
  </si>
  <si>
    <t>jesse.shemen@scale.com</t>
  </si>
  <si>
    <t>UK Lead</t>
  </si>
  <si>
    <t>MLD-012</t>
  </si>
  <si>
    <t>Daniel Evans</t>
  </si>
  <si>
    <t>daniel.evans@scale.com</t>
  </si>
  <si>
    <t>Director of Delivery, Generative AI (Audio / Multimodal)</t>
  </si>
  <si>
    <t>MLD-013</t>
  </si>
  <si>
    <t>Stephani Brito</t>
  </si>
  <si>
    <t>stephani.brito@scale.com</t>
  </si>
  <si>
    <t>Gen AI, Contractor Ops Lead</t>
  </si>
  <si>
    <t>MCLD-030</t>
  </si>
  <si>
    <t>Outschool</t>
  </si>
  <si>
    <t>https://outschool.com</t>
  </si>
  <si>
    <t>MLD-014</t>
  </si>
  <si>
    <t>Jad Faraj</t>
  </si>
  <si>
    <t>jad.faraj@scale.com</t>
  </si>
  <si>
    <t>Director of Operations</t>
  </si>
  <si>
    <t>MLD-015</t>
  </si>
  <si>
    <t>shital kamble</t>
  </si>
  <si>
    <t>shital.kamble@telusdigital.com</t>
  </si>
  <si>
    <t>Sourcing Lead</t>
  </si>
  <si>
    <t>Telus Digital</t>
  </si>
  <si>
    <t>MCLD-031</t>
  </si>
  <si>
    <t>MagicSchool AI</t>
  </si>
  <si>
    <t>https://www.magicschool.ai</t>
  </si>
  <si>
    <t>MLD-016</t>
  </si>
  <si>
    <t>Akarsh Anind</t>
  </si>
  <si>
    <t>akarsh.anind@telusdigital.com</t>
  </si>
  <si>
    <t>Senior Manager Solutions Development</t>
  </si>
  <si>
    <t>MLD-017</t>
  </si>
  <si>
    <t>ShivPujan Yadav</t>
  </si>
  <si>
    <t>shivpujan.yadav@telusdigital.com</t>
  </si>
  <si>
    <t>Sr Project Manager</t>
  </si>
  <si>
    <t>MLD-018</t>
  </si>
  <si>
    <t>Shivani Khandagale</t>
  </si>
  <si>
    <t>shivani.khandagale@telusdigital.com</t>
  </si>
  <si>
    <t>Project Coordinator</t>
  </si>
  <si>
    <t>MCLD-032</t>
  </si>
  <si>
    <t>Imperial College London</t>
  </si>
  <si>
    <t>https://www.imperial.ac.uk</t>
  </si>
  <si>
    <t>MLD-019</t>
  </si>
  <si>
    <t>Sonali Patil</t>
  </si>
  <si>
    <t>sonali.patil@telusdigital.com</t>
  </si>
  <si>
    <t>MLD-020</t>
  </si>
  <si>
    <t>Chhaya Reddy</t>
  </si>
  <si>
    <t>chhaya.reddy@telusdigital.com</t>
  </si>
  <si>
    <t>Sr Project Coordinator</t>
  </si>
  <si>
    <t>MLD-021</t>
  </si>
  <si>
    <t>Claire Dingley</t>
  </si>
  <si>
    <t>claire.dingley@telusdigital.com</t>
  </si>
  <si>
    <t>VP Operations</t>
  </si>
  <si>
    <t>MCLD-033</t>
  </si>
  <si>
    <t>Ori Technologies</t>
  </si>
  <si>
    <t>https://oritechnologies.com</t>
  </si>
  <si>
    <t>MLD-022</t>
  </si>
  <si>
    <t>Atsuro Sato</t>
  </si>
  <si>
    <t>atsuro.sato@telusdigital.com</t>
  </si>
  <si>
    <t>Operations Manager (Head of Japan Project Management Team)</t>
  </si>
  <si>
    <t>Edam, Saskatchewan, Canada</t>
  </si>
  <si>
    <t>MLD-023</t>
  </si>
  <si>
    <t>Margaret McGinty</t>
  </si>
  <si>
    <t>margaret.mcginty@telusdigital.com</t>
  </si>
  <si>
    <t>MCLD-034</t>
  </si>
  <si>
    <t>Senior Director AI Operations</t>
  </si>
  <si>
    <t>Springboard</t>
  </si>
  <si>
    <t>https://www.springboard.com</t>
  </si>
  <si>
    <t>MLD-024</t>
  </si>
  <si>
    <t>Yvon Descieux</t>
  </si>
  <si>
    <t>yvon.descieux@telusdigital.com</t>
  </si>
  <si>
    <t>AI Project Manager</t>
  </si>
  <si>
    <t>MCLD-035</t>
  </si>
  <si>
    <t>ROYBI</t>
  </si>
  <si>
    <t>https://www.roybi.com</t>
  </si>
  <si>
    <t>MLD-025</t>
  </si>
  <si>
    <t>Jyotiranjan Nayal</t>
  </si>
  <si>
    <t>jnayak@academian.com</t>
  </si>
  <si>
    <t>Academian Inc</t>
  </si>
  <si>
    <t>San Jose, California, United States</t>
  </si>
  <si>
    <t>MLD-026</t>
  </si>
  <si>
    <t>Majeed Ansari</t>
  </si>
  <si>
    <t>majeed.a@amnet.com</t>
  </si>
  <si>
    <t>Manager Operations</t>
  </si>
  <si>
    <t>amnet</t>
  </si>
  <si>
    <t>MCLD-036</t>
  </si>
  <si>
    <t>Ola</t>
  </si>
  <si>
    <t>https://www.olacabs.com</t>
  </si>
  <si>
    <t>MLD-027</t>
  </si>
  <si>
    <t>Simon Samuel</t>
  </si>
  <si>
    <t>simon.samuel@amnet.com</t>
  </si>
  <si>
    <t>Vendor Manager</t>
  </si>
  <si>
    <t>MCLD-037</t>
  </si>
  <si>
    <t>Elevate K-12</t>
  </si>
  <si>
    <t>https://www.elevatek12.com</t>
  </si>
  <si>
    <t>MLD-028</t>
  </si>
  <si>
    <t>Esabella Powar</t>
  </si>
  <si>
    <t>esabella.powar@amnet.com</t>
  </si>
  <si>
    <t>Senior Manager Operations</t>
  </si>
  <si>
    <t>Chicago, Illinois, United States</t>
  </si>
  <si>
    <t>Anuj Mishra</t>
  </si>
  <si>
    <t>86055 21578</t>
  </si>
  <si>
    <t>anuj.mishra@hurix.com</t>
  </si>
  <si>
    <t>Director, Projects</t>
  </si>
  <si>
    <t>MCLD-038</t>
  </si>
  <si>
    <t>Subject</t>
  </si>
  <si>
    <t>https://subject.com</t>
  </si>
  <si>
    <t>Beverly Hills, California, United States</t>
  </si>
  <si>
    <t>MLD-030</t>
  </si>
  <si>
    <t>Ravishankar C</t>
  </si>
  <si>
    <t>ravishankar.c@hurix.com</t>
  </si>
  <si>
    <t>Senior VP Delivery &amp; Operations</t>
  </si>
  <si>
    <t>MCLD-039</t>
  </si>
  <si>
    <t>Udemy</t>
  </si>
  <si>
    <t>https://www.udemy.com</t>
  </si>
  <si>
    <t>MLD-031</t>
  </si>
  <si>
    <t>Muthuraman N</t>
  </si>
  <si>
    <t>74015 67206</t>
  </si>
  <si>
    <t>muthuraman.n@hurix.com</t>
  </si>
  <si>
    <t>Senior Director</t>
  </si>
  <si>
    <t>MLD-032</t>
  </si>
  <si>
    <t>Nishma Dodhia</t>
  </si>
  <si>
    <t>98207 03700</t>
  </si>
  <si>
    <t>nishma.dodhia@hurix.com</t>
  </si>
  <si>
    <t>Associate Director- Instructional Design</t>
  </si>
  <si>
    <t>MCLD-040</t>
  </si>
  <si>
    <t>MasterClass</t>
  </si>
  <si>
    <t>https://www.masterclass.com</t>
  </si>
  <si>
    <t>MLD-033</t>
  </si>
  <si>
    <t>Jivitha Crasta</t>
  </si>
  <si>
    <t>84089 36737</t>
  </si>
  <si>
    <t>jivitha.crasta@hurix.com</t>
  </si>
  <si>
    <t>Senior Director- Instructional Design</t>
  </si>
  <si>
    <t>MLD-034</t>
  </si>
  <si>
    <t>Lyonel Mascarenhas</t>
  </si>
  <si>
    <t>80077 54324</t>
  </si>
  <si>
    <t>lyonel.mascarenhas@hurix.com</t>
  </si>
  <si>
    <t>Associate Director - Instructional Design</t>
  </si>
  <si>
    <t>MLD-035</t>
  </si>
  <si>
    <t>Meena Hari</t>
  </si>
  <si>
    <t>meena.hari@hurix.com</t>
  </si>
  <si>
    <t>Associate Director</t>
  </si>
  <si>
    <t>MCLD-041</t>
  </si>
  <si>
    <t>Uplimit</t>
  </si>
  <si>
    <t>https://www.uplimitlearning.com</t>
  </si>
  <si>
    <t>MLD-036</t>
  </si>
  <si>
    <t>Srikanth Balguri</t>
  </si>
  <si>
    <t>srikanth.balguri@hurix.com</t>
  </si>
  <si>
    <t>Director - Instructional Designer</t>
  </si>
  <si>
    <t>MLD-037</t>
  </si>
  <si>
    <t>John (he/him)</t>
  </si>
  <si>
    <t>1-206-854-5054</t>
  </si>
  <si>
    <t>john.holdcroft@hurix.com</t>
  </si>
  <si>
    <t>Senior Vice President</t>
  </si>
  <si>
    <t>MCLD-042</t>
  </si>
  <si>
    <t>Cathoven</t>
  </si>
  <si>
    <t>https://cathoven.com</t>
  </si>
  <si>
    <t>MLD-038</t>
  </si>
  <si>
    <t>Lalu Krishnan</t>
  </si>
  <si>
    <t>99878 54524</t>
  </si>
  <si>
    <t>lalu.krishnan@hurix.com</t>
  </si>
  <si>
    <t>Executive Vice President - Operations and Delivery</t>
  </si>
  <si>
    <t>MCLD-043</t>
  </si>
  <si>
    <t>Knack</t>
  </si>
  <si>
    <t>https://www.knackapp.com</t>
  </si>
  <si>
    <t>MLD-039</t>
  </si>
  <si>
    <t>Yogesh Hankare</t>
  </si>
  <si>
    <t>98193 41525</t>
  </si>
  <si>
    <t>yogesh.hankare@hurix.com</t>
  </si>
  <si>
    <t>Director â€“ Projects</t>
  </si>
  <si>
    <t>Miami, Florida, United States</t>
  </si>
  <si>
    <t>MLD-040</t>
  </si>
  <si>
    <t>Nitin Sharma</t>
  </si>
  <si>
    <t>99304 45688</t>
  </si>
  <si>
    <t>nitin.sharma@hurix.com</t>
  </si>
  <si>
    <t>MCLD-044</t>
  </si>
  <si>
    <t>Common Sense Media</t>
  </si>
  <si>
    <t>https://www.commonsensemedia.org</t>
  </si>
  <si>
    <t>MLD-041</t>
  </si>
  <si>
    <t>Lema Fernandez</t>
  </si>
  <si>
    <t>lema.fernandez@hurix.com</t>
  </si>
  <si>
    <t>Associate Vice President</t>
  </si>
  <si>
    <t>MCLD-045</t>
  </si>
  <si>
    <t>twenty</t>
  </si>
  <si>
    <t>https://www.twenty.com</t>
  </si>
  <si>
    <t>MLD-042</t>
  </si>
  <si>
    <t>Paramita Sengupta</t>
  </si>
  <si>
    <t>98363 03036</t>
  </si>
  <si>
    <t>paramita.sengupta@hurix.com</t>
  </si>
  <si>
    <t>MCLD-046</t>
  </si>
  <si>
    <t>Swing Education</t>
  </si>
  <si>
    <t>https://swingeducation.com</t>
  </si>
  <si>
    <t>MLD-043</t>
  </si>
  <si>
    <t>Bharat Botle</t>
  </si>
  <si>
    <t>bharat.botle@hurix.com</t>
  </si>
  <si>
    <t>Senior Project Manager</t>
  </si>
  <si>
    <t>San Mateo, California, United States</t>
  </si>
  <si>
    <t>MCLD-047</t>
  </si>
  <si>
    <t>Seekho</t>
  </si>
  <si>
    <t>https://seekho.ai</t>
  </si>
  <si>
    <t>MLD-044</t>
  </si>
  <si>
    <t>Jayaprakash Prabhakaran</t>
  </si>
  <si>
    <t>jayaprakash.p@hurix.com</t>
  </si>
  <si>
    <t>Project Manager</t>
  </si>
  <si>
    <t>Bangalore, Karnataka, India</t>
  </si>
  <si>
    <t>MCLD-048</t>
  </si>
  <si>
    <t>Bhanzu</t>
  </si>
  <si>
    <t>https://bhanzu.com</t>
  </si>
  <si>
    <t>MLD-045</t>
  </si>
  <si>
    <t>Rajasmita Nayak</t>
  </si>
  <si>
    <t>rajasmita.nayak@hurix.com</t>
  </si>
  <si>
    <t>Manager - Instructional Design</t>
  </si>
  <si>
    <t>Hyderabad, Andhra Pradesh, India</t>
  </si>
  <si>
    <t>MCLD-049</t>
  </si>
  <si>
    <t>Quizlet</t>
  </si>
  <si>
    <t>https://quizlet.com</t>
  </si>
  <si>
    <t>MLD-046</t>
  </si>
  <si>
    <t>Ankita Sharma</t>
  </si>
  <si>
    <t>98103 34561</t>
  </si>
  <si>
    <t>ankita.sharma@hurix.com</t>
  </si>
  <si>
    <t>MLD-047</t>
  </si>
  <si>
    <t>Ramganesh Bhaskaran</t>
  </si>
  <si>
    <t>MCLD-050</t>
  </si>
  <si>
    <t>ZENSAI</t>
  </si>
  <si>
    <t>ramganesh.bhaskaran@hurix.com</t>
  </si>
  <si>
    <t>https://zensai.com</t>
  </si>
  <si>
    <t>Sr. Project Manager</t>
  </si>
  <si>
    <t>Ãƒrhus, Midtjylland, Denmark</t>
  </si>
  <si>
    <t>MLD-048</t>
  </si>
  <si>
    <t>MCLD-051</t>
  </si>
  <si>
    <t>Khushbu Pandey</t>
  </si>
  <si>
    <t>Newsela</t>
  </si>
  <si>
    <t>https://newsela.com</t>
  </si>
  <si>
    <t>khushbu.pandey@hurix.com</t>
  </si>
  <si>
    <t>MLD-049</t>
  </si>
  <si>
    <t>Girish Kajrolkar</t>
  </si>
  <si>
    <t>MCLD-052</t>
  </si>
  <si>
    <t>Guild</t>
  </si>
  <si>
    <t>98201 42582</t>
  </si>
  <si>
    <t>girish.kajrolkar@hurix.com</t>
  </si>
  <si>
    <t>https://www.guild.com</t>
  </si>
  <si>
    <t>Senior Project Director</t>
  </si>
  <si>
    <t>MLD-050</t>
  </si>
  <si>
    <t>Akanksha Chopra</t>
  </si>
  <si>
    <t>akanksha.chopra@hurix.com</t>
  </si>
  <si>
    <t>MCLD-053</t>
  </si>
  <si>
    <t>Campusknot</t>
  </si>
  <si>
    <t>https://campusknot.com</t>
  </si>
  <si>
    <t>Starkville, Mississippi, United States</t>
  </si>
  <si>
    <t>MLD-051</t>
  </si>
  <si>
    <t>Meghana Chitnis</t>
  </si>
  <si>
    <t>MCLD-054</t>
  </si>
  <si>
    <t>BoldVoice</t>
  </si>
  <si>
    <t>https://www.boldvoice.com</t>
  </si>
  <si>
    <t>meghana.chitnis@hurix.com</t>
  </si>
  <si>
    <t>Associate Directorâ€”Instructional Design</t>
  </si>
  <si>
    <t>MCLD-055</t>
  </si>
  <si>
    <t>Physics Wallah</t>
  </si>
  <si>
    <t>MLD-052</t>
  </si>
  <si>
    <t>https://www.pw.live</t>
  </si>
  <si>
    <t>Annashanti Nadar</t>
  </si>
  <si>
    <t>annashanti.nadar@hurix.com</t>
  </si>
  <si>
    <t>Senior Program Manager</t>
  </si>
  <si>
    <t>Noida, Uttar Pradesh, India</t>
  </si>
  <si>
    <t>MCLD-056</t>
  </si>
  <si>
    <t>Echo360</t>
  </si>
  <si>
    <t>https://echo360.com</t>
  </si>
  <si>
    <t>MLD-053</t>
  </si>
  <si>
    <t>Praggya Poddar</t>
  </si>
  <si>
    <t>praggya.poddar@hurix.com</t>
  </si>
  <si>
    <t>Associate Manager - Instructional Design</t>
  </si>
  <si>
    <t>Dulles, Virginia, United States</t>
  </si>
  <si>
    <t>MCLD-057</t>
  </si>
  <si>
    <t>CreditRich AI</t>
  </si>
  <si>
    <t>https://creditrich.ai</t>
  </si>
  <si>
    <t>MLD-054</t>
  </si>
  <si>
    <t>Ashish Parasar</t>
  </si>
  <si>
    <t>ashish.parasar@hurix.com</t>
  </si>
  <si>
    <t>Senior Manager - Delivery</t>
  </si>
  <si>
    <t>Washington, District of Columbia, United States</t>
  </si>
  <si>
    <t>MLD-055</t>
  </si>
  <si>
    <t>Gomathinayagi Durairaj</t>
  </si>
  <si>
    <t>MCLD-058</t>
  </si>
  <si>
    <t>VisionSys AI</t>
  </si>
  <si>
    <t>gomathinayagi.durairaj@hurix.com</t>
  </si>
  <si>
    <t>https://visionsys.ai</t>
  </si>
  <si>
    <t>Delivery Manager</t>
  </si>
  <si>
    <t>Beijing, Beijing, China</t>
  </si>
  <si>
    <t>MLD-056</t>
  </si>
  <si>
    <t>Tanmay Aire</t>
  </si>
  <si>
    <t>tanmay.aire@hurix.com</t>
  </si>
  <si>
    <t>Associate Project Manager</t>
  </si>
  <si>
    <t>MCLD-059</t>
  </si>
  <si>
    <t>Cybrary</t>
  </si>
  <si>
    <t>https://www.cybrary.it</t>
  </si>
  <si>
    <t>Riverdale, Maryland, United States</t>
  </si>
  <si>
    <t>MLD-057</t>
  </si>
  <si>
    <t>Mohit Hassija</t>
  </si>
  <si>
    <t>mohit.hassija@hurix.com</t>
  </si>
  <si>
    <t>MCLD-060</t>
  </si>
  <si>
    <t>WerQ AI</t>
  </si>
  <si>
    <t>https://werq.ai</t>
  </si>
  <si>
    <t>MLD-058</t>
  </si>
  <si>
    <t>Uttara Joshi</t>
  </si>
  <si>
    <t>77094 25165</t>
  </si>
  <si>
    <t>uttara.joshi@hurix.com</t>
  </si>
  <si>
    <t>MCLD-061</t>
  </si>
  <si>
    <t>Gebeya</t>
  </si>
  <si>
    <t>https://www.gebeya.com</t>
  </si>
  <si>
    <t>MLD-059</t>
  </si>
  <si>
    <t>saravanan singaram</t>
  </si>
  <si>
    <t>90031 14434</t>
  </si>
  <si>
    <t>saravanan.singaram@hurix.com</t>
  </si>
  <si>
    <t>Senior Manager</t>
  </si>
  <si>
    <t>Addis Ababa, Adis Abeba, Ethiopia</t>
  </si>
  <si>
    <t>MCLD-062</t>
  </si>
  <si>
    <t>Applause</t>
  </si>
  <si>
    <t>https://www.applause.com</t>
  </si>
  <si>
    <t>MLD-060</t>
  </si>
  <si>
    <t>Hema Arya</t>
  </si>
  <si>
    <t>99901 10844</t>
  </si>
  <si>
    <t>hema.arya@hurix.com</t>
  </si>
  <si>
    <t>Program Manager</t>
  </si>
  <si>
    <t>MLD-061</t>
  </si>
  <si>
    <t>Romal Bhansali</t>
  </si>
  <si>
    <t>93242 31539</t>
  </si>
  <si>
    <t>romal.bhansali@hurix.com</t>
  </si>
  <si>
    <t>Associate Manager, Instructional Design</t>
  </si>
  <si>
    <t>Framingham, Massachusetts, United States</t>
  </si>
  <si>
    <t>MCLD-063</t>
  </si>
  <si>
    <t>Goalsetter</t>
  </si>
  <si>
    <t>https://www.goalsetter.co</t>
  </si>
  <si>
    <t>MLD-062</t>
  </si>
  <si>
    <t>Bharat Wadhwani</t>
  </si>
  <si>
    <t>bharat.wadhwani@hurix.com</t>
  </si>
  <si>
    <t>Sr. Manager - Custom Learning Solutions</t>
  </si>
  <si>
    <t>Brooklyn, New York, United States</t>
  </si>
  <si>
    <t>MCLD-064</t>
  </si>
  <si>
    <t>The Mimir</t>
  </si>
  <si>
    <t>https://themimir.com</t>
  </si>
  <si>
    <t>MLD-063</t>
  </si>
  <si>
    <t>Lakhan Khandagale</t>
  </si>
  <si>
    <t>86981 63290</t>
  </si>
  <si>
    <t>lakhan.khandagale@hurix.com</t>
  </si>
  <si>
    <t>Project Manager - Higher Education</t>
  </si>
  <si>
    <t>MCLD-065</t>
  </si>
  <si>
    <t>Udacity</t>
  </si>
  <si>
    <t>MLD-064</t>
  </si>
  <si>
    <t>Dinesh Rajagopal</t>
  </si>
  <si>
    <t>https://www.udacity.com</t>
  </si>
  <si>
    <t>dinesh.rajagopal@hurix.com</t>
  </si>
  <si>
    <t>MLD-065</t>
  </si>
  <si>
    <t>Namita Sharma</t>
  </si>
  <si>
    <t>namita.sharma@hurix.com</t>
  </si>
  <si>
    <t>MLD-066</t>
  </si>
  <si>
    <t>Sugandha Sharma</t>
  </si>
  <si>
    <t>sugandha.sharma@hurix.com</t>
  </si>
  <si>
    <t>Instructional Design Manager</t>
  </si>
  <si>
    <t>MCLD-066</t>
  </si>
  <si>
    <t>Praxis Labs</t>
  </si>
  <si>
    <t>https://www.praxislabs.co</t>
  </si>
  <si>
    <t>MLD-067</t>
  </si>
  <si>
    <t>Chiquitta chonkar</t>
  </si>
  <si>
    <t>chiquitta.chonkar@hurix.com</t>
  </si>
  <si>
    <t>Stanford, California, United States</t>
  </si>
  <si>
    <t>MLD-068</t>
  </si>
  <si>
    <t>MCLD-067</t>
  </si>
  <si>
    <t>Neha Singh</t>
  </si>
  <si>
    <t>BeInCrypto</t>
  </si>
  <si>
    <t>https://beincrypto.com</t>
  </si>
  <si>
    <t>neha.singh@hurix.com</t>
  </si>
  <si>
    <t>Associate Manager- Instructional Design</t>
  </si>
  <si>
    <t>MLD-069</t>
  </si>
  <si>
    <t>shafiq khandwani</t>
  </si>
  <si>
    <t>98207 93832</t>
  </si>
  <si>
    <t>MCLD-068</t>
  </si>
  <si>
    <t>shafiq.khandwani@hurix.com</t>
  </si>
  <si>
    <t>Edurino</t>
  </si>
  <si>
    <t>https://www.edurino.com</t>
  </si>
  <si>
    <t>MLD-070</t>
  </si>
  <si>
    <t>Karunakaran M</t>
  </si>
  <si>
    <t>99629 85190</t>
  </si>
  <si>
    <t>karunakaran.m@hurix.com</t>
  </si>
  <si>
    <t>Munich, Bayern, Germany</t>
  </si>
  <si>
    <t>MCLD-069</t>
  </si>
  <si>
    <t>Age of Learning</t>
  </si>
  <si>
    <t>https://www.ageoflearning.com</t>
  </si>
  <si>
    <t>MLD-071</t>
  </si>
  <si>
    <t>Riya Parulekar</t>
  </si>
  <si>
    <t>riya.parulekar@hurix.com</t>
  </si>
  <si>
    <t>Glendale, California, United States</t>
  </si>
  <si>
    <t>MLD-072</t>
  </si>
  <si>
    <t>Saba Shaikh</t>
  </si>
  <si>
    <t>saba.shaikh@hurix.com</t>
  </si>
  <si>
    <t>MCLD-070</t>
  </si>
  <si>
    <t>Squirrel Ai Learning</t>
  </si>
  <si>
    <t>https://squirrelai.com</t>
  </si>
  <si>
    <t>MLD-073</t>
  </si>
  <si>
    <t>indumathi namasivayam</t>
  </si>
  <si>
    <t>Shanghai, Shanghai, China</t>
  </si>
  <si>
    <t>indumathi.namasivayam@hurix.com</t>
  </si>
  <si>
    <t>MCLD-071</t>
  </si>
  <si>
    <t>Masterminds Education</t>
  </si>
  <si>
    <t>https://mastermindseducation.com</t>
  </si>
  <si>
    <t>Dover, Delaware, United States</t>
  </si>
  <si>
    <t>MCLD-072</t>
  </si>
  <si>
    <t>Givebacks</t>
  </si>
  <si>
    <t>https://www.givebacks.com</t>
  </si>
  <si>
    <t>MLD-074</t>
  </si>
  <si>
    <t>Raj Thakur</t>
  </si>
  <si>
    <t>raj.thakur@hurix.com</t>
  </si>
  <si>
    <t>Project coordinator</t>
  </si>
  <si>
    <t>MLD-075</t>
  </si>
  <si>
    <t>Diksha Pagar</t>
  </si>
  <si>
    <t>Raleigh, North Carolina, United States</t>
  </si>
  <si>
    <t>diksha.pagar@hurix.com</t>
  </si>
  <si>
    <t>MCLD-073</t>
  </si>
  <si>
    <t>Aleph Group</t>
  </si>
  <si>
    <t>https://www.alephholding.com</t>
  </si>
  <si>
    <t>MLD-076</t>
  </si>
  <si>
    <t>Dipti Sama</t>
  </si>
  <si>
    <t>dipti.sama@hurix.com</t>
  </si>
  <si>
    <t>Dubai, Dubai, United Arab Emirates</t>
  </si>
  <si>
    <t>MCLD-074</t>
  </si>
  <si>
    <t>Ramped</t>
  </si>
  <si>
    <t>MLD-077</t>
  </si>
  <si>
    <t>Annu Rohilla</t>
  </si>
  <si>
    <t>https://www.rampedcareers.com</t>
  </si>
  <si>
    <t>arohilla2@univoedtech.com</t>
  </si>
  <si>
    <t>UNIVO Education</t>
  </si>
  <si>
    <t>MCLD-075</t>
  </si>
  <si>
    <t>Nectir</t>
  </si>
  <si>
    <t>https://www.nectir.io</t>
  </si>
  <si>
    <t>MLD-078</t>
  </si>
  <si>
    <t>Rita Kaul</t>
  </si>
  <si>
    <t>rita.kaul@chandra-learningsolutions.com</t>
  </si>
  <si>
    <t>Chandra - Learning | Talent | Technology</t>
  </si>
  <si>
    <t>MCLD-076</t>
  </si>
  <si>
    <t>ExecOnline</t>
  </si>
  <si>
    <t>https://www.execonline.com</t>
  </si>
  <si>
    <t>MLD-079</t>
  </si>
  <si>
    <t>Retesh Kotian</t>
  </si>
  <si>
    <t>retesh.kotian@hurix.com</t>
  </si>
  <si>
    <t>MLD-080</t>
  </si>
  <si>
    <t>Meghna Panda</t>
  </si>
  <si>
    <t>meghna.panda@hurix.com</t>
  </si>
  <si>
    <t>MCLD-077</t>
  </si>
  <si>
    <t>Vivi</t>
  </si>
  <si>
    <t>https://www.vivi.io</t>
  </si>
  <si>
    <t>MLD-081</t>
  </si>
  <si>
    <t>Muenot Technologies</t>
  </si>
  <si>
    <t>contact@muenot.com</t>
  </si>
  <si>
    <t>Melbourne, Victoria, Australia</t>
  </si>
  <si>
    <t>MLD-082</t>
  </si>
  <si>
    <t>Rishi Agrawal</t>
  </si>
  <si>
    <t>rishikesh.agrawal@turing.com</t>
  </si>
  <si>
    <t>Turing</t>
  </si>
  <si>
    <t>Edtech and Ai</t>
  </si>
  <si>
    <t>MCLD-078</t>
  </si>
  <si>
    <t>Zigazoo</t>
  </si>
  <si>
    <t>https://www.zigazoo.com</t>
  </si>
  <si>
    <t>MLD-083</t>
  </si>
  <si>
    <t>Mini Rustogi</t>
  </si>
  <si>
    <t>mini.rustogi@aptaracorp.com</t>
  </si>
  <si>
    <t>APTARA NEW MEDIA PRIVATE LIMITED</t>
  </si>
  <si>
    <t>MLD-084</t>
  </si>
  <si>
    <t>Jawwad khan</t>
  </si>
  <si>
    <t>jawwad.khan@aptaracorp.com</t>
  </si>
  <si>
    <t>MCLD-079</t>
  </si>
  <si>
    <t>Candoor</t>
  </si>
  <si>
    <t>https://www.candoor.com</t>
  </si>
  <si>
    <t>MLD-085</t>
  </si>
  <si>
    <t>Vanita Rana</t>
  </si>
  <si>
    <t>vanita.rana@sagepub.in</t>
  </si>
  <si>
    <t>Vendor Operations Supervisor- Global Services</t>
  </si>
  <si>
    <t>Sage</t>
  </si>
  <si>
    <t>MLD-086</t>
  </si>
  <si>
    <t>Manish Nainwal</t>
  </si>
  <si>
    <t>MCLD-080</t>
  </si>
  <si>
    <t>Manish.Nainwal@sagepub.in</t>
  </si>
  <si>
    <t>Kira</t>
  </si>
  <si>
    <t>https://www.kiratalent.com</t>
  </si>
  <si>
    <t>MLD-087</t>
  </si>
  <si>
    <t>Anupam Mukherjee</t>
  </si>
  <si>
    <t>anupam.mukherjee@sagepub.in</t>
  </si>
  <si>
    <t>MLD-088</t>
  </si>
  <si>
    <t>Esteban Cascante</t>
  </si>
  <si>
    <t>MCLD-081</t>
  </si>
  <si>
    <t>OneEleven</t>
  </si>
  <si>
    <t>esteban@sweetrush.com</t>
  </si>
  <si>
    <t>https://oneeleven.com</t>
  </si>
  <si>
    <t>Director of Custom Learning Project and Production Management</t>
  </si>
  <si>
    <t>SweetRush</t>
  </si>
  <si>
    <t>MLD-089</t>
  </si>
  <si>
    <t>Jumana Shaikhali</t>
  </si>
  <si>
    <t>jumana.shaikhali@sweetrush.com</t>
  </si>
  <si>
    <t>Project Manager | Program Manager</t>
  </si>
  <si>
    <t>MCLD-082</t>
  </si>
  <si>
    <t>Skillshare</t>
  </si>
  <si>
    <t>MLD-090</t>
  </si>
  <si>
    <t>Gail Eisenstein</t>
  </si>
  <si>
    <t>https://www.skillshare.com</t>
  </si>
  <si>
    <t>gail.eisenstein@sweetrush.com</t>
  </si>
  <si>
    <t>VP, Custom Learning</t>
  </si>
  <si>
    <t>MLD-091</t>
  </si>
  <si>
    <t>Kristina Stiffler</t>
  </si>
  <si>
    <t>kristina.stiffler@sweetrush.com</t>
  </si>
  <si>
    <t>MCLD-083</t>
  </si>
  <si>
    <t>Slang</t>
  </si>
  <si>
    <t>https://slangapp.com</t>
  </si>
  <si>
    <t>MLD-092</t>
  </si>
  <si>
    <t>Elaina Embree</t>
  </si>
  <si>
    <t>elaina.embree@sweetrush.com</t>
  </si>
  <si>
    <t>Boston, Massachusetts, United States</t>
  </si>
  <si>
    <t>MLD-093</t>
  </si>
  <si>
    <t>Sridevi Sarjana</t>
  </si>
  <si>
    <t>sridevi.sarjana@commlabindia.com</t>
  </si>
  <si>
    <t>CommLab India</t>
  </si>
  <si>
    <t>MCLD-084</t>
  </si>
  <si>
    <t>Leap</t>
  </si>
  <si>
    <t>https://www.leapfinance.com</t>
  </si>
  <si>
    <t>MLD-094</t>
  </si>
  <si>
    <t>Rajesh Damera</t>
  </si>
  <si>
    <t>rajesh.venkata@commlabindia.com</t>
  </si>
  <si>
    <t>Director of Operations &amp; Innovation</t>
  </si>
  <si>
    <t>MLD-095</t>
  </si>
  <si>
    <t>Rajan Manepally</t>
  </si>
  <si>
    <t>Team Manager</t>
  </si>
  <si>
    <t>MCLD-085</t>
  </si>
  <si>
    <t>Prisms VR</t>
  </si>
  <si>
    <t>https://www.prismsvr.com</t>
  </si>
  <si>
    <t>MLD-096</t>
  </si>
  <si>
    <t>Gitika Nagra</t>
  </si>
  <si>
    <t>Manager Learning Design</t>
  </si>
  <si>
    <t>MLD-097</t>
  </si>
  <si>
    <t>Alekha Jaiswal</t>
  </si>
  <si>
    <t>alekha.jaiswal@commlabindia.com</t>
  </si>
  <si>
    <t>MCLD-086</t>
  </si>
  <si>
    <t>Open English</t>
  </si>
  <si>
    <t>https://www.openenglish.com</t>
  </si>
  <si>
    <t>MLD-098</t>
  </si>
  <si>
    <t>Parvathi Karnati</t>
  </si>
  <si>
    <t>parvathi.devi@commlabindia.com</t>
  </si>
  <si>
    <t>Director of Translation &amp; Sales Enablement at CommLab India - Rapid eLearning Solutions</t>
  </si>
  <si>
    <t>MLD-099</t>
  </si>
  <si>
    <t>Raja Gadde</t>
  </si>
  <si>
    <t>MCLD-087</t>
  </si>
  <si>
    <t>Edflex</t>
  </si>
  <si>
    <t>https://www.edflex.com</t>
  </si>
  <si>
    <t>MLD-100</t>
  </si>
  <si>
    <t>swarnalatha B</t>
  </si>
  <si>
    <t>Paris, Ile-de-France, France</t>
  </si>
  <si>
    <t>MLD-101</t>
  </si>
  <si>
    <t>Mohammad Shafi</t>
  </si>
  <si>
    <t>MCLD-088</t>
  </si>
  <si>
    <t>Certiverse</t>
  </si>
  <si>
    <t>https://certiverse.com</t>
  </si>
  <si>
    <t>MLD-102</t>
  </si>
  <si>
    <t>Satheesh M.</t>
  </si>
  <si>
    <t>MCLD-089</t>
  </si>
  <si>
    <t>Brisk Teaching</t>
  </si>
  <si>
    <t>https://www.briskteaching.com</t>
  </si>
  <si>
    <t>MLD-103</t>
  </si>
  <si>
    <t>ARINDAM NAG</t>
  </si>
  <si>
    <t>Project Delivery Manager</t>
  </si>
  <si>
    <t>MLD-104</t>
  </si>
  <si>
    <t>Nazmeen Sultana</t>
  </si>
  <si>
    <t>Los Altos, California, United States</t>
  </si>
  <si>
    <t>Delivery Manager and Senior Instructional Designer</t>
  </si>
  <si>
    <t>MLD-105</t>
  </si>
  <si>
    <t>William Carey</t>
  </si>
  <si>
    <t>MCLD-090</t>
  </si>
  <si>
    <t>Crimson Education</t>
  </si>
  <si>
    <t>https://www.crimsoneducation.org</t>
  </si>
  <si>
    <t>MLD-106</t>
  </si>
  <si>
    <t>Soman Gadipally</t>
  </si>
  <si>
    <t>Production Department Manager</t>
  </si>
  <si>
    <t>MLD-107</t>
  </si>
  <si>
    <t>Parnell, Auckland, New Zealand</t>
  </si>
  <si>
    <t>Akshay Uppala</t>
  </si>
  <si>
    <t>MCLD-091</t>
  </si>
  <si>
    <t>SplashLearn</t>
  </si>
  <si>
    <t>https://www.splashlearn.com</t>
  </si>
  <si>
    <t>MLD-108</t>
  </si>
  <si>
    <t>Susmitha Bandary</t>
  </si>
  <si>
    <t>Manager Graphic Designer</t>
  </si>
  <si>
    <t>MCLD-092</t>
  </si>
  <si>
    <t>Rochester Institute of Technology</t>
  </si>
  <si>
    <t>https://www.rit.edu</t>
  </si>
  <si>
    <t>MLD-109</t>
  </si>
  <si>
    <t>Dr. Johnson</t>
  </si>
  <si>
    <t>Director Learning Design</t>
  </si>
  <si>
    <t>Rochester, New York, United States</t>
  </si>
  <si>
    <t>MCLD-093</t>
  </si>
  <si>
    <t>Miko</t>
  </si>
  <si>
    <t>MLD-110</t>
  </si>
  <si>
    <t>https://www.miko.ai</t>
  </si>
  <si>
    <t>Sumana Gudipudi</t>
  </si>
  <si>
    <t>MLD-111</t>
  </si>
  <si>
    <t>Seema Phadnis</t>
  </si>
  <si>
    <t>Mumbai, Maharashtra, India</t>
  </si>
  <si>
    <t>MCLD-094</t>
  </si>
  <si>
    <t>EVERFI</t>
  </si>
  <si>
    <t>https://everfi.com</t>
  </si>
  <si>
    <t>MLD-112</t>
  </si>
  <si>
    <t>Ayesha Habeeb</t>
  </si>
  <si>
    <t>ayesha@commlabindia.com</t>
  </si>
  <si>
    <t>Chief Operating Officer</t>
  </si>
  <si>
    <t>MLD-113</t>
  </si>
  <si>
    <t>Asha Ganguli</t>
  </si>
  <si>
    <t>MLD-114</t>
  </si>
  <si>
    <t>Najmi Khan</t>
  </si>
  <si>
    <t>98712 23541</t>
  </si>
  <si>
    <t>najmi.khan@aptaracorp.com</t>
  </si>
  <si>
    <t>MCLD-095</t>
  </si>
  <si>
    <t>Learneo</t>
  </si>
  <si>
    <t>https://www.learneo.com</t>
  </si>
  <si>
    <t>MLD-115</t>
  </si>
  <si>
    <t>Vibhor Singh</t>
  </si>
  <si>
    <t>vibhor.singh@aptaracorp.com</t>
  </si>
  <si>
    <t>Senior Project Manager Media</t>
  </si>
  <si>
    <t>Redwood City, California, United States</t>
  </si>
  <si>
    <t>MLD-116</t>
  </si>
  <si>
    <t>Naveen Joshi</t>
  </si>
  <si>
    <t>njoshi@aptaracorp.com</t>
  </si>
  <si>
    <t>MCLD-096</t>
  </si>
  <si>
    <t>Acorn</t>
  </si>
  <si>
    <t>https://www.acorn.works</t>
  </si>
  <si>
    <t>MLD-117</t>
  </si>
  <si>
    <t>Banshi Mallick</t>
  </si>
  <si>
    <t>bmallick@aptaracorp.com</t>
  </si>
  <si>
    <t>Manager-Conversion</t>
  </si>
  <si>
    <t>Canberra, Australian Capital Territory, Australia</t>
  </si>
  <si>
    <t>MLD-118</t>
  </si>
  <si>
    <t>Rajshri Walia</t>
  </si>
  <si>
    <t>rajshri.walia@aptaracorp.com</t>
  </si>
  <si>
    <t>Deputy General Manager ART and Services, Digital Publishing</t>
  </si>
  <si>
    <t>MCLD-097</t>
  </si>
  <si>
    <t>Ad Fontes Media</t>
  </si>
  <si>
    <t>https://adfontesmedia.com</t>
  </si>
  <si>
    <t>MLD-119</t>
  </si>
  <si>
    <t>Prashant Juyal</t>
  </si>
  <si>
    <t>prashant.juyal@aptaracorp.com</t>
  </si>
  <si>
    <t>Manager Editorial</t>
  </si>
  <si>
    <t>Lafayette, Colorado, United States</t>
  </si>
  <si>
    <t>MLD-120</t>
  </si>
  <si>
    <t>Anuj Sahai</t>
  </si>
  <si>
    <t>anuj.sahai@aptaracorp.com</t>
  </si>
  <si>
    <t>Director Operations</t>
  </si>
  <si>
    <t>MCLD-098</t>
  </si>
  <si>
    <t>Praktika</t>
  </si>
  <si>
    <t>https://praktika.ai</t>
  </si>
  <si>
    <t>MLD-121</t>
  </si>
  <si>
    <t>Dalip Singh</t>
  </si>
  <si>
    <t>dsingh@aptaracorp.com</t>
  </si>
  <si>
    <t>Deputy General Manager Operations</t>
  </si>
  <si>
    <t>Wilmington, Delaware, United States</t>
  </si>
  <si>
    <t>MLD-122</t>
  </si>
  <si>
    <t>Manish CSM</t>
  </si>
  <si>
    <t>95275 11800</t>
  </si>
  <si>
    <t>manish.sharma@aptaracorp.com</t>
  </si>
  <si>
    <t>Delivery Manager Digital Learning</t>
  </si>
  <si>
    <t>MCLD-099</t>
  </si>
  <si>
    <t>Eedi</t>
  </si>
  <si>
    <t>https://eedi.com</t>
  </si>
  <si>
    <t>MLD-123</t>
  </si>
  <si>
    <t>Dhanabir Sharma</t>
  </si>
  <si>
    <t>dhanabir.sharma@aptaracorp.com</t>
  </si>
  <si>
    <t>AGM â€“ Operations &amp; Account Management</t>
  </si>
  <si>
    <t>MLD-124</t>
  </si>
  <si>
    <t>Sathya Murthy</t>
  </si>
  <si>
    <t>MCLD-100</t>
  </si>
  <si>
    <t>Securly</t>
  </si>
  <si>
    <t>sathya.murthy@aptaracorp.com</t>
  </si>
  <si>
    <t>Sr. Manager - Operations/Account Management</t>
  </si>
  <si>
    <t>https://www.securly.com</t>
  </si>
  <si>
    <t>MLD-125</t>
  </si>
  <si>
    <t>Debashis Chaudhuri</t>
  </si>
  <si>
    <t>dchou@aptaracorp.com</t>
  </si>
  <si>
    <t>SVP- India Operation</t>
  </si>
  <si>
    <t>MCLD-101</t>
  </si>
  <si>
    <t>BuildWithin</t>
  </si>
  <si>
    <t>https://buildwithin.com</t>
  </si>
  <si>
    <t>MLD-126</t>
  </si>
  <si>
    <t>Ajay Sharma</t>
  </si>
  <si>
    <t>ajay.sharma@aptaracorp.com</t>
  </si>
  <si>
    <t>MLD-127</t>
  </si>
  <si>
    <t>Manoj Singh</t>
  </si>
  <si>
    <t>manoj.singh@aptaracorp.com</t>
  </si>
  <si>
    <t>Deputy General Manager</t>
  </si>
  <si>
    <t>MLD-128</t>
  </si>
  <si>
    <t>Indu Jawwad</t>
  </si>
  <si>
    <t>MCLD-102</t>
  </si>
  <si>
    <t>VuMedi</t>
  </si>
  <si>
    <t>indu.jawwad@aptaracorp.com</t>
  </si>
  <si>
    <t>https://www.vumedi.com</t>
  </si>
  <si>
    <t>Oakland, California, United States</t>
  </si>
  <si>
    <t>MLD-129</t>
  </si>
  <si>
    <t>Emily Karjala</t>
  </si>
  <si>
    <t>ekarjala@coursera.org</t>
  </si>
  <si>
    <t>Senior Vendor Manager</t>
  </si>
  <si>
    <t>MCLD-103</t>
  </si>
  <si>
    <t>Nerdy</t>
  </si>
  <si>
    <t>https://www.nerdy.com</t>
  </si>
  <si>
    <t>St Louis, Missouri, United States</t>
  </si>
  <si>
    <t>MLD-130</t>
  </si>
  <si>
    <t>Sumesh Chandra</t>
  </si>
  <si>
    <t>Director, Vendor Management &amp; Global Sourcing</t>
  </si>
  <si>
    <t>MCLD-104</t>
  </si>
  <si>
    <t>Digital Promise</t>
  </si>
  <si>
    <t>https://digitalpromise.org</t>
  </si>
  <si>
    <t>MLD-131</t>
  </si>
  <si>
    <t>Alex Pulido</t>
  </si>
  <si>
    <t>alex.pulido@udemy.com</t>
  </si>
  <si>
    <t>Vendor Manager, Global Customer Operations</t>
  </si>
  <si>
    <t>MCLD-105</t>
  </si>
  <si>
    <t>Immigo</t>
  </si>
  <si>
    <t>https://www.immigo.io</t>
  </si>
  <si>
    <t>MLD-132</t>
  </si>
  <si>
    <t>Dilip Kumar</t>
  </si>
  <si>
    <t>dilip.kumar@thomsondigital.com</t>
  </si>
  <si>
    <t>thomson digital</t>
  </si>
  <si>
    <t>MCLD-106</t>
  </si>
  <si>
    <t>Kodezi</t>
  </si>
  <si>
    <t>https://kodezi.com</t>
  </si>
  <si>
    <t>MLD-133</t>
  </si>
  <si>
    <t>vaibhavi priya</t>
  </si>
  <si>
    <t>MCLD-107</t>
  </si>
  <si>
    <t>Edia Learning</t>
  </si>
  <si>
    <t>https://edialearning.com</t>
  </si>
  <si>
    <t>MCLD-108</t>
  </si>
  <si>
    <t>Proof of Learn</t>
  </si>
  <si>
    <t>https://proofoflearn.io</t>
  </si>
  <si>
    <t>MCLD-109</t>
  </si>
  <si>
    <t>OpenSesame</t>
  </si>
  <si>
    <t>https://www.opensesame.com</t>
  </si>
  <si>
    <t>Portland, Oregon, United States</t>
  </si>
  <si>
    <t>MCLD-110</t>
  </si>
  <si>
    <t>Move This World</t>
  </si>
  <si>
    <t>https://movethisworld.com</t>
  </si>
  <si>
    <t>MCLD-111</t>
  </si>
  <si>
    <t>Letz Technologies</t>
  </si>
  <si>
    <t>https://www.letztech.com</t>
  </si>
  <si>
    <t>Weston, Florida, United States</t>
  </si>
  <si>
    <t>MCLD-112</t>
  </si>
  <si>
    <t>Vedantu</t>
  </si>
  <si>
    <t>https://www.vedantu.com</t>
  </si>
  <si>
    <t>MCLD-113</t>
  </si>
  <si>
    <t>Vantage Point</t>
  </si>
  <si>
    <t>https://vantagepointconsulting.com</t>
  </si>
  <si>
    <t>MCLD-114</t>
  </si>
  <si>
    <t>EdLight</t>
  </si>
  <si>
    <t>https://edlight.com</t>
  </si>
  <si>
    <t>MCLD-115</t>
  </si>
  <si>
    <t>SeedBlink</t>
  </si>
  <si>
    <t>https://www.seedblink.com</t>
  </si>
  <si>
    <t>Bucharest, Bucuresti, Romania</t>
  </si>
  <si>
    <t>MCLD-116</t>
  </si>
  <si>
    <t>Simply</t>
  </si>
  <si>
    <t>https://www.simply.co</t>
  </si>
  <si>
    <t>Tel Aviv, Tel Aviv, Israel</t>
  </si>
  <si>
    <t>MCLD-117</t>
  </si>
  <si>
    <t>Outsmart Education</t>
  </si>
  <si>
    <t>https://outsmarteducation.com</t>
  </si>
  <si>
    <t>MCLD-118</t>
  </si>
  <si>
    <t>Edlink</t>
  </si>
  <si>
    <t>https://www.edlink.com</t>
  </si>
  <si>
    <t>MCLD-119</t>
  </si>
  <si>
    <t>Siembra Mobile Inc.</t>
  </si>
  <si>
    <t>https://www.siembramobile.com</t>
  </si>
  <si>
    <t>MCLD-120</t>
  </si>
  <si>
    <t>Bloom</t>
  </si>
  <si>
    <t>https://www.bloomgrowth.com</t>
  </si>
  <si>
    <t>MCLD-121</t>
  </si>
  <si>
    <t>Everday</t>
  </si>
  <si>
    <t>https://www.everday.com</t>
  </si>
  <si>
    <t>Rotterdam, Zuid-Holland, The Netherlands</t>
  </si>
  <si>
    <t>MCLD-122</t>
  </si>
  <si>
    <t>Packback</t>
  </si>
  <si>
    <t>https://www.packback.co</t>
  </si>
  <si>
    <t>MCLD-123</t>
  </si>
  <si>
    <t>TOOTRiS</t>
  </si>
  <si>
    <t>https://tootris.com</t>
  </si>
  <si>
    <t>San Diego, California, United States</t>
  </si>
  <si>
    <t>MCLD-124</t>
  </si>
  <si>
    <t>Emversity</t>
  </si>
  <si>
    <t>https://emversity.com</t>
  </si>
  <si>
    <t>MCLD-125</t>
  </si>
  <si>
    <t>Preply</t>
  </si>
  <si>
    <t>https://preply.com</t>
  </si>
  <si>
    <t>Brookline, Massachusetts, United States</t>
  </si>
  <si>
    <t>MCLD-126</t>
  </si>
  <si>
    <t>Guidoio</t>
  </si>
  <si>
    <t>https://guido.io</t>
  </si>
  <si>
    <t>Venturina, Toscana, Italy</t>
  </si>
  <si>
    <t>MCLD-127</t>
  </si>
  <si>
    <t>Truth Bridge (formerly Bridge To College)</t>
  </si>
  <si>
    <t>https://truthbridge.org</t>
  </si>
  <si>
    <t>MCLD-128</t>
  </si>
  <si>
    <t>NxtWave</t>
  </si>
  <si>
    <t>https://www.ccbp.in</t>
  </si>
  <si>
    <t>MCLD-129</t>
  </si>
  <si>
    <t>HowNow</t>
  </si>
  <si>
    <t>https://www.hownowhq.com</t>
  </si>
  <si>
    <t>MCLD-130</t>
  </si>
  <si>
    <t>Aceable</t>
  </si>
  <si>
    <t>https://www.aceable.com</t>
  </si>
  <si>
    <t>MCLD-131</t>
  </si>
  <si>
    <t>Vooks</t>
  </si>
  <si>
    <t>https://www.vooks.com</t>
  </si>
  <si>
    <t>MCLD-132</t>
  </si>
  <si>
    <t>Marker Learning</t>
  </si>
  <si>
    <t>https://markerlearning.com</t>
  </si>
  <si>
    <t>MCLD-133</t>
  </si>
  <si>
    <t>Riiid</t>
  </si>
  <si>
    <t>https://riiid.com</t>
  </si>
  <si>
    <t>Seoul, Seoul-t'ukpyolsi, South Korea</t>
  </si>
  <si>
    <t>MCLD-134</t>
  </si>
  <si>
    <t>Principia</t>
  </si>
  <si>
    <t>https://principiaedu.com</t>
  </si>
  <si>
    <t>SÃƒÂ£o Paulo, Sao Paulo, Brazil</t>
  </si>
  <si>
    <t>MCLD-135</t>
  </si>
  <si>
    <t>Luca</t>
  </si>
  <si>
    <t>https://www.luca.ai</t>
  </si>
  <si>
    <t>Mexico City, Distrito Federal, Mexico</t>
  </si>
  <si>
    <t>MCLD-136</t>
  </si>
  <si>
    <t>New Nuclear Media</t>
  </si>
  <si>
    <t>https://newnuclearmedia.com</t>
  </si>
  <si>
    <t>MCLD-137</t>
  </si>
  <si>
    <t>Classplus</t>
  </si>
  <si>
    <t>https://classplusapp.com</t>
  </si>
  <si>
    <t>MCLD-138</t>
  </si>
  <si>
    <t>Hybe</t>
  </si>
  <si>
    <t>https://hybecorp.com</t>
  </si>
  <si>
    <t>MCLD-139</t>
  </si>
  <si>
    <t>CreatorUp</t>
  </si>
  <si>
    <t>https://creatorup.com</t>
  </si>
  <si>
    <t>MCLD-140</t>
  </si>
  <si>
    <t>Major League TradingÃ‚Â®</t>
  </si>
  <si>
    <t>https://majorleaguetrading.com</t>
  </si>
  <si>
    <t>MCLD-141</t>
  </si>
  <si>
    <t>Caltech</t>
  </si>
  <si>
    <t>https://www.caltech.edu</t>
  </si>
  <si>
    <t>Pasadena, California, United States</t>
  </si>
  <si>
    <t>MCLD-142</t>
  </si>
  <si>
    <t>Inspirit</t>
  </si>
  <si>
    <t>https://www.inspiritai.com</t>
  </si>
  <si>
    <t>MCLD-143</t>
  </si>
  <si>
    <t>Caribu</t>
  </si>
  <si>
    <t>https://caribu.com</t>
  </si>
  <si>
    <t>MCLD-144</t>
  </si>
  <si>
    <t>Lingawa</t>
  </si>
  <si>
    <t>https://lingawa.com</t>
  </si>
  <si>
    <t>MCLD-145</t>
  </si>
  <si>
    <t>SuperBetter</t>
  </si>
  <si>
    <t>https://www.superbetter.com</t>
  </si>
  <si>
    <t>Glen Ellyn, Illinois, United States</t>
  </si>
  <si>
    <t>MCLD-146</t>
  </si>
  <si>
    <t>Vocal Image</t>
  </si>
  <si>
    <t>https://vocalimage.app</t>
  </si>
  <si>
    <t>Tallinn, Harjumaa, Estonia</t>
  </si>
  <si>
    <t>MCLD-147</t>
  </si>
  <si>
    <t>Loora</t>
  </si>
  <si>
    <t>https://www.loora.ai</t>
  </si>
  <si>
    <t>MCLD-148</t>
  </si>
  <si>
    <t>Boom AI</t>
  </si>
  <si>
    <t>https://boom.ai</t>
  </si>
  <si>
    <t>MCLD-149</t>
  </si>
  <si>
    <t>Toddle</t>
  </si>
  <si>
    <t>https://toddleapp.com</t>
  </si>
  <si>
    <t>MCLD-150</t>
  </si>
  <si>
    <t>Perlego</t>
  </si>
  <si>
    <t>https://www.perlego.com</t>
  </si>
  <si>
    <t>MCLD-151</t>
  </si>
  <si>
    <t>Walnut Coding</t>
  </si>
  <si>
    <t>https://walnutcoding.com</t>
  </si>
  <si>
    <t>Costa Mesa, California, United States</t>
  </si>
  <si>
    <t>MCLD-152</t>
  </si>
  <si>
    <t>Buddy.ai</t>
  </si>
  <si>
    <t>https://buddy.ai</t>
  </si>
  <si>
    <t>MCLD-153</t>
  </si>
  <si>
    <t>Coco Coders</t>
  </si>
  <si>
    <t>https://www.cococoders.com</t>
  </si>
  <si>
    <t>Incline Village, Nevada, United States</t>
  </si>
  <si>
    <t>MCLD-154</t>
  </si>
  <si>
    <t>Psyflo</t>
  </si>
  <si>
    <t>https://psyflo.com</t>
  </si>
  <si>
    <t>MCLD-155</t>
  </si>
  <si>
    <t>Legends of Learning</t>
  </si>
  <si>
    <t>https://www.legendsoflearning.com</t>
  </si>
  <si>
    <t>MCLD-156</t>
  </si>
  <si>
    <t>K16 Solutions</t>
  </si>
  <si>
    <t>https://k16solutions.com</t>
  </si>
  <si>
    <t>Scottsdale, Arizona, United States</t>
  </si>
  <si>
    <t>MCLD-157</t>
  </si>
  <si>
    <t>Zen Educate</t>
  </si>
  <si>
    <t>https://www.zeneducate.com</t>
  </si>
  <si>
    <t>MCLD-158</t>
  </si>
  <si>
    <t>Revision Dojo</t>
  </si>
  <si>
    <t>https://revisiondojo.com</t>
  </si>
  <si>
    <t>MCLD-159</t>
  </si>
  <si>
    <t>Teachmint</t>
  </si>
  <si>
    <t>https://www.teachmint.com</t>
  </si>
  <si>
    <t>MCLD-160</t>
  </si>
  <si>
    <t>Masterschool</t>
  </si>
  <si>
    <t>https://www.masterschool.com</t>
  </si>
  <si>
    <t>MCLD-161</t>
  </si>
  <si>
    <t>Pedago</t>
  </si>
  <si>
    <t>https://pedago.com</t>
  </si>
  <si>
    <t>MCLD-162</t>
  </si>
  <si>
    <t>Edkasa</t>
  </si>
  <si>
    <t>https://www.edkasa.com</t>
  </si>
  <si>
    <t>Lahore, Punjab, Pakistan</t>
  </si>
  <si>
    <t>MCLD-163</t>
  </si>
  <si>
    <t>Noodle</t>
  </si>
  <si>
    <t>https://www.noodle.com</t>
  </si>
  <si>
    <t>MCLD-164</t>
  </si>
  <si>
    <t>Frank Financial Aid</t>
  </si>
  <si>
    <t>https://withfrank.org</t>
  </si>
  <si>
    <t>MCLD-165</t>
  </si>
  <si>
    <t>isaac</t>
  </si>
  <si>
    <t>https://isaacphysics.org</t>
  </si>
  <si>
    <t>MCLD-166</t>
  </si>
  <si>
    <t>MyEdSpace</t>
  </si>
  <si>
    <t>https://myedspace.co.uk</t>
  </si>
  <si>
    <t>MCLD-167</t>
  </si>
  <si>
    <t>Opennote</t>
  </si>
  <si>
    <t>https://opennote.com</t>
  </si>
  <si>
    <t>MCLD-168</t>
  </si>
  <si>
    <t>StudyFree</t>
  </si>
  <si>
    <t>https://studyfree.co</t>
  </si>
  <si>
    <t>MCLD-169</t>
  </si>
  <si>
    <t>Eruditus Executive Education</t>
  </si>
  <si>
    <t>https://www.eruditus.com</t>
  </si>
  <si>
    <t>MCLD-170</t>
  </si>
  <si>
    <t>Edufront</t>
  </si>
  <si>
    <t>https://www.edufront.com</t>
  </si>
  <si>
    <t>Dublin, Dublin, Ireland</t>
  </si>
  <si>
    <t>MCLD-171</t>
  </si>
  <si>
    <t>Uolo</t>
  </si>
  <si>
    <t>https://uolo.com</t>
  </si>
  <si>
    <t>Gurgaon, Haryana, India</t>
  </si>
  <si>
    <t>MCLD-172</t>
  </si>
  <si>
    <t>Wayfinder</t>
  </si>
  <si>
    <t>https://wayfindereducation.com</t>
  </si>
  <si>
    <t>Bend, Oregon, United States</t>
  </si>
  <si>
    <t>MCLD-173</t>
  </si>
  <si>
    <t>Arivihan</t>
  </si>
  <si>
    <t>https://arivihan.com</t>
  </si>
  <si>
    <t>Indore, Madhya Pradesh, India</t>
  </si>
  <si>
    <t>MCLD-174</t>
  </si>
  <si>
    <t>MileMarker</t>
  </si>
  <si>
    <t>https://milemarker.co</t>
  </si>
  <si>
    <t>Baltimore, Maryland, United States</t>
  </si>
  <si>
    <t>MCLD-175</t>
  </si>
  <si>
    <t>Mentor Collective</t>
  </si>
  <si>
    <t>https://www.mentorcollective.org</t>
  </si>
  <si>
    <t>MCLD-176</t>
  </si>
  <si>
    <t>LearnWorlds</t>
  </si>
  <si>
    <t>https://www.learnworlds.com</t>
  </si>
  <si>
    <t>Limassol, Limassol, Cyprus</t>
  </si>
  <si>
    <t>MCLD-177</t>
  </si>
  <si>
    <t>Honorlock</t>
  </si>
  <si>
    <t>https://honorlock.com</t>
  </si>
  <si>
    <t>Boca Raton, Florida, United States</t>
  </si>
  <si>
    <t>MCLD-178</t>
  </si>
  <si>
    <t>Nas.io</t>
  </si>
  <si>
    <t>https://nas.io</t>
  </si>
  <si>
    <t>MCLD-179</t>
  </si>
  <si>
    <t>Cengage Group</t>
  </si>
  <si>
    <t>https://www.cengagegroup.com</t>
  </si>
  <si>
    <t>Email ID</t>
  </si>
  <si>
    <t>Contact Name</t>
  </si>
  <si>
    <t>Email Draft Subject</t>
  </si>
  <si>
    <t>Client
Intro</t>
  </si>
  <si>
    <t>Problem We Solve</t>
  </si>
  <si>
    <t>MCLD-180</t>
  </si>
  <si>
    <t>Schola</t>
  </si>
  <si>
    <t>https://schola.com</t>
  </si>
  <si>
    <t>CC</t>
  </si>
  <si>
    <t>BCC</t>
  </si>
  <si>
    <t>Send</t>
  </si>
  <si>
    <t>Sent On</t>
  </si>
  <si>
    <t>Error</t>
  </si>
  <si>
    <t>Tracking ID</t>
  </si>
  <si>
    <t>Opened</t>
  </si>
  <si>
    <t>First Opened On</t>
  </si>
  <si>
    <t>Last Opened On</t>
  </si>
  <si>
    <t>Open Count</t>
  </si>
  <si>
    <t>Bounce Status</t>
  </si>
  <si>
    <t>MCLD-181</t>
  </si>
  <si>
    <t>Cariina</t>
  </si>
  <si>
    <t>https://cariina.com</t>
  </si>
  <si>
    <t>MCLD-182</t>
  </si>
  <si>
    <t>Neiry</t>
  </si>
  <si>
    <t>https://neiry.ai</t>
  </si>
  <si>
    <t>Moscow, Moscow City, Russian Federation</t>
  </si>
  <si>
    <t>MCLD-183</t>
  </si>
  <si>
    <t>Nuela</t>
  </si>
  <si>
    <t>https://nuela.co</t>
  </si>
  <si>
    <t>Madrid, Madrid, Spain</t>
  </si>
  <si>
    <t>MCLD-184</t>
  </si>
  <si>
    <t>Yuanfudao</t>
  </si>
  <si>
    <t>https://www.yuanfudao.com</t>
  </si>
  <si>
    <t>MCLD-185</t>
  </si>
  <si>
    <t>Teachy</t>
  </si>
  <si>
    <t>https://teachy.app</t>
  </si>
  <si>
    <t>Botafogo, Rio de Janeiro, Brazil</t>
  </si>
  <si>
    <t>MCLD-186</t>
  </si>
  <si>
    <t>Dailyhuman</t>
  </si>
  <si>
    <t>https://www.dailyhuman.com</t>
  </si>
  <si>
    <t>MCLD-187</t>
  </si>
  <si>
    <t>Simpleshow</t>
  </si>
  <si>
    <t>https://www.simpleshow.com</t>
  </si>
  <si>
    <t>MCLD-188</t>
  </si>
  <si>
    <t>Yourway Learning</t>
  </si>
  <si>
    <t>https://yourwaylearning.com</t>
  </si>
  <si>
    <t>Miami Lakes, Florida, United States</t>
  </si>
  <si>
    <t>MCLD-189</t>
  </si>
  <si>
    <t>Podium Education</t>
  </si>
  <si>
    <t>https://podiumeducation.com</t>
  </si>
  <si>
    <t>MCLD-190</t>
  </si>
  <si>
    <t>Varsity Tutors</t>
  </si>
  <si>
    <t>https://www.varsitytutors.com</t>
  </si>
  <si>
    <t>MCLD-191</t>
  </si>
  <si>
    <t>MEandMine</t>
  </si>
  <si>
    <t>https://meandmine.com</t>
  </si>
  <si>
    <t>MCLD-192</t>
  </si>
  <si>
    <t>Lexibl</t>
  </si>
  <si>
    <t>https://lexibl.com</t>
  </si>
  <si>
    <t>MCLD-193</t>
  </si>
  <si>
    <t>OpenClassrooms</t>
  </si>
  <si>
    <t>https://openclassrooms.com</t>
  </si>
  <si>
    <t>MCLD-194</t>
  </si>
  <si>
    <t>Novakid</t>
  </si>
  <si>
    <t>https://www.novakidschool.com</t>
  </si>
  <si>
    <t>MCLD-195</t>
  </si>
  <si>
    <t>Female Invest</t>
  </si>
  <si>
    <t>https://femaleinvest.com</t>
  </si>
  <si>
    <t>Copenhagen, Hovedstaden, Denmark</t>
  </si>
  <si>
    <t>MCLD-196</t>
  </si>
  <si>
    <t>AltaClaro</t>
  </si>
  <si>
    <t>https://www.altaclaro.com</t>
  </si>
  <si>
    <t>MCLD-197</t>
  </si>
  <si>
    <t>Ellipsis Education</t>
  </si>
  <si>
    <t>https://ellipsiseducation.com</t>
  </si>
  <si>
    <t>Indianapolis, Indiana, United States</t>
  </si>
  <si>
    <t>MCLD-198</t>
  </si>
  <si>
    <t>Passage</t>
  </si>
  <si>
    <t>https://passage.education</t>
  </si>
  <si>
    <t>Toronto, Ontario, Canada</t>
  </si>
  <si>
    <t>MCLD-199</t>
  </si>
  <si>
    <t>Easylii</t>
  </si>
  <si>
    <t>https://easylii.com</t>
  </si>
  <si>
    <t>MCLD-200</t>
  </si>
  <si>
    <t>Continu</t>
  </si>
  <si>
    <t>https://www.continu.com</t>
  </si>
  <si>
    <t>MCLD-201</t>
  </si>
  <si>
    <t>QANDA(Mathpresso)</t>
  </si>
  <si>
    <t>https://qanda.ai</t>
  </si>
  <si>
    <t>MCLD-202</t>
  </si>
  <si>
    <t>Docebo</t>
  </si>
  <si>
    <t>https://www.docebo.com</t>
  </si>
  <si>
    <t>MCLD-203</t>
  </si>
  <si>
    <t>Alberta Machine Intelligence Institute</t>
  </si>
  <si>
    <t>https://www.amii.ca</t>
  </si>
  <si>
    <t>Edmonton, Alberta, Canada</t>
  </si>
  <si>
    <t>MCLD-204</t>
  </si>
  <si>
    <t>SportsEdTV</t>
  </si>
  <si>
    <t>https://sportsedtv.com</t>
  </si>
  <si>
    <t>MCLD-205</t>
  </si>
  <si>
    <t>Gizmo</t>
  </si>
  <si>
    <t>https://www.gizmo.ai</t>
  </si>
  <si>
    <t>MCLD-206</t>
  </si>
  <si>
    <t>eSpark</t>
  </si>
  <si>
    <t>https://www.esparklearning.com</t>
  </si>
  <si>
    <t>MCLD-207</t>
  </si>
  <si>
    <t>NotedSource</t>
  </si>
  <si>
    <t>https://notedsource.com</t>
  </si>
  <si>
    <t>MCLD-208</t>
  </si>
  <si>
    <t>teachme.to</t>
  </si>
  <si>
    <t>https://teachme.to</t>
  </si>
  <si>
    <t>MCLD-209</t>
  </si>
  <si>
    <t>PlanetSpark</t>
  </si>
  <si>
    <t>https://www.planetspark.in</t>
  </si>
  <si>
    <t>MCLD-210</t>
  </si>
  <si>
    <t>TalkMe</t>
  </si>
  <si>
    <t>https://talkme.ai</t>
  </si>
  <si>
    <t>MCLD-211</t>
  </si>
  <si>
    <t>Lingoda</t>
  </si>
  <si>
    <t>https://www.lingoda.com</t>
  </si>
  <si>
    <t>MCLD-212</t>
  </si>
  <si>
    <t>Unibuddy</t>
  </si>
  <si>
    <t>https://unibuddy.com</t>
  </si>
  <si>
    <t>MCLD-213</t>
  </si>
  <si>
    <t>byteXL</t>
  </si>
  <si>
    <t>https://bytexl.com</t>
  </si>
  <si>
    <t>MCLD-214</t>
  </si>
  <si>
    <t>Sanako</t>
  </si>
  <si>
    <t>https://www.sanako.com</t>
  </si>
  <si>
    <t>Turku, Western Finland, Finland</t>
  </si>
  <si>
    <t>MCLD-215</t>
  </si>
  <si>
    <t>Openhouse</t>
  </si>
  <si>
    <t>https://www.openhouse.study</t>
  </si>
  <si>
    <t>MCLD-216</t>
  </si>
  <si>
    <t>Dreamscape Learn</t>
  </si>
  <si>
    <t>https://dreamscapelearn.com</t>
  </si>
  <si>
    <t>Culver City, California, United States</t>
  </si>
  <si>
    <t>MCLD-217</t>
  </si>
  <si>
    <t>Mynd.ai</t>
  </si>
  <si>
    <t>https://www.mynd.ai</t>
  </si>
  <si>
    <t>Grand Cayman, Midland, Cayman Islands</t>
  </si>
  <si>
    <t>MCLD-218</t>
  </si>
  <si>
    <t>Storypod</t>
  </si>
  <si>
    <t>https://www.storypod.com</t>
  </si>
  <si>
    <t>MCLD-219</t>
  </si>
  <si>
    <t>Talview</t>
  </si>
  <si>
    <t>https://www.talview.com</t>
  </si>
  <si>
    <t>MCLD-220</t>
  </si>
  <si>
    <t>Peekapak</t>
  </si>
  <si>
    <t>https://peekapak.com</t>
  </si>
  <si>
    <t>MCLD-221</t>
  </si>
  <si>
    <t>Podotree</t>
  </si>
  <si>
    <t>https://www.podotree.com</t>
  </si>
  <si>
    <t>MCLD-222</t>
  </si>
  <si>
    <t>The Regis Company</t>
  </si>
  <si>
    <t>https://www.regiscompany.com</t>
  </si>
  <si>
    <t>Golden, Colorado, United States</t>
  </si>
  <si>
    <t>MCLD-223</t>
  </si>
  <si>
    <t>Edvoy</t>
  </si>
  <si>
    <t>https://edvoy.com</t>
  </si>
  <si>
    <t>Manchester, Manchester, United Kingdom</t>
  </si>
  <si>
    <t>MCLD-224</t>
  </si>
  <si>
    <t>MathGPTPro</t>
  </si>
  <si>
    <t>https://mathgptpro.com</t>
  </si>
  <si>
    <t>Santa Clara, California, United States</t>
  </si>
  <si>
    <t>MCLD-225</t>
  </si>
  <si>
    <t>Escalate USA</t>
  </si>
  <si>
    <t>https://escalateusa.com</t>
  </si>
  <si>
    <t>Silver Spring, Maryland, United States</t>
  </si>
  <si>
    <t>MCLD-226</t>
  </si>
  <si>
    <t>Teachable</t>
  </si>
  <si>
    <t>https://teachable.com</t>
  </si>
  <si>
    <t>MCLD-227</t>
  </si>
  <si>
    <t>Sense Education</t>
  </si>
  <si>
    <t>https://sense.education</t>
  </si>
  <si>
    <t>MCLD-228</t>
  </si>
  <si>
    <t>Postmath</t>
  </si>
  <si>
    <t>https://postmath.com</t>
  </si>
  <si>
    <t>MCLD-229</t>
  </si>
  <si>
    <t>Wooclap</t>
  </si>
  <si>
    <t>https://www.wooclap.com</t>
  </si>
  <si>
    <t>Etterbeek, Brussels Hoofdstedelijk Gewest, Belgium</t>
  </si>
  <si>
    <t>MCLD-230</t>
  </si>
  <si>
    <t>Gradescope</t>
  </si>
  <si>
    <t>https://www.gradescope.com</t>
  </si>
  <si>
    <t>Berkeley, California, United States</t>
  </si>
  <si>
    <t>MCLD-231</t>
  </si>
  <si>
    <t>GoMyCode</t>
  </si>
  <si>
    <t>https://gomycode.com</t>
  </si>
  <si>
    <t>Tunis, Tunis, Tunisia</t>
  </si>
  <si>
    <t>MCLD-232</t>
  </si>
  <si>
    <t>AngelQ</t>
  </si>
  <si>
    <t>https://angelq.ai</t>
  </si>
  <si>
    <t>Brentwood, Tennessee, United States</t>
  </si>
  <si>
    <t>MCLD-233</t>
  </si>
  <si>
    <t>Nepris</t>
  </si>
  <si>
    <t>https://nepris.com</t>
  </si>
  <si>
    <t>Frisco, Texas, United States</t>
  </si>
  <si>
    <t>MCLD-234</t>
  </si>
  <si>
    <t>Lessonbee</t>
  </si>
  <si>
    <t>https://lessonbee.com</t>
  </si>
  <si>
    <t>Mount Vernon, New York, United States</t>
  </si>
  <si>
    <t>MCLD-235</t>
  </si>
  <si>
    <t>LEAD</t>
  </si>
  <si>
    <t>https://leadschool.in</t>
  </si>
  <si>
    <t>MCLD-236</t>
  </si>
  <si>
    <t>Work Simplr</t>
  </si>
  <si>
    <t>https://worksimplr.com</t>
  </si>
  <si>
    <t>MCLD-237</t>
  </si>
  <si>
    <t>StudySmarter</t>
  </si>
  <si>
    <t>https://www.studysmarter.co.uk</t>
  </si>
  <si>
    <t>MÃƒÂ¼nchen, Bayern, Germany</t>
  </si>
  <si>
    <t>MCLD-238</t>
  </si>
  <si>
    <t>Unacademy</t>
  </si>
  <si>
    <t>https://unacademy.com</t>
  </si>
  <si>
    <t>MCLD-239</t>
  </si>
  <si>
    <t>Learn In</t>
  </si>
  <si>
    <t>https://learnin.com</t>
  </si>
  <si>
    <t>MCLD-240</t>
  </si>
  <si>
    <t>RevWork</t>
  </si>
  <si>
    <t>https://revwork.com</t>
  </si>
  <si>
    <t>MCLD-241</t>
  </si>
  <si>
    <t>GoGuardian</t>
  </si>
  <si>
    <t>https://www.goguardian.com</t>
  </si>
  <si>
    <t>MCLD-242</t>
  </si>
  <si>
    <t>Language Learning Market</t>
  </si>
  <si>
    <t>https://languagelearningmarket.com</t>
  </si>
  <si>
    <t>Mckinney, Texas, United States</t>
  </si>
  <si>
    <t>MCLD-243</t>
  </si>
  <si>
    <t>Dreami</t>
  </si>
  <si>
    <t>https://dreami.com</t>
  </si>
  <si>
    <t>MCLD-244</t>
  </si>
  <si>
    <t>Pok Pok</t>
  </si>
  <si>
    <t>https://www.playpokpok.com</t>
  </si>
  <si>
    <t>MCLD-245</t>
  </si>
  <si>
    <t>College Contact</t>
  </si>
  <si>
    <t>https://collegecontact.com</t>
  </si>
  <si>
    <t>MCLD-246</t>
  </si>
  <si>
    <t>Abre</t>
  </si>
  <si>
    <t>https://abre.io</t>
  </si>
  <si>
    <t>Cincinnati, Ohio, United States</t>
  </si>
  <si>
    <t>MCLD-247</t>
  </si>
  <si>
    <t>Coding Dojo</t>
  </si>
  <si>
    <t>https://www.codingdojo.com</t>
  </si>
  <si>
    <t>Bellevue, Washington, United States</t>
  </si>
  <si>
    <t>MCLD-248</t>
  </si>
  <si>
    <t>Jotit</t>
  </si>
  <si>
    <t>https://jotit.io</t>
  </si>
  <si>
    <t>MCLD-249</t>
  </si>
  <si>
    <t>Kognity</t>
  </si>
  <si>
    <t>https://kognity.com</t>
  </si>
  <si>
    <t>Stockholm, Stockholms Lan, Sweden</t>
  </si>
  <si>
    <t>MCLD-250</t>
  </si>
  <si>
    <t>GetSetUp</t>
  </si>
  <si>
    <t>https://www.getsetup.io</t>
  </si>
  <si>
    <t>MCLD-251</t>
  </si>
  <si>
    <t>EdSurge</t>
  </si>
  <si>
    <t>https://www.edsurge.com</t>
  </si>
  <si>
    <t>Burlingame, California, United States</t>
  </si>
  <si>
    <t>MCLD-252</t>
  </si>
  <si>
    <t>Yay Lunch</t>
  </si>
  <si>
    <t>https://yaylunch.com</t>
  </si>
  <si>
    <t>Charlottesville, Virginia, United States</t>
  </si>
  <si>
    <t>MCLD-253</t>
  </si>
  <si>
    <t>RuanYun</t>
  </si>
  <si>
    <t>https://www.ruanyun.com</t>
  </si>
  <si>
    <t>Nanchang, Hebei, China</t>
  </si>
  <si>
    <t>MCLD-254</t>
  </si>
  <si>
    <t>IEP&amp;Me</t>
  </si>
  <si>
    <t>https://iepandme.com</t>
  </si>
  <si>
    <t>MCLD-255</t>
  </si>
  <si>
    <t>Higher Ground Education</t>
  </si>
  <si>
    <t>https://highergroundeducation.org</t>
  </si>
  <si>
    <t>Lake Forest, California, United States</t>
  </si>
  <si>
    <t>MCLD-256</t>
  </si>
  <si>
    <t>Codemao</t>
  </si>
  <si>
    <t>https://www.codemao.cn</t>
  </si>
  <si>
    <t>Shenzhen, Guangdong, China</t>
  </si>
  <si>
    <t>MCLD-257</t>
  </si>
  <si>
    <t>Edmo</t>
  </si>
  <si>
    <t>https://www.edmo.org</t>
  </si>
  <si>
    <t>Marlborough, Massachusetts, United States</t>
  </si>
  <si>
    <t>MCLD-258</t>
  </si>
  <si>
    <t>PRYTEK</t>
  </si>
  <si>
    <t>https://prytek.com</t>
  </si>
  <si>
    <t>MCLD-259</t>
  </si>
  <si>
    <t>HUNTY</t>
  </si>
  <si>
    <t>https://hunty.com</t>
  </si>
  <si>
    <t>BogotÃƒÂ¡, Distrito Especial, Colombia</t>
  </si>
  <si>
    <t>MCLD-260</t>
  </si>
  <si>
    <t>Cialfo</t>
  </si>
  <si>
    <t>https://www.cialfo.co</t>
  </si>
  <si>
    <t>MCLD-261</t>
  </si>
  <si>
    <t>CampusLogic</t>
  </si>
  <si>
    <t>https://campuslogic.com</t>
  </si>
  <si>
    <t>Chandler, Arizona, United States</t>
  </si>
  <si>
    <t>MCLD-262</t>
  </si>
  <si>
    <t>Abwaab</t>
  </si>
  <si>
    <t>https://abwaab.com</t>
  </si>
  <si>
    <t>Amman, Amman, Jordan</t>
  </si>
  <si>
    <t>MCLD-263</t>
  </si>
  <si>
    <t>Fams</t>
  </si>
  <si>
    <t>https://fams.ai</t>
  </si>
  <si>
    <t>MCLD-264</t>
  </si>
  <si>
    <t>NetClass Technology</t>
  </si>
  <si>
    <t>https://www.netclasstech.com</t>
  </si>
  <si>
    <t>MCLD-265</t>
  </si>
  <si>
    <t>CENTURY Tech</t>
  </si>
  <si>
    <t>https://www.century.tech</t>
  </si>
  <si>
    <t>MCLD-266</t>
  </si>
  <si>
    <t>Evulpo</t>
  </si>
  <si>
    <t>https://www.evulpo.com</t>
  </si>
  <si>
    <t>ZÃƒÂ¼rich, Zurich, Switzerland</t>
  </si>
  <si>
    <t>MCLD-267</t>
  </si>
  <si>
    <t>Odyssey</t>
  </si>
  <si>
    <t>https://www.odysseyed.com</t>
  </si>
  <si>
    <t>Nyack, New York, United States</t>
  </si>
  <si>
    <t>MCLD-268</t>
  </si>
  <si>
    <t>Workera</t>
  </si>
  <si>
    <t>https://www.workera.ai</t>
  </si>
  <si>
    <t>MCLD-269</t>
  </si>
  <si>
    <t>Cuemath</t>
  </si>
  <si>
    <t>https://www.cuemath.com</t>
  </si>
  <si>
    <t>MCLD-270</t>
  </si>
  <si>
    <t>OnlineMedEd</t>
  </si>
  <si>
    <t>https://onlinemeded.com</t>
  </si>
  <si>
    <t>MCLD-271</t>
  </si>
  <si>
    <t>Doowii</t>
  </si>
  <si>
    <t>https://doowii.com</t>
  </si>
  <si>
    <t>MCLD-272</t>
  </si>
  <si>
    <t>Deepstash</t>
  </si>
  <si>
    <t>https://deepstash.com</t>
  </si>
  <si>
    <t>Newark, Delaware, United States</t>
  </si>
  <si>
    <t>MCLD-273</t>
  </si>
  <si>
    <t>SoundMind</t>
  </si>
  <si>
    <t>https://soundmind.co</t>
  </si>
  <si>
    <t>MCLD-274</t>
  </si>
  <si>
    <t>Boulo Solutions</t>
  </si>
  <si>
    <t>https://www.boulosolutions.com</t>
  </si>
  <si>
    <t>Birmingham, Alabama, United States</t>
  </si>
  <si>
    <t>MCLD-275</t>
  </si>
  <si>
    <t>Leif</t>
  </si>
  <si>
    <t>https://leif.org</t>
  </si>
  <si>
    <t>MCLD-276</t>
  </si>
  <si>
    <t>busuu</t>
  </si>
  <si>
    <t>https://www.busuu.com</t>
  </si>
  <si>
    <t>MCLD-277</t>
  </si>
  <si>
    <t>K-12 Techno Services</t>
  </si>
  <si>
    <t>https://k12technoservices.com</t>
  </si>
  <si>
    <t>Secunderabad, Andhra Pradesh, India</t>
  </si>
  <si>
    <t>MCLD-278</t>
  </si>
  <si>
    <t>Memrise</t>
  </si>
  <si>
    <t>https://www.memrise.com</t>
  </si>
  <si>
    <t>MCLD-279</t>
  </si>
  <si>
    <t>Wonderschool</t>
  </si>
  <si>
    <t>https://www.wonderschool.com</t>
  </si>
  <si>
    <t>MCLD-280</t>
  </si>
  <si>
    <t>StudyTube</t>
  </si>
  <si>
    <t>https://studytube.nl</t>
  </si>
  <si>
    <t>Amsterdam, Noord-Holland, The Netherlands</t>
  </si>
  <si>
    <t>MCLD-281</t>
  </si>
  <si>
    <t>Copper Banking</t>
  </si>
  <si>
    <t>https://getcopper.com</t>
  </si>
  <si>
    <t>Seattle, Washington, United States</t>
  </si>
  <si>
    <t>MCLD-282</t>
  </si>
  <si>
    <t>Sootchy</t>
  </si>
  <si>
    <t>https://sootchy.com</t>
  </si>
  <si>
    <t>MCLD-283</t>
  </si>
  <si>
    <t>UBITS</t>
  </si>
  <si>
    <t>https://ubits.co</t>
  </si>
  <si>
    <t>MCLD-284</t>
  </si>
  <si>
    <t>Innovare</t>
  </si>
  <si>
    <t>https://innovarelearning.com</t>
  </si>
  <si>
    <t>MCLD-285</t>
  </si>
  <si>
    <t>Awign</t>
  </si>
  <si>
    <t>https://www.awign.com</t>
  </si>
  <si>
    <t>MCLD-286</t>
  </si>
  <si>
    <t>Viora - visible through confidence</t>
  </si>
  <si>
    <t>https://viora.io</t>
  </si>
  <si>
    <t>Vienna, Wien, Austria</t>
  </si>
  <si>
    <t>MCLD-287</t>
  </si>
  <si>
    <t>CODE2040</t>
  </si>
  <si>
    <t>https://www.code2040.org</t>
  </si>
  <si>
    <t>MCLD-288</t>
  </si>
  <si>
    <t>Descomplica</t>
  </si>
  <si>
    <t>https://descomplica.com.br</t>
  </si>
  <si>
    <t>Rio De Janeiro, Rio de Janeiro, Brazil</t>
  </si>
  <si>
    <t>MCLD-289</t>
  </si>
  <si>
    <t>Localized</t>
  </si>
  <si>
    <t>https://localized.world</t>
  </si>
  <si>
    <t>MCLD-290</t>
  </si>
  <si>
    <t>InterviewBit</t>
  </si>
  <si>
    <t>https://www.interviewbit.com</t>
  </si>
  <si>
    <t>MCLD-291</t>
  </si>
  <si>
    <t>Mimir</t>
  </si>
  <si>
    <t>https://mimirhq.com</t>
  </si>
  <si>
    <t>MCLD-292</t>
  </si>
  <si>
    <t>CollegeDekho</t>
  </si>
  <si>
    <t>https://www.collegedekho.com</t>
  </si>
  <si>
    <t>MCLD-293</t>
  </si>
  <si>
    <t>Studdy</t>
  </si>
  <si>
    <t>https://studdy.ai</t>
  </si>
  <si>
    <t>MCLD-294</t>
  </si>
  <si>
    <t>GoContractor</t>
  </si>
  <si>
    <t>https://www.gocontractor.com</t>
  </si>
  <si>
    <t>MCLD-295</t>
  </si>
  <si>
    <t>Virtual Internships</t>
  </si>
  <si>
    <t>https://virtualinternships.com</t>
  </si>
  <si>
    <t>MCLD-296</t>
  </si>
  <si>
    <t>Poppins</t>
  </si>
  <si>
    <t>https://www.poppins.io</t>
  </si>
  <si>
    <t>MCLD-297</t>
  </si>
  <si>
    <t>Spark Education Group</t>
  </si>
  <si>
    <t>https://sparkeducationgroup.com</t>
  </si>
  <si>
    <t>MCLD-298</t>
  </si>
  <si>
    <t>Class Companion</t>
  </si>
  <si>
    <t>https://classcompanion.ai</t>
  </si>
  <si>
    <t>MCLD-299</t>
  </si>
  <si>
    <t>BabySparks</t>
  </si>
  <si>
    <t>https://babysparks.com</t>
  </si>
  <si>
    <t>Plantation, Florida, United States</t>
  </si>
  <si>
    <t>MCLD-300</t>
  </si>
  <si>
    <t>HackQuest</t>
  </si>
  <si>
    <t>https://hackquest.io</t>
  </si>
  <si>
    <t>Atlanta, Georgia, United States</t>
  </si>
  <si>
    <t>MCLD-301</t>
  </si>
  <si>
    <t>Filo</t>
  </si>
  <si>
    <t>https://askfilo.com</t>
  </si>
  <si>
    <t>MCLD-302</t>
  </si>
  <si>
    <t>Skilljar</t>
  </si>
  <si>
    <t>https://www.skilljar.com</t>
  </si>
  <si>
    <t>MCLD-303</t>
  </si>
  <si>
    <t>Adda247</t>
  </si>
  <si>
    <t>https://www.adda247.com</t>
  </si>
  <si>
    <t>MCLD-304</t>
  </si>
  <si>
    <t>TAi</t>
  </si>
  <si>
    <t>https://tai.ai</t>
  </si>
  <si>
    <t>Houston, Texas, United States</t>
  </si>
  <si>
    <t>MCLD-305</t>
  </si>
  <si>
    <t>Immersed Games</t>
  </si>
  <si>
    <t>https://immersedgames.com</t>
  </si>
  <si>
    <t>Buffalo, New York, United States</t>
  </si>
  <si>
    <t>MCLD-306</t>
  </si>
  <si>
    <t>Kyron Learning</t>
  </si>
  <si>
    <t>https://kyronlearning.com</t>
  </si>
  <si>
    <t>MCLD-307</t>
  </si>
  <si>
    <t>PlaceHolder</t>
  </si>
  <si>
    <t>https://placeholder.co</t>
  </si>
  <si>
    <t>Tokyo, Tokyo, Japan</t>
  </si>
  <si>
    <t>MCLD-308</t>
  </si>
  <si>
    <t>Rex - K12</t>
  </si>
  <si>
    <t>https://rexk12.com</t>
  </si>
  <si>
    <t>Milwaukee, Wisconsin, United States</t>
  </si>
  <si>
    <t>MCLD-309</t>
  </si>
  <si>
    <t>Accredible</t>
  </si>
  <si>
    <t>https://www.accredible.com</t>
  </si>
  <si>
    <t>MCLD-310</t>
  </si>
  <si>
    <t>Nudge Global</t>
  </si>
  <si>
    <t>https://www.nudgeglobal.com</t>
  </si>
  <si>
    <t>MCLD-311</t>
  </si>
  <si>
    <t>JigSpace</t>
  </si>
  <si>
    <t>https://jigspace.com</t>
  </si>
  <si>
    <t>MCLD-312</t>
  </si>
  <si>
    <t>Encode Club</t>
  </si>
  <si>
    <t>https://encodeclub.com</t>
  </si>
  <si>
    <t>MCLD-313</t>
  </si>
  <si>
    <t>Curate Labs</t>
  </si>
  <si>
    <t>https://curatelabs.com</t>
  </si>
  <si>
    <t>Lehi, Utah, United States</t>
  </si>
  <si>
    <t>MCLD-314</t>
  </si>
  <si>
    <t>Kami</t>
  </si>
  <si>
    <t>https://www.kamiapp.com</t>
  </si>
  <si>
    <t>Auckland, Auckland, New Zealand</t>
  </si>
  <si>
    <t>MCLD-315</t>
  </si>
  <si>
    <t>wilgo.ai</t>
  </si>
  <si>
    <t>https://wilgo.ai</t>
  </si>
  <si>
    <t>MCLD-316</t>
  </si>
  <si>
    <t>Electus Global Education Co, Inc.</t>
  </si>
  <si>
    <t>https://www.electuseducation.com</t>
  </si>
  <si>
    <t>Tampa, Florida, United States</t>
  </si>
  <si>
    <t>MCLD-317</t>
  </si>
  <si>
    <t>Neolth</t>
  </si>
  <si>
    <t>https://neolth.com</t>
  </si>
  <si>
    <t>Walnut Creek, California, United States</t>
  </si>
  <si>
    <t>MCLD-318</t>
  </si>
  <si>
    <t>Photomath</t>
  </si>
  <si>
    <t>https://photomath.com</t>
  </si>
  <si>
    <t>MCLD-319</t>
  </si>
  <si>
    <t>KARRI</t>
  </si>
  <si>
    <t>https://karri.co</t>
  </si>
  <si>
    <t>MCLD-320</t>
  </si>
  <si>
    <t>Amazy.uk</t>
  </si>
  <si>
    <t>https://amazy.uk</t>
  </si>
  <si>
    <t>MCLD-321</t>
  </si>
  <si>
    <t>Globeducate</t>
  </si>
  <si>
    <t>https://www.globeducate.com</t>
  </si>
  <si>
    <t>Villaviciosa De OdÃƒÂ³n, Madrid, Spain</t>
  </si>
  <si>
    <t>MCLD-322</t>
  </si>
  <si>
    <t>Everspring</t>
  </si>
  <si>
    <t>https://everspring.com</t>
  </si>
  <si>
    <t>Evanston, Illinois, United States</t>
  </si>
  <si>
    <t>MCLD-323</t>
  </si>
  <si>
    <t>CoLearn</t>
  </si>
  <si>
    <t>https://colearn.id</t>
  </si>
  <si>
    <t>Senayan, Sumatera Utara, Indonesia</t>
  </si>
  <si>
    <t>MCLD-324</t>
  </si>
  <si>
    <t>HENRY</t>
  </si>
  <si>
    <t>https://www.soyhenry.com</t>
  </si>
  <si>
    <t>Buenos Aires, Distrito Federal, Argentina</t>
  </si>
  <si>
    <t>MCLD-325</t>
  </si>
  <si>
    <t>Lendorse</t>
  </si>
  <si>
    <t>https://lendorse.com</t>
  </si>
  <si>
    <t>MCLD-326</t>
  </si>
  <si>
    <t>House of Math</t>
  </si>
  <si>
    <t>https://www.houseofmath.com</t>
  </si>
  <si>
    <t>Oslo, Oslo, Norway</t>
  </si>
  <si>
    <t>MCLD-327</t>
  </si>
  <si>
    <t>Campfire</t>
  </si>
  <si>
    <t>https://campfirewriting.com</t>
  </si>
  <si>
    <t>MCLD-328</t>
  </si>
  <si>
    <t>Examity</t>
  </si>
  <si>
    <t>https://www.examity.com</t>
  </si>
  <si>
    <t>Newton, Massachusetts, United States</t>
  </si>
  <si>
    <t>MCLD-329</t>
  </si>
  <si>
    <t>Meaningful Gigs</t>
  </si>
  <si>
    <t>https://meaningfulgigs.com</t>
  </si>
  <si>
    <t>Meeting ID</t>
  </si>
  <si>
    <t>MCLD-330</t>
  </si>
  <si>
    <t>Matific</t>
  </si>
  <si>
    <t>Time</t>
  </si>
  <si>
    <t>https://www.matific.com</t>
  </si>
  <si>
    <t>Meeting Joining By</t>
  </si>
  <si>
    <t>Meeting Type</t>
  </si>
  <si>
    <t>Agenda</t>
  </si>
  <si>
    <t>Outcome/Notes</t>
  </si>
  <si>
    <t>Next Steps</t>
  </si>
  <si>
    <t>Added By</t>
  </si>
  <si>
    <t>Sydney, New South Wales, Australia</t>
  </si>
  <si>
    <t>MCLD-331</t>
  </si>
  <si>
    <t>2U</t>
  </si>
  <si>
    <t>https://2u.com</t>
  </si>
  <si>
    <t>Hyattsville, Maryland, United States</t>
  </si>
  <si>
    <t>MCLD-332</t>
  </si>
  <si>
    <t>Elsa</t>
  </si>
  <si>
    <t>https://elsaspeak.com</t>
  </si>
  <si>
    <t>Los Gatos, California, United States</t>
  </si>
  <si>
    <t>MCLD-333</t>
  </si>
  <si>
    <t>ThriveDX</t>
  </si>
  <si>
    <t>https://thrivedx.com</t>
  </si>
  <si>
    <t>Coral Gables, Florida, United States</t>
  </si>
  <si>
    <t>MCLD-334</t>
  </si>
  <si>
    <t>Careerist</t>
  </si>
  <si>
    <t>https://careerist.com</t>
  </si>
  <si>
    <t>MCLD-335</t>
  </si>
  <si>
    <t>Cubbes</t>
  </si>
  <si>
    <t>https://cubbes.com</t>
  </si>
  <si>
    <t>Lagos, Lagos, Nigeria</t>
  </si>
  <si>
    <t>MCLD-336</t>
  </si>
  <si>
    <t>Hupo</t>
  </si>
  <si>
    <t>https://hupo.co</t>
  </si>
  <si>
    <t>MCLD-337</t>
  </si>
  <si>
    <t>Degreed</t>
  </si>
  <si>
    <t>https://degreed.com</t>
  </si>
  <si>
    <t>Pleasanton, California, United States</t>
  </si>
  <si>
    <t>MCLD-338</t>
  </si>
  <si>
    <t>Talently</t>
  </si>
  <si>
    <t>https://talently.ai</t>
  </si>
  <si>
    <t>Lima, Lima, Peru</t>
  </si>
  <si>
    <t>MCLD-339</t>
  </si>
  <si>
    <t>Prep</t>
  </si>
  <si>
    <t>https://prep.com</t>
  </si>
  <si>
    <t>Hanoi, NA - Vietnam, Vietnam</t>
  </si>
  <si>
    <t>MCLD-340</t>
  </si>
  <si>
    <t>Tovuti Inc.</t>
  </si>
  <si>
    <t>https://www.tovuti.io</t>
  </si>
  <si>
    <t>Eagle, Idaho, United States</t>
  </si>
  <si>
    <t>MCLD-341</t>
  </si>
  <si>
    <t>Formative</t>
  </si>
  <si>
    <t>https://www.formative.com</t>
  </si>
  <si>
    <t>John Doe</t>
  </si>
  <si>
    <t>Inglewood, California, United States</t>
  </si>
  <si>
    <t>MCLD-342</t>
  </si>
  <si>
    <t>Extern</t>
  </si>
  <si>
    <t>https://extern.com</t>
  </si>
  <si>
    <t>MCLD-343</t>
  </si>
  <si>
    <t>Guidewell Education</t>
  </si>
  <si>
    <t>https://guidewelleducation.com</t>
  </si>
  <si>
    <t>Discovery</t>
  </si>
  <si>
    <t>Discuss Q3 Upgrade</t>
  </si>
  <si>
    <t>Positive response, wants demo</t>
  </si>
  <si>
    <t>Schedule demo next week</t>
  </si>
  <si>
    <t>Sacramento, California, United States</t>
  </si>
  <si>
    <t>MM-002</t>
  </si>
  <si>
    <t>Test</t>
  </si>
  <si>
    <t>Jane Roe</t>
  </si>
  <si>
    <t>MCLD-344</t>
  </si>
  <si>
    <t>Xiaoe Tech</t>
  </si>
  <si>
    <t>Demo</t>
  </si>
  <si>
    <t>https://www.xiaoe-tech.com</t>
  </si>
  <si>
    <t>Showcase custom integration</t>
  </si>
  <si>
    <t>Impressed but needs approval</t>
  </si>
  <si>
    <t>Send proposal</t>
  </si>
  <si>
    <t>MCLD-345</t>
  </si>
  <si>
    <t>Coding Giants</t>
  </si>
  <si>
    <t>https://codinggiants.com</t>
  </si>
  <si>
    <t>Warsaw, Mazowieckie, Poland</t>
  </si>
  <si>
    <t>MCLD-346</t>
  </si>
  <si>
    <t>Klaxoon</t>
  </si>
  <si>
    <t>https://klaxoon.com</t>
  </si>
  <si>
    <t>Rennes, Bretagne, France</t>
  </si>
  <si>
    <t>MCLD-347</t>
  </si>
  <si>
    <t>BRAVE UP!</t>
  </si>
  <si>
    <t>https://braveup.com</t>
  </si>
  <si>
    <t>MCLD-348</t>
  </si>
  <si>
    <t>Revyze</t>
  </si>
  <si>
    <t>https://www.revyze.it</t>
  </si>
  <si>
    <t>MCLD-349</t>
  </si>
  <si>
    <t>Minerva Project</t>
  </si>
  <si>
    <t>https://www.minervaproject.com</t>
  </si>
  <si>
    <t>MCLD-350</t>
  </si>
  <si>
    <t>Blue Canoe Learning</t>
  </si>
  <si>
    <t>https://bluecanoelearning.com</t>
  </si>
  <si>
    <t>MCLD-351</t>
  </si>
  <si>
    <t>Embibe</t>
  </si>
  <si>
    <t>https://www.embibe.com</t>
  </si>
  <si>
    <t>MCLD-352</t>
  </si>
  <si>
    <t>Prenda</t>
  </si>
  <si>
    <t>https://prenda.co</t>
  </si>
  <si>
    <t>Mesa, Arizona, United States</t>
  </si>
  <si>
    <t>MCLD-353</t>
  </si>
  <si>
    <t>Knowledgehook</t>
  </si>
  <si>
    <t>https://knowledgehook.com</t>
  </si>
  <si>
    <t>MCLD-354</t>
  </si>
  <si>
    <t>Kangarootime</t>
  </si>
  <si>
    <t>https://www.kangarootime.com</t>
  </si>
  <si>
    <t>MCLD-355</t>
  </si>
  <si>
    <t>UTOBO INC.</t>
  </si>
  <si>
    <t>https://utobo.com</t>
  </si>
  <si>
    <t>MCLD-356</t>
  </si>
  <si>
    <t>HiMama</t>
  </si>
  <si>
    <t>https://www.himama.com</t>
  </si>
  <si>
    <t>MCLD-357</t>
  </si>
  <si>
    <t>Obrizum</t>
  </si>
  <si>
    <t>https://www.obrizum.com</t>
  </si>
  <si>
    <t>Cambridge, Cambridgeshire, United Kingdom</t>
  </si>
  <si>
    <t>MCLD-358</t>
  </si>
  <si>
    <t>Unstop</t>
  </si>
  <si>
    <t>https://unstop.com</t>
  </si>
  <si>
    <t>New Delhi, Delhi, India</t>
  </si>
  <si>
    <t>MCLD-359</t>
  </si>
  <si>
    <t>Uptime</t>
  </si>
  <si>
    <t>https://uptime.app</t>
  </si>
  <si>
    <t>MCLD-360</t>
  </si>
  <si>
    <t>Bites</t>
  </si>
  <si>
    <t>https://biteslearning.com</t>
  </si>
  <si>
    <t>MCLD-361</t>
  </si>
  <si>
    <t>Maximal Learning</t>
  </si>
  <si>
    <t>https://maximallearning.com</t>
  </si>
  <si>
    <t>MCLD-362</t>
  </si>
  <si>
    <t>Fuse Universal</t>
  </si>
  <si>
    <t>https://www.fuseuniversal.com</t>
  </si>
  <si>
    <t>Shoreditch, Hackney, United Kingdom</t>
  </si>
  <si>
    <t>MCLD-363</t>
  </si>
  <si>
    <t>Evolve Platform</t>
  </si>
  <si>
    <t>https://evolveplatform.com</t>
  </si>
  <si>
    <t>MCLD-364</t>
  </si>
  <si>
    <t>WeWillWrite</t>
  </si>
  <si>
    <t>https://wewillwrite.com</t>
  </si>
  <si>
    <t>MCLD-365</t>
  </si>
  <si>
    <t>Skilledin Green</t>
  </si>
  <si>
    <t>https://skilledingreen.com</t>
  </si>
  <si>
    <t>MCLD-366</t>
  </si>
  <si>
    <t>DegreeSight</t>
  </si>
  <si>
    <t>https://degreesight.com</t>
  </si>
  <si>
    <t>MCLD-367</t>
  </si>
  <si>
    <t>Ula.me</t>
  </si>
  <si>
    <t>https://ula.me</t>
  </si>
  <si>
    <t>Riyadh, Ar Riyad, Saudi Arabia</t>
  </si>
  <si>
    <t>MCLD-368</t>
  </si>
  <si>
    <t>Learnswell</t>
  </si>
  <si>
    <t>https://learnswell.com</t>
  </si>
  <si>
    <t>MCLD-369</t>
  </si>
  <si>
    <t>BEGiN</t>
  </si>
  <si>
    <t>https://beginlearning.com</t>
  </si>
  <si>
    <t>MCLD-370</t>
  </si>
  <si>
    <t>Fiveable</t>
  </si>
  <si>
    <t>https://fiveable.me</t>
  </si>
  <si>
    <t>MCLD-371</t>
  </si>
  <si>
    <t>Egg</t>
  </si>
  <si>
    <t>https://egg.live</t>
  </si>
  <si>
    <t>Mendoza, Mendoza, Argentina</t>
  </si>
  <si>
    <t>MCLD-372</t>
  </si>
  <si>
    <t>Bcas</t>
  </si>
  <si>
    <t>https://bcas.co</t>
  </si>
  <si>
    <t>MCLD-373</t>
  </si>
  <si>
    <t>Learnosity</t>
  </si>
  <si>
    <t>https://www.learnosity.com</t>
  </si>
  <si>
    <t>MCLD-374</t>
  </si>
  <si>
    <t>Shoonya</t>
  </si>
  <si>
    <t>https://shoonya.ai</t>
  </si>
  <si>
    <t>Santa Barbara, California, United States</t>
  </si>
  <si>
    <t>MCLD-375</t>
  </si>
  <si>
    <t>EducUp</t>
  </si>
  <si>
    <t>https://educup.io</t>
  </si>
  <si>
    <t>MCLD-376</t>
  </si>
  <si>
    <t>CodeCombat</t>
  </si>
  <si>
    <t>https://codecombat.com</t>
  </si>
  <si>
    <t>MCLD-377</t>
  </si>
  <si>
    <t>Derivita</t>
  </si>
  <si>
    <t>https://derivita.com</t>
  </si>
  <si>
    <t>Sandy, Utah, United States</t>
  </si>
  <si>
    <t>MCLD-378</t>
  </si>
  <si>
    <t>CoGrader</t>
  </si>
  <si>
    <t>https://cograder.com</t>
  </si>
  <si>
    <t>MCLD-379</t>
  </si>
  <si>
    <t>Top Tier Lessons</t>
  </si>
  <si>
    <t>https://toptierlessons.com</t>
  </si>
  <si>
    <t>Champaign, Illinois, United States</t>
  </si>
  <si>
    <t>MCLD-380</t>
  </si>
  <si>
    <t>HiLink</t>
  </si>
  <si>
    <t>https://hilink.co</t>
  </si>
  <si>
    <t>MCLD-381</t>
  </si>
  <si>
    <t>Mindstone</t>
  </si>
  <si>
    <t>https://mindstone.com</t>
  </si>
  <si>
    <t>MCLD-382</t>
  </si>
  <si>
    <t>AmazingTalker</t>
  </si>
  <si>
    <t>https://www.amazingtalker.com</t>
  </si>
  <si>
    <t>Taipei, T'ai-pei, Taiwan</t>
  </si>
  <si>
    <t>MCLD-383</t>
  </si>
  <si>
    <t>LabLabee</t>
  </si>
  <si>
    <t>https://lablabee.com</t>
  </si>
  <si>
    <t>MCLD-384</t>
  </si>
  <si>
    <t>MAI</t>
  </si>
  <si>
    <t>https://mai.ai</t>
  </si>
  <si>
    <t>Fairfax, Virginia, United States</t>
  </si>
  <si>
    <t>MCLD-385</t>
  </si>
  <si>
    <t>Doubtnut</t>
  </si>
  <si>
    <t>https://www.doubtnut.com</t>
  </si>
  <si>
    <t>MCLD-386</t>
  </si>
  <si>
    <t>Kaiden AI</t>
  </si>
  <si>
    <t>https://kaiden.ai</t>
  </si>
  <si>
    <t>MCLD-387</t>
  </si>
  <si>
    <t>Virohan</t>
  </si>
  <si>
    <t>https://virohan.com</t>
  </si>
  <si>
    <t>MCLD-388</t>
  </si>
  <si>
    <t>ThinkCERCA</t>
  </si>
  <si>
    <t>https://www.thinkcerca.com</t>
  </si>
  <si>
    <t>MCLD-389</t>
  </si>
  <si>
    <t>Coderhouse</t>
  </si>
  <si>
    <t>https://www.coderhouse.com</t>
  </si>
  <si>
    <t>MCLD-390</t>
  </si>
  <si>
    <t>ALBA</t>
  </si>
  <si>
    <t>https://alba.education</t>
  </si>
  <si>
    <t>Quote ID</t>
  </si>
  <si>
    <t>Opportunity Name</t>
  </si>
  <si>
    <t>Total Amount</t>
  </si>
  <si>
    <t>Valid Until</t>
  </si>
  <si>
    <t>MCLD-391</t>
  </si>
  <si>
    <t>TuringDream</t>
  </si>
  <si>
    <t>Sent by</t>
  </si>
  <si>
    <t>https://turingdream.com</t>
  </si>
  <si>
    <t>MCLD-392</t>
  </si>
  <si>
    <t>Scholarly Software</t>
  </si>
  <si>
    <t>https://scholarlysoftware.com</t>
  </si>
  <si>
    <t>MCLD-393</t>
  </si>
  <si>
    <t>Wonder Workshop</t>
  </si>
  <si>
    <t>https://www.wonderworkshop.com</t>
  </si>
  <si>
    <t>MCLD-394</t>
  </si>
  <si>
    <t>Finanz</t>
  </si>
  <si>
    <t>https://finanz.ai</t>
  </si>
  <si>
    <t>Milan, Lombardia, Italy</t>
  </si>
  <si>
    <t>MCLD-395</t>
  </si>
  <si>
    <t>Knowbox</t>
  </si>
  <si>
    <t>https://knowbox.io</t>
  </si>
  <si>
    <t>MCLD-396</t>
  </si>
  <si>
    <t>Sortient</t>
  </si>
  <si>
    <t>https://sortient.com</t>
  </si>
  <si>
    <t>Acme Corp</t>
  </si>
  <si>
    <t>Acme Corp Q3 Upgrade</t>
  </si>
  <si>
    <t>Sent</t>
  </si>
  <si>
    <t>MCLD-397</t>
  </si>
  <si>
    <t>Tuition.io</t>
  </si>
  <si>
    <t>MQ-002</t>
  </si>
  <si>
    <t>https://www.tuition.io</t>
  </si>
  <si>
    <t>Globex Inc</t>
  </si>
  <si>
    <t>Globex Initial Implementation</t>
  </si>
  <si>
    <t>Draft</t>
  </si>
  <si>
    <t>MQ-003</t>
  </si>
  <si>
    <t>Soylent Corp</t>
  </si>
  <si>
    <t>Jim Beam</t>
  </si>
  <si>
    <t>Soylent Renewals</t>
  </si>
  <si>
    <t>Accepted</t>
  </si>
  <si>
    <t>Santa Monica, California, United States</t>
  </si>
  <si>
    <t>MCLD-398</t>
  </si>
  <si>
    <t>Shikho</t>
  </si>
  <si>
    <t>https://shikho.com</t>
  </si>
  <si>
    <t>Dhaka, Dhaka, Bangladesh</t>
  </si>
  <si>
    <t>MCLD-399</t>
  </si>
  <si>
    <t>Amplio</t>
  </si>
  <si>
    <t>https://amplio.org</t>
  </si>
  <si>
    <t>Rockville, Maryland, United States</t>
  </si>
  <si>
    <t>MCLD-400</t>
  </si>
  <si>
    <t>Letitu</t>
  </si>
  <si>
    <t>https://letitu.com</t>
  </si>
  <si>
    <t>MCLD-401</t>
  </si>
  <si>
    <t>iSchool</t>
  </si>
  <si>
    <t>https://ischoolconnect.com</t>
  </si>
  <si>
    <t>Cairo, Al Qahirah, Egypt</t>
  </si>
  <si>
    <t>MCLD-402</t>
  </si>
  <si>
    <t>Instruqt</t>
  </si>
  <si>
    <t>https://instruqt.com</t>
  </si>
  <si>
    <t>Hilversum, Noord-Holland, The Netherlands</t>
  </si>
  <si>
    <t>MCLD-403</t>
  </si>
  <si>
    <t>Ahura AI</t>
  </si>
  <si>
    <t>https://ahura.ai</t>
  </si>
  <si>
    <t>MCLD-404</t>
  </si>
  <si>
    <t>EdVisorly</t>
  </si>
  <si>
    <t>https://edvisorly.com</t>
  </si>
  <si>
    <t>MCLD-405</t>
  </si>
  <si>
    <t>HyperionDev</t>
  </si>
  <si>
    <t>https://www.hyperiondev.com</t>
  </si>
  <si>
    <t>Cape Town, NA - South Africa, South Africa</t>
  </si>
  <si>
    <t>MCLD-406</t>
  </si>
  <si>
    <t>Hoot Reading</t>
  </si>
  <si>
    <t>https://www.hootreading.com</t>
  </si>
  <si>
    <t>Winnipeg, Manitoba, Canada</t>
  </si>
  <si>
    <t>MCLD-407</t>
  </si>
  <si>
    <t>Wuolah</t>
  </si>
  <si>
    <t>https://www.wuolah.com</t>
  </si>
  <si>
    <t>Sevilla, Andalucia, Spain</t>
  </si>
  <si>
    <t>MCLD-408</t>
  </si>
  <si>
    <t>Cirkled in</t>
  </si>
  <si>
    <t>https://cirkledin.com</t>
  </si>
  <si>
    <t>MCLD-409</t>
  </si>
  <si>
    <t>uConnect</t>
  </si>
  <si>
    <t>https://uconnectlabs.com</t>
  </si>
  <si>
    <t>Cambridge, Massachusetts, United States</t>
  </si>
  <si>
    <t>MCLD-410</t>
  </si>
  <si>
    <t>Curipod</t>
  </si>
  <si>
    <t>https://curipod.com</t>
  </si>
  <si>
    <t>Bergen, Hordaland, Norway</t>
  </si>
  <si>
    <t>MCLD-411</t>
  </si>
  <si>
    <t>Turing College</t>
  </si>
  <si>
    <t>https://www.turingcollege.com</t>
  </si>
  <si>
    <t>MCLD-412</t>
  </si>
  <si>
    <t>Bluelearn</t>
  </si>
  <si>
    <t>https://www.bluelearn.in</t>
  </si>
  <si>
    <t>MCLD-413</t>
  </si>
  <si>
    <t>Prepia</t>
  </si>
  <si>
    <t>https://prepia.co</t>
  </si>
  <si>
    <t>MCLD-414</t>
  </si>
  <si>
    <t>Authentica Solutions</t>
  </si>
  <si>
    <t>https://authenticasolutions.com</t>
  </si>
  <si>
    <t>MCLD-415</t>
  </si>
  <si>
    <t>MEL Science</t>
  </si>
  <si>
    <t>https://melscience.com</t>
  </si>
  <si>
    <t>MCLD-416</t>
  </si>
  <si>
    <t>Glorang</t>
  </si>
  <si>
    <t>https://glorang.com</t>
  </si>
  <si>
    <t>MCLD-417</t>
  </si>
  <si>
    <t>Ucademy</t>
  </si>
  <si>
    <t>https://ucademy.com</t>
  </si>
  <si>
    <t>MCLD-418</t>
  </si>
  <si>
    <t>ESAI</t>
  </si>
  <si>
    <t>https://esai.ai</t>
  </si>
  <si>
    <t>MCLD-419</t>
  </si>
  <si>
    <t>Lectera</t>
  </si>
  <si>
    <t>https://lectera.com</t>
  </si>
  <si>
    <t>MCLD-420</t>
  </si>
  <si>
    <t>AlGooru</t>
  </si>
  <si>
    <t>https://algooru.com</t>
  </si>
  <si>
    <t>MCLD-421</t>
  </si>
  <si>
    <t>EarlyDay</t>
  </si>
  <si>
    <t>https://earlyday.com</t>
  </si>
  <si>
    <t>MCLD-422</t>
  </si>
  <si>
    <t>Mosabi</t>
  </si>
  <si>
    <t>https://www.mosabi.com</t>
  </si>
  <si>
    <t>MCLD-423</t>
  </si>
  <si>
    <t>Bloks Technology Group</t>
  </si>
  <si>
    <t>https://blokstechnology.com</t>
  </si>
  <si>
    <t>Minhang, Shanghai, China</t>
  </si>
  <si>
    <t>MCLD-424</t>
  </si>
  <si>
    <t>Beyond Pulse</t>
  </si>
  <si>
    <t>https://beyondpulse.com</t>
  </si>
  <si>
    <t>MCLD-425</t>
  </si>
  <si>
    <t>Learnerbly</t>
  </si>
  <si>
    <t>https://www.learnerbly.com</t>
  </si>
  <si>
    <t>MCLD-426</t>
  </si>
  <si>
    <t>Openmind</t>
  </si>
  <si>
    <t>https://openmindlearning.com</t>
  </si>
  <si>
    <t>MCLD-427</t>
  </si>
  <si>
    <t>SmallTalk2.me</t>
  </si>
  <si>
    <t>https://smalltalk2.me</t>
  </si>
  <si>
    <t>Walnut, California, United States</t>
  </si>
  <si>
    <t>MCLD-428</t>
  </si>
  <si>
    <t>Getcourse.ru</t>
  </si>
  <si>
    <t>https://getcourse.ru</t>
  </si>
  <si>
    <t>Skolkovo, Moskva, Russian Federation</t>
  </si>
  <si>
    <t>MCLD-429</t>
  </si>
  <si>
    <t>Atom Learning</t>
  </si>
  <si>
    <t>https://atomlearning.com</t>
  </si>
  <si>
    <t>MCLD-430</t>
  </si>
  <si>
    <t>Linus</t>
  </si>
  <si>
    <t>https://linus.education</t>
  </si>
  <si>
    <t>MCLD-431</t>
  </si>
  <si>
    <t>Twin Science &amp; Robotics</t>
  </si>
  <si>
    <t>https://twinscience.com</t>
  </si>
  <si>
    <t>Istanbul, Istanbul, Turkey</t>
  </si>
  <si>
    <t>MCLD-432</t>
  </si>
  <si>
    <t>Frizzle</t>
  </si>
  <si>
    <t>https://frizzle.ai</t>
  </si>
  <si>
    <t>MCLD-433</t>
  </si>
  <si>
    <t>POK - Proof of Knowledge</t>
  </si>
  <si>
    <t>https://proofofknowledge.com</t>
  </si>
  <si>
    <t>Montevideo, NA - Uruguay, Uruguay</t>
  </si>
  <si>
    <t>MCLD-434</t>
  </si>
  <si>
    <t>DigitalEd</t>
  </si>
  <si>
    <t>https://digitaled.com</t>
  </si>
  <si>
    <t>Waterloo, Ontario, Canada</t>
  </si>
  <si>
    <t>MCLD-435</t>
  </si>
  <si>
    <t>Empowered Education</t>
  </si>
  <si>
    <t>https://empowered.education</t>
  </si>
  <si>
    <t>MCLD-436</t>
  </si>
  <si>
    <t>Particula</t>
  </si>
  <si>
    <t>https://particula.io</t>
  </si>
  <si>
    <t>Netanya, HaMerkaz, Israel</t>
  </si>
  <si>
    <t>MCLD-437</t>
  </si>
  <si>
    <t>Electives</t>
  </si>
  <si>
    <t>https://electives.io</t>
  </si>
  <si>
    <t>MCLD-438</t>
  </si>
  <si>
    <t>Tutored by Teachers</t>
  </si>
  <si>
    <t>https://tutoredbyteachers.com</t>
  </si>
  <si>
    <t>MCLD-439</t>
  </si>
  <si>
    <t>Complori</t>
  </si>
  <si>
    <t>https://complori.com</t>
  </si>
  <si>
    <t>MCLD-440</t>
  </si>
  <si>
    <t>ACI Learning</t>
  </si>
  <si>
    <t>https://acilearning.com</t>
  </si>
  <si>
    <t>Centennial, Colorado, United States</t>
  </si>
  <si>
    <t>MCLD-441</t>
  </si>
  <si>
    <t>Learnie</t>
  </si>
  <si>
    <t>https://learnie.app</t>
  </si>
  <si>
    <t>Salt Lake City, Utah, United States</t>
  </si>
  <si>
    <t>MCLD-442</t>
  </si>
  <si>
    <t>Domi Technology</t>
  </si>
  <si>
    <t>https://domitech.ai</t>
  </si>
  <si>
    <t>MCLD-443</t>
  </si>
  <si>
    <t>Semilla Co. (Flou / Seed Academy)</t>
  </si>
  <si>
    <t>https://semilla.co</t>
  </si>
  <si>
    <t>Fort Lauderdale, Florida, United States</t>
  </si>
  <si>
    <t>MCLD-444</t>
  </si>
  <si>
    <t>Joinrs</t>
  </si>
  <si>
    <t>https://joinrs.com</t>
  </si>
  <si>
    <t>Milano, Lombardia, Italy</t>
  </si>
  <si>
    <t>MCLD-445</t>
  </si>
  <si>
    <t>Fenbi</t>
  </si>
  <si>
    <t>https://www.fenbi.com</t>
  </si>
  <si>
    <t>MCLD-446</t>
  </si>
  <si>
    <t>Kunduz</t>
  </si>
  <si>
    <t>https://kunduz.com</t>
  </si>
  <si>
    <t>MCLD-447</t>
  </si>
  <si>
    <t>Benetech</t>
  </si>
  <si>
    <t>https://www.benetech.org</t>
  </si>
  <si>
    <t>MCLD-448</t>
  </si>
  <si>
    <t>Educbank</t>
  </si>
  <si>
    <t>https://educbank.com</t>
  </si>
  <si>
    <t>MCLD-449</t>
  </si>
  <si>
    <t>ChalkTalk</t>
  </si>
  <si>
    <t>https://chalktalk.com</t>
  </si>
  <si>
    <t>MCLD-450</t>
  </si>
  <si>
    <t>Cakap</t>
  </si>
  <si>
    <t>https://www.cakap.com</t>
  </si>
  <si>
    <t>Jakarta, Jakarta Raya, Indonesia</t>
  </si>
  <si>
    <t>MCLD-451</t>
  </si>
  <si>
    <t>Zhangmen</t>
  </si>
  <si>
    <t>https://www.zhangmen.com</t>
  </si>
  <si>
    <t>MCLD-452</t>
  </si>
  <si>
    <t>NovoEd</t>
  </si>
  <si>
    <t>https://novoed.com</t>
  </si>
  <si>
    <t>MCLD-453</t>
  </si>
  <si>
    <t>Edrolo</t>
  </si>
  <si>
    <t>https://edrolo.com.au</t>
  </si>
  <si>
    <t>Fitzroy, Victoria, Australia</t>
  </si>
  <si>
    <t>MCLD-454</t>
  </si>
  <si>
    <t>Yellowdig</t>
  </si>
  <si>
    <t>https://yellowdig.co</t>
  </si>
  <si>
    <t>Philadelphia, Pennsylvania, United States</t>
  </si>
  <si>
    <t>MCLD-455</t>
  </si>
  <si>
    <t>digitalundivided</t>
  </si>
  <si>
    <t>https://www.digitalundivided.com</t>
  </si>
  <si>
    <t>MCLD-456</t>
  </si>
  <si>
    <t>Knewton</t>
  </si>
  <si>
    <t>https://www.knewton.com</t>
  </si>
  <si>
    <t>MCLD-457</t>
  </si>
  <si>
    <t>Redbrick</t>
  </si>
  <si>
    <t>https://redbrickedu.com</t>
  </si>
  <si>
    <t>MCLD-458</t>
  </si>
  <si>
    <t>https://2018.vc</t>
  </si>
  <si>
    <t>Hancock, Michigan, United States</t>
  </si>
  <si>
    <t>MCLD-459</t>
  </si>
  <si>
    <t>Oda Class</t>
  </si>
  <si>
    <t>https://oda.ai</t>
  </si>
  <si>
    <t>MCLD-460</t>
  </si>
  <si>
    <t>TinyTap</t>
  </si>
  <si>
    <t>https://www.tinytap.com</t>
  </si>
  <si>
    <t>MCLD-461</t>
  </si>
  <si>
    <t>EDCAPIT</t>
  </si>
  <si>
    <t>https://edcapit.com</t>
  </si>
  <si>
    <t>MCLD-462</t>
  </si>
  <si>
    <t>Novel Effect</t>
  </si>
  <si>
    <t>https://www.noveleffect.com</t>
  </si>
  <si>
    <t>MCLD-463</t>
  </si>
  <si>
    <t>CreativeLive</t>
  </si>
  <si>
    <t>https://www.creativelive.com</t>
  </si>
  <si>
    <t>MCLD-464</t>
  </si>
  <si>
    <t>Housing Cloud</t>
  </si>
  <si>
    <t>https://housingcloud.com</t>
  </si>
  <si>
    <t>MCLD-465</t>
  </si>
  <si>
    <t>Carousel</t>
  </si>
  <si>
    <t>https://carousellearning.com</t>
  </si>
  <si>
    <t>MCLD-466</t>
  </si>
  <si>
    <t>Bodyswaps</t>
  </si>
  <si>
    <t>https://bodyswaps.co</t>
  </si>
  <si>
    <t>MCLD-467</t>
  </si>
  <si>
    <t>Kadama</t>
  </si>
  <si>
    <t>https://kadama.com</t>
  </si>
  <si>
    <t>MCLD-468</t>
  </si>
  <si>
    <t>SymphoMe</t>
  </si>
  <si>
    <t>https://symphome.com</t>
  </si>
  <si>
    <t>Edinburgh, Edinburgh, City of, United Kingdom</t>
  </si>
  <si>
    <t>MCLD-469</t>
  </si>
  <si>
    <t>Noodle Markets</t>
  </si>
  <si>
    <t>https://noodlemarkets.com</t>
  </si>
  <si>
    <t>MCLD-470</t>
  </si>
  <si>
    <t>Kinnu</t>
  </si>
  <si>
    <t>https://kinnu.xyz</t>
  </si>
  <si>
    <t>MCLD-471</t>
  </si>
  <si>
    <t>Beepboop</t>
  </si>
  <si>
    <t>https://beepboop.ai</t>
  </si>
  <si>
    <t>MCLD-472</t>
  </si>
  <si>
    <t>Smartschool</t>
  </si>
  <si>
    <t>https://smartschool.be</t>
  </si>
  <si>
    <t>MCLD-473</t>
  </si>
  <si>
    <t>Playbook</t>
  </si>
  <si>
    <t>https://playbook.com</t>
  </si>
  <si>
    <t>Manama, Al Manamah, Bahrain</t>
  </si>
  <si>
    <t>MCLD-474</t>
  </si>
  <si>
    <t>Zhuoshi Technology</t>
  </si>
  <si>
    <t>https://www.zhuoshi-tech.com</t>
  </si>
  <si>
    <t>Haidian, Beijing, China</t>
  </si>
  <si>
    <t>MCLD-475</t>
  </si>
  <si>
    <t>American Public Education</t>
  </si>
  <si>
    <t>https://www.americanpubliceducation.com</t>
  </si>
  <si>
    <t>Charles Town, West Virginia, United States</t>
  </si>
  <si>
    <t>MCLD-476</t>
  </si>
  <si>
    <t>Area9 Lyceum</t>
  </si>
  <si>
    <t>https://area9lyceum.com</t>
  </si>
  <si>
    <t>Chestnut Hill, Massachusetts, United States</t>
  </si>
  <si>
    <t>MCLD-477</t>
  </si>
  <si>
    <t>New Oriental Education &amp; Technology Group</t>
  </si>
  <si>
    <t>https://www.neworiental.org</t>
  </si>
  <si>
    <t>MCLD-478</t>
  </si>
  <si>
    <t>Kidaptive</t>
  </si>
  <si>
    <t>https://kidaptive.com</t>
  </si>
  <si>
    <t>MCLD-479</t>
  </si>
  <si>
    <t>Lecturio</t>
  </si>
  <si>
    <t>https://www.lecturio.com</t>
  </si>
  <si>
    <t>Leipzig, Sachsen, Germany</t>
  </si>
  <si>
    <t>MCLD-480</t>
  </si>
  <si>
    <t>HeyHi</t>
  </si>
  <si>
    <t>https://heyhi.sg</t>
  </si>
  <si>
    <t>MCLD-481</t>
  </si>
  <si>
    <t>Educato AI</t>
  </si>
  <si>
    <t>https://educato.ai</t>
  </si>
  <si>
    <t>MCLD-482</t>
  </si>
  <si>
    <t>Reportwell</t>
  </si>
  <si>
    <t>https://reportwell.com</t>
  </si>
  <si>
    <t>MCLD-483</t>
  </si>
  <si>
    <t>Thynk</t>
  </si>
  <si>
    <t>https://thynk.cloud</t>
  </si>
  <si>
    <t>Orlando, Florida, United States</t>
  </si>
  <si>
    <t>MCLD-484</t>
  </si>
  <si>
    <t>Bright Horizons</t>
  </si>
  <si>
    <t>https://www.brighthorizons.com</t>
  </si>
  <si>
    <t>MCLD-485</t>
  </si>
  <si>
    <t>ConexED</t>
  </si>
  <si>
    <t>https://conexed.com</t>
  </si>
  <si>
    <t>MCLD-486</t>
  </si>
  <si>
    <t>CodeHS</t>
  </si>
  <si>
    <t>https://codehs.com</t>
  </si>
  <si>
    <t>MCLD-487</t>
  </si>
  <si>
    <t>Vuihoc.vn</t>
  </si>
  <si>
    <t>https://vuihoc.vn</t>
  </si>
  <si>
    <t>MCLD-488</t>
  </si>
  <si>
    <t>CareerOS</t>
  </si>
  <si>
    <t>https://careeros.io</t>
  </si>
  <si>
    <t>Contract Date</t>
  </si>
  <si>
    <t>Barcelona, Catalonia, Spain</t>
  </si>
  <si>
    <t>Contract ID</t>
  </si>
  <si>
    <t>Start Date</t>
  </si>
  <si>
    <t>End Date</t>
  </si>
  <si>
    <t>Contract Duration</t>
  </si>
  <si>
    <t>Project Name</t>
  </si>
  <si>
    <t>Value</t>
  </si>
  <si>
    <t>Contract Type</t>
  </si>
  <si>
    <t>Signed By Client</t>
  </si>
  <si>
    <t>MCLD-489</t>
  </si>
  <si>
    <t>Signed By Company</t>
  </si>
  <si>
    <t>Ringle</t>
  </si>
  <si>
    <t>Days to Expiry</t>
  </si>
  <si>
    <t>Notes</t>
  </si>
  <si>
    <t>https://www.ringleplus.com</t>
  </si>
  <si>
    <t>Seocho, Seoul-t'ukpyolsi, South Korea</t>
  </si>
  <si>
    <t>MCLD-490</t>
  </si>
  <si>
    <t>Nearpod</t>
  </si>
  <si>
    <t>https://nearpod.com</t>
  </si>
  <si>
    <t>Dania, Florida, United States</t>
  </si>
  <si>
    <t>MCLD-491</t>
  </si>
  <si>
    <t>Ednition</t>
  </si>
  <si>
    <t>https://ednition.com</t>
  </si>
  <si>
    <t>Initech</t>
  </si>
  <si>
    <t>MCLD-492</t>
  </si>
  <si>
    <t>Qureos</t>
  </si>
  <si>
    <t>https://qureos.com</t>
  </si>
  <si>
    <t>Active</t>
  </si>
  <si>
    <t>Bob Jones</t>
  </si>
  <si>
    <t>MCLD-493</t>
  </si>
  <si>
    <t>Codeverse</t>
  </si>
  <si>
    <t>https://www.codeverse.com</t>
  </si>
  <si>
    <t>CT-002</t>
  </si>
  <si>
    <t>Umbrella Corp</t>
  </si>
  <si>
    <t>Alice Smith</t>
  </si>
  <si>
    <t>CT-003</t>
  </si>
  <si>
    <t>Stark Industries</t>
  </si>
  <si>
    <t>MCLD-494</t>
  </si>
  <si>
    <t>Parchment</t>
  </si>
  <si>
    <t>Charlie Brown</t>
  </si>
  <si>
    <t>https://www.parchment.com</t>
  </si>
  <si>
    <t>MCLD-495</t>
  </si>
  <si>
    <t>Coursebox</t>
  </si>
  <si>
    <t>https://www.coursebox.ai</t>
  </si>
  <si>
    <t>Adelaide, South Australia, Australia</t>
  </si>
  <si>
    <t>MCLD-496</t>
  </si>
  <si>
    <t>Beagle Learning</t>
  </si>
  <si>
    <t>https://beaglelearning.com</t>
  </si>
  <si>
    <t>MCLD-497</t>
  </si>
  <si>
    <t>Edovo</t>
  </si>
  <si>
    <t>https://edovo.com</t>
  </si>
  <si>
    <t>MCLD-498</t>
  </si>
  <si>
    <t>ForeignAdmits</t>
  </si>
  <si>
    <t>https://foreignadmits.com</t>
  </si>
  <si>
    <t>MCLD-499</t>
  </si>
  <si>
    <t>Querium</t>
  </si>
  <si>
    <t>https://www.querium.com</t>
  </si>
  <si>
    <t>MCLD-500</t>
  </si>
  <si>
    <t>Ntapi</t>
  </si>
  <si>
    <t>https://ntapi.ai</t>
  </si>
  <si>
    <t>MCLD-501</t>
  </si>
  <si>
    <t>YearOne</t>
  </si>
  <si>
    <t>https://yearone.ai</t>
  </si>
  <si>
    <t>MCLD-502</t>
  </si>
  <si>
    <t>Klas</t>
  </si>
  <si>
    <t>https://klas.com</t>
  </si>
  <si>
    <t>Remote, Oregon, United States</t>
  </si>
  <si>
    <t>MCLD-503</t>
  </si>
  <si>
    <t>Tutornow</t>
  </si>
  <si>
    <t>https://www.tutornow.com</t>
  </si>
  <si>
    <t>Lomazzo, Lombardia, Italy</t>
  </si>
  <si>
    <t>MCLD-504</t>
  </si>
  <si>
    <t>Alison</t>
  </si>
  <si>
    <t>https://alison.com</t>
  </si>
  <si>
    <t>Galway, Galway, Ireland</t>
  </si>
  <si>
    <t>MCLD-505</t>
  </si>
  <si>
    <t>Hero K12</t>
  </si>
  <si>
    <t>https://herok12.com</t>
  </si>
  <si>
    <t>MCLD-506</t>
  </si>
  <si>
    <t>EdenFiftyOne</t>
  </si>
  <si>
    <t>https://edenfiftyone.com</t>
  </si>
  <si>
    <t>Liverpool, Liverpool, United Kingdom</t>
  </si>
  <si>
    <t>MCLD-507</t>
  </si>
  <si>
    <t>EPICODE</t>
  </si>
  <si>
    <t>https://epicode.com</t>
  </si>
  <si>
    <t>Rome, Lazio, Italy</t>
  </si>
  <si>
    <t>MCLD-508</t>
  </si>
  <si>
    <t>Underline Science</t>
  </si>
  <si>
    <t>https://www.underlinescience.com</t>
  </si>
  <si>
    <t>MCLD-509</t>
  </si>
  <si>
    <t>KaiPod Learning</t>
  </si>
  <si>
    <t>https://www.kaipodlearning.com</t>
  </si>
  <si>
    <t>MCLD-510</t>
  </si>
  <si>
    <t>Jiliguala</t>
  </si>
  <si>
    <t>https://www.jiliguala.com</t>
  </si>
  <si>
    <t>Putuo, Shanghai, China</t>
  </si>
  <si>
    <t>MCLD-511</t>
  </si>
  <si>
    <t>ByteLearn</t>
  </si>
  <si>
    <t>https://bytelearn.ai</t>
  </si>
  <si>
    <t>MCLD-512</t>
  </si>
  <si>
    <t>MarcoPolo Learning</t>
  </si>
  <si>
    <t>https://www.marcopololearning.com</t>
  </si>
  <si>
    <t>MCLD-513</t>
  </si>
  <si>
    <t>Tutero</t>
  </si>
  <si>
    <t>https://www.tutero.com</t>
  </si>
  <si>
    <t>MCLD-514</t>
  </si>
  <si>
    <t>Monsha</t>
  </si>
  <si>
    <t>https://monsha.ai</t>
  </si>
  <si>
    <t>MCLD-515</t>
  </si>
  <si>
    <t>CHERÃ‚Â®</t>
  </si>
  <si>
    <t>https://cher.co</t>
  </si>
  <si>
    <t>MCLD-516</t>
  </si>
  <si>
    <t>GEMS Education</t>
  </si>
  <si>
    <t>https://www.gemseducation.com</t>
  </si>
  <si>
    <t>MCLD-517</t>
  </si>
  <si>
    <t>Instructure</t>
  </si>
  <si>
    <t>https://www.instructure.com</t>
  </si>
  <si>
    <t>MCLD-518</t>
  </si>
  <si>
    <t>PlusOne</t>
  </si>
  <si>
    <t>https://plusoneducation.com</t>
  </si>
  <si>
    <t>MCLD-519</t>
  </si>
  <si>
    <t>Reejigs</t>
  </si>
  <si>
    <t>https://reejigs.com</t>
  </si>
  <si>
    <t>MCLD-520</t>
  </si>
  <si>
    <t>Knoma</t>
  </si>
  <si>
    <t>https://knoma.io</t>
  </si>
  <si>
    <t>MCLD-521</t>
  </si>
  <si>
    <t>MoBoo</t>
  </si>
  <si>
    <t>https://moboo.io</t>
  </si>
  <si>
    <t>Somers Point, New Jersey, United States</t>
  </si>
  <si>
    <t>MCLD-522</t>
  </si>
  <si>
    <t>Pivot</t>
  </si>
  <si>
    <t>https://pivotlearning.com</t>
  </si>
  <si>
    <t>MCLD-523</t>
  </si>
  <si>
    <t>Hetao101</t>
  </si>
  <si>
    <t>https://www.hetao101.com</t>
  </si>
  <si>
    <t>MCLD-524</t>
  </si>
  <si>
    <t>No Isolation</t>
  </si>
  <si>
    <t>https://www.noisolation.com</t>
  </si>
  <si>
    <t>MCLD-525</t>
  </si>
  <si>
    <t>CareerFoundry</t>
  </si>
  <si>
    <t>https://careerfoundry.com</t>
  </si>
  <si>
    <t>MCLD-526</t>
  </si>
  <si>
    <t>memoryOS</t>
  </si>
  <si>
    <t>https://memoryos.com</t>
  </si>
  <si>
    <t>Somerset, New Jersey, United States</t>
  </si>
  <si>
    <t>MCLD-527</t>
  </si>
  <si>
    <t>Ubongo</t>
  </si>
  <si>
    <t>https://ubongo.org</t>
  </si>
  <si>
    <t>Dar Es Salaam, Dar es Salaam, Tanzania</t>
  </si>
  <si>
    <t>MCLD-528</t>
  </si>
  <si>
    <t>Codingal</t>
  </si>
  <si>
    <t>https://codingal.com</t>
  </si>
  <si>
    <t>MCLD-529</t>
  </si>
  <si>
    <t>Pensight</t>
  </si>
  <si>
    <t>https://pensight.com</t>
  </si>
  <si>
    <t>MCLD-530</t>
  </si>
  <si>
    <t>Suraasa</t>
  </si>
  <si>
    <t>https://suraasa.com</t>
  </si>
  <si>
    <t>MCLD-531</t>
  </si>
  <si>
    <t>AceUp, Inc.</t>
  </si>
  <si>
    <t>https://www.aceup.com</t>
  </si>
  <si>
    <t>MCLD-532</t>
  </si>
  <si>
    <t>Fuxam GmbH</t>
  </si>
  <si>
    <t>https://fuxam.com</t>
  </si>
  <si>
    <t>MCLD-533</t>
  </si>
  <si>
    <t>HEX</t>
  </si>
  <si>
    <t>https://hex.education</t>
  </si>
  <si>
    <t>MCLD-534</t>
  </si>
  <si>
    <t>Junto</t>
  </si>
  <si>
    <t>https://junto.ai</t>
  </si>
  <si>
    <t>MCLD-535</t>
  </si>
  <si>
    <t>Studocu</t>
  </si>
  <si>
    <t>https://www.studocu.com</t>
  </si>
  <si>
    <t>MCLD-536</t>
  </si>
  <si>
    <t>curaJOY</t>
  </si>
  <si>
    <t>https://curajoy.com</t>
  </si>
  <si>
    <t>Las Vegas, Nevada, United States</t>
  </si>
  <si>
    <t>MCLD-537</t>
  </si>
  <si>
    <t>Algorithmics</t>
  </si>
  <si>
    <t>https://algorithmics.com</t>
  </si>
  <si>
    <t>MCLD-538</t>
  </si>
  <si>
    <t>SciSpace</t>
  </si>
  <si>
    <t>https://typeset.io</t>
  </si>
  <si>
    <t>Milpitas, California, United States</t>
  </si>
  <si>
    <t>MCLD-539</t>
  </si>
  <si>
    <t>Coding Ninjas</t>
  </si>
  <si>
    <t>https://www.codingninjas.com</t>
  </si>
  <si>
    <t>MCLD-540</t>
  </si>
  <si>
    <t>PLEXUSS</t>
  </si>
  <si>
    <t>https://plexuss.com</t>
  </si>
  <si>
    <t>MCLD-541</t>
  </si>
  <si>
    <t>Beedeez</t>
  </si>
  <si>
    <t>https://www.beedeez.com</t>
  </si>
  <si>
    <t>MCLD-542</t>
  </si>
  <si>
    <t>SKYTRADERS</t>
  </si>
  <si>
    <t>https://skytraders.it</t>
  </si>
  <si>
    <t>Luxembourg, Luxembourg, Luxembourg</t>
  </si>
  <si>
    <t>MCLD-543</t>
  </si>
  <si>
    <t>AntWalk</t>
  </si>
  <si>
    <t>https://www.antwalk.com</t>
  </si>
  <si>
    <t>MCLD-544</t>
  </si>
  <si>
    <t>CodÃƒÂ©dex</t>
  </si>
  <si>
    <t>https://www.codedex.io</t>
  </si>
  <si>
    <t>MCLD-545</t>
  </si>
  <si>
    <t>UpGrad</t>
  </si>
  <si>
    <t>https://www.upgrad.com</t>
  </si>
  <si>
    <t>MCLD-546</t>
  </si>
  <si>
    <t>italki</t>
  </si>
  <si>
    <t>https://www.italki.com</t>
  </si>
  <si>
    <t>Kowloon City, Kowloon, Hong Kong</t>
  </si>
  <si>
    <t>MCLD-547</t>
  </si>
  <si>
    <t>Excellence Learning</t>
  </si>
  <si>
    <t>https://excellencelearning.com</t>
  </si>
  <si>
    <t>MCLD-548</t>
  </si>
  <si>
    <t>Code.org</t>
  </si>
  <si>
    <t>https://code.org</t>
  </si>
  <si>
    <t>MCLD-549</t>
  </si>
  <si>
    <t>Scout</t>
  </si>
  <si>
    <t>https://scout.education</t>
  </si>
  <si>
    <t>MCLD-550</t>
  </si>
  <si>
    <t>iTherapy</t>
  </si>
  <si>
    <t>https://itherapy.com</t>
  </si>
  <si>
    <t>Vallejo, California, United States</t>
  </si>
  <si>
    <t>MCLD-551</t>
  </si>
  <si>
    <t>GradeWiz</t>
  </si>
  <si>
    <t>Onboarding Date</t>
  </si>
  <si>
    <t>https://gradewiz.com</t>
  </si>
  <si>
    <t>Onboarding ID</t>
  </si>
  <si>
    <t>Kickoff Meeting Date</t>
  </si>
  <si>
    <t>Current Stage</t>
  </si>
  <si>
    <t>Onboarding By</t>
  </si>
  <si>
    <t>Ithaca, New York, United States</t>
  </si>
  <si>
    <t>MCLD-552</t>
  </si>
  <si>
    <t>LokiBots</t>
  </si>
  <si>
    <t>https://www.lokibots.com</t>
  </si>
  <si>
    <t>MCLD-553</t>
  </si>
  <si>
    <t>Airblack</t>
  </si>
  <si>
    <t>https://airblack.co</t>
  </si>
  <si>
    <t>MCLD-554</t>
  </si>
  <si>
    <t>Lido Learning</t>
  </si>
  <si>
    <t>https://www.lidolearning.com</t>
  </si>
  <si>
    <t>CT-1001</t>
  </si>
  <si>
    <t>Training</t>
  </si>
  <si>
    <t>In Progress</t>
  </si>
  <si>
    <t>OB-002</t>
  </si>
  <si>
    <t>CT-1002</t>
  </si>
  <si>
    <t>Integration</t>
  </si>
  <si>
    <t>OB-003</t>
  </si>
  <si>
    <t>CT-1003</t>
  </si>
  <si>
    <t>Completed</t>
  </si>
  <si>
    <t>MCLD-555</t>
  </si>
  <si>
    <t>AILA</t>
  </si>
  <si>
    <t>https://aila.ai</t>
  </si>
  <si>
    <t>MCLD-556</t>
  </si>
  <si>
    <t>Atomi</t>
  </si>
  <si>
    <t>https://getatomi.com</t>
  </si>
  <si>
    <t>Ultimo, New South Wales, Australia</t>
  </si>
  <si>
    <t>MCLD-557</t>
  </si>
  <si>
    <t>Baims</t>
  </si>
  <si>
    <t>https://baims.com</t>
  </si>
  <si>
    <t>Kuwait, Al Kuwayt, Kuwait</t>
  </si>
  <si>
    <t>MCLD-558</t>
  </si>
  <si>
    <t>Nifty Learning</t>
  </si>
  <si>
    <t>https://niftylearning.com</t>
  </si>
  <si>
    <t>MCLD-559</t>
  </si>
  <si>
    <t>Podia</t>
  </si>
  <si>
    <t>https://www.podia.com</t>
  </si>
  <si>
    <t>MCLD-560</t>
  </si>
  <si>
    <t>CosmosIQ.AI</t>
  </si>
  <si>
    <t>https://cosmosiq.ai</t>
  </si>
  <si>
    <t>MCLD-561</t>
  </si>
  <si>
    <t>AfterSchool HQ</t>
  </si>
  <si>
    <t>https://afterschoolhq.com</t>
  </si>
  <si>
    <t>Fishers, Indiana, United States</t>
  </si>
  <si>
    <t>MCLD-562</t>
  </si>
  <si>
    <t>Instaclustr</t>
  </si>
  <si>
    <t>https://www.instaclustr.com</t>
  </si>
  <si>
    <t>MCLD-563</t>
  </si>
  <si>
    <t>Playlab</t>
  </si>
  <si>
    <t>https://playlab.ai</t>
  </si>
  <si>
    <t>USA</t>
  </si>
  <si>
    <t>MCLD-564</t>
  </si>
  <si>
    <t>IntelliBoard</t>
  </si>
  <si>
    <t>https://intelliboard.net</t>
  </si>
  <si>
    <t>Monroe, Connecticut, United States</t>
  </si>
  <si>
    <t>MCLD-565</t>
  </si>
  <si>
    <t>Praktiki</t>
  </si>
  <si>
    <t>https://praktiki.ai</t>
  </si>
  <si>
    <t>MCLD-566</t>
  </si>
  <si>
    <t>Zzish</t>
  </si>
  <si>
    <t>https://zzish.com</t>
  </si>
  <si>
    <t>MCLD-567</t>
  </si>
  <si>
    <t>Galena</t>
  </si>
  <si>
    <t>https://galena.co</t>
  </si>
  <si>
    <t>MCLD-568</t>
  </si>
  <si>
    <t>Zoolife</t>
  </si>
  <si>
    <t>https://zoolife.tv</t>
  </si>
  <si>
    <t>MCLD-569</t>
  </si>
  <si>
    <t>ProctorU</t>
  </si>
  <si>
    <t>https://www.proctoru.com</t>
  </si>
  <si>
    <t>Hoover, Alabama, United States</t>
  </si>
  <si>
    <t>MCLD-570</t>
  </si>
  <si>
    <t>Meritto (Formerly NoPaperForms)</t>
  </si>
  <si>
    <t>https://www.meritto.com</t>
  </si>
  <si>
    <t>MCLD-571</t>
  </si>
  <si>
    <t>Papaya</t>
  </si>
  <si>
    <t>https://papayatutors.com</t>
  </si>
  <si>
    <t>MCLD-572</t>
  </si>
  <si>
    <t>edyoucated</t>
  </si>
  <si>
    <t>https://edyoucated.org</t>
  </si>
  <si>
    <t>MÃƒÂ¼nster, Nordrhein-Westfalen, Germany</t>
  </si>
  <si>
    <t>MCLD-573</t>
  </si>
  <si>
    <t>https://univo.education</t>
  </si>
  <si>
    <t>MCLD-574</t>
  </si>
  <si>
    <t>FourthRev</t>
  </si>
  <si>
    <t>https://fourthrev.com</t>
  </si>
  <si>
    <t>MCLD-575</t>
  </si>
  <si>
    <t>WHATCLASS</t>
  </si>
  <si>
    <t>https://whatclass.com</t>
  </si>
  <si>
    <t>Knutsford, Cheshire, United Kingdom</t>
  </si>
  <si>
    <t>MCLD-576</t>
  </si>
  <si>
    <t>PETE</t>
  </si>
  <si>
    <t>https://petelearning.com</t>
  </si>
  <si>
    <t>MCLD-577</t>
  </si>
  <si>
    <t>Eduisfun</t>
  </si>
  <si>
    <t>https://eduisfun.com</t>
  </si>
  <si>
    <t>MCLD-578</t>
  </si>
  <si>
    <t>Merge EDU</t>
  </si>
  <si>
    <t>https://mergeedu.com</t>
  </si>
  <si>
    <t>San Antonio, Texas, United States</t>
  </si>
  <si>
    <t>MCLD-579</t>
  </si>
  <si>
    <t>GoReact</t>
  </si>
  <si>
    <t>https://goreact.com</t>
  </si>
  <si>
    <t>Orem, Utah, United States</t>
  </si>
  <si>
    <t>MCLD-580</t>
  </si>
  <si>
    <t>WisdomEDU</t>
  </si>
  <si>
    <t>https://wisdomedu.com</t>
  </si>
  <si>
    <t>Pittsburgh, Pennsylvania, United States</t>
  </si>
  <si>
    <t>MCLD-581</t>
  </si>
  <si>
    <t>Nuwa Robotics</t>
  </si>
  <si>
    <t>https://www.nuwarobotics.com</t>
  </si>
  <si>
    <t>MCLD-582</t>
  </si>
  <si>
    <t>Digital Dream Labs</t>
  </si>
  <si>
    <t>https://www.digitaldreamlabs.com</t>
  </si>
  <si>
    <t>MCLD-583</t>
  </si>
  <si>
    <t>Articulate</t>
  </si>
  <si>
    <t>https://articulate.com</t>
  </si>
  <si>
    <t>MCLD-584</t>
  </si>
  <si>
    <t>Macademia</t>
  </si>
  <si>
    <t>https://macademia.com</t>
  </si>
  <si>
    <t>MCLD-585</t>
  </si>
  <si>
    <t>Melospeech Inc.</t>
  </si>
  <si>
    <t>https://melospeech.com</t>
  </si>
  <si>
    <t>Temecula, California, United States</t>
  </si>
  <si>
    <t>MCLD-586</t>
  </si>
  <si>
    <t>Letterly</t>
  </si>
  <si>
    <t>https://letterly.app</t>
  </si>
  <si>
    <t>Saratoga Springs, New York, United States</t>
  </si>
  <si>
    <t>MCLD-587</t>
  </si>
  <si>
    <t>Accelerate Learning</t>
  </si>
  <si>
    <t>https://acceleratelearning.com</t>
  </si>
  <si>
    <t>MCLD-588</t>
  </si>
  <si>
    <t>Appentra</t>
  </si>
  <si>
    <t>https://appentra.com</t>
  </si>
  <si>
    <t>A CoruÃƒÂ±a, Galicia, Spain</t>
  </si>
  <si>
    <t>MCLD-589</t>
  </si>
  <si>
    <t>Marathon Education</t>
  </si>
  <si>
    <t>https://marathoneducation.com</t>
  </si>
  <si>
    <t>Ho Chi Minh City, NA - Vietnam, Vietnam</t>
  </si>
  <si>
    <t>MCLD-590</t>
  </si>
  <si>
    <t>SPARK AI</t>
  </si>
  <si>
    <t>https://spark.ai</t>
  </si>
  <si>
    <t>MCLD-591</t>
  </si>
  <si>
    <t>InsideTrack</t>
  </si>
  <si>
    <t>https://www.insidetrack.org</t>
  </si>
  <si>
    <t>MCLD-592</t>
  </si>
  <si>
    <t>TrueLeap</t>
  </si>
  <si>
    <t>https://www.trueleap.com</t>
  </si>
  <si>
    <t>MCLD-593</t>
  </si>
  <si>
    <t>Kukua</t>
  </si>
  <si>
    <t>https://kukua.co</t>
  </si>
  <si>
    <t>Nairobi, Nairobi Area, Kenya</t>
  </si>
  <si>
    <t>MCLD-594</t>
  </si>
  <si>
    <t>Leya AI</t>
  </si>
  <si>
    <t>https://leya.ai</t>
  </si>
  <si>
    <t>Siauliai, Siauliu Apskritis, Lithuania</t>
  </si>
  <si>
    <t>MCLD-595</t>
  </si>
  <si>
    <t>Logic bloom- Gamified Science Learning</t>
  </si>
  <si>
    <t>https://logicbloom.ai</t>
  </si>
  <si>
    <t>Patna City, Bihar, India</t>
  </si>
  <si>
    <t>MCLD-596</t>
  </si>
  <si>
    <t>HOKALI</t>
  </si>
  <si>
    <t>https://hokali.com</t>
  </si>
  <si>
    <t>MCLD-597</t>
  </si>
  <si>
    <t>Educatly</t>
  </si>
  <si>
    <t>https://educatly.com</t>
  </si>
  <si>
    <t>MCLD-598</t>
  </si>
  <si>
    <t>Footprints Childcare</t>
  </si>
  <si>
    <t>https://footprintschildcare.com</t>
  </si>
  <si>
    <t>Haryana, Haryana, India</t>
  </si>
  <si>
    <t>MCLD-599</t>
  </si>
  <si>
    <t>Changingedu</t>
  </si>
  <si>
    <t>https://changingedu.com</t>
  </si>
  <si>
    <t>Xuhui, Shanghai, China</t>
  </si>
  <si>
    <t>MCLD-600</t>
  </si>
  <si>
    <t>Wheebox</t>
  </si>
  <si>
    <t>https://wheebox.com</t>
  </si>
  <si>
    <t>MCLD-601</t>
  </si>
  <si>
    <t>GrowthX</t>
  </si>
  <si>
    <t>https://growthx.club</t>
  </si>
  <si>
    <t>MCLD-602</t>
  </si>
  <si>
    <t>Global Alumni Education</t>
  </si>
  <si>
    <t>https://globalalumni.org</t>
  </si>
  <si>
    <t>MCLD-603</t>
  </si>
  <si>
    <t>Kiin</t>
  </si>
  <si>
    <t>https://kiin.io</t>
  </si>
  <si>
    <t>MCLD-604</t>
  </si>
  <si>
    <t>Koala</t>
  </si>
  <si>
    <t>https://www.koalalearning.com</t>
  </si>
  <si>
    <t>MCLD-605</t>
  </si>
  <si>
    <t>Springpod</t>
  </si>
  <si>
    <t>https://www.springpod.com</t>
  </si>
  <si>
    <t>MCLD-606</t>
  </si>
  <si>
    <t>Emmersion</t>
  </si>
  <si>
    <t>https://emmersion.ai</t>
  </si>
  <si>
    <t>MCLD-607</t>
  </si>
  <si>
    <t>Eupheus Learning</t>
  </si>
  <si>
    <t>https://www.eupheuslearning.com</t>
  </si>
  <si>
    <t>Delhi, Delhi, India</t>
  </si>
  <si>
    <t>MCLD-608</t>
  </si>
  <si>
    <t>BridgeU</t>
  </si>
  <si>
    <t>https://bridge-u.com</t>
  </si>
  <si>
    <t>MCLD-609</t>
  </si>
  <si>
    <t>EWA Learn</t>
  </si>
  <si>
    <t>https://ewa.works</t>
  </si>
  <si>
    <t>MCLD-610</t>
  </si>
  <si>
    <t>Kinedu</t>
  </si>
  <si>
    <t>https://www.kinedu.com</t>
  </si>
  <si>
    <t>Monterrey, Nuevo Leon, Mexico</t>
  </si>
  <si>
    <t>MCLD-611</t>
  </si>
  <si>
    <t>Wooskill</t>
  </si>
  <si>
    <t>https://wooskill.com</t>
  </si>
  <si>
    <t>MCLD-612</t>
  </si>
  <si>
    <t>Ottodot</t>
  </si>
  <si>
    <t>https://ottodot.com</t>
  </si>
  <si>
    <t>MCLD-613</t>
  </si>
  <si>
    <t>boclips</t>
  </si>
  <si>
    <t>https://www.boclips.com</t>
  </si>
  <si>
    <t>MCLD-614</t>
  </si>
  <si>
    <t>Paddy</t>
  </si>
  <si>
    <t>https://paddy.app</t>
  </si>
  <si>
    <t>Bielefeld, Nordrhein-Westfalen, Germany</t>
  </si>
  <si>
    <t>MCLD-615</t>
  </si>
  <si>
    <t>Interactive Cares</t>
  </si>
  <si>
    <t>https://interactivecares.com</t>
  </si>
  <si>
    <t>MCLD-616</t>
  </si>
  <si>
    <t>cyberconIQ</t>
  </si>
  <si>
    <t>https://cyberconiq.com</t>
  </si>
  <si>
    <t>York, Pennsylvania, United States</t>
  </si>
  <si>
    <t>MCLD-617</t>
  </si>
  <si>
    <t>Canyon GBS</t>
  </si>
  <si>
    <t>https://canyongbs.com</t>
  </si>
  <si>
    <t>MCLD-618</t>
  </si>
  <si>
    <t>enroll ml</t>
  </si>
  <si>
    <t>https://enrollml.com</t>
  </si>
  <si>
    <t>MCLD-619</t>
  </si>
  <si>
    <t>Sling</t>
  </si>
  <si>
    <t>https://getsling.com</t>
  </si>
  <si>
    <t>MCLD-620</t>
  </si>
  <si>
    <t>Zoe Immersive</t>
  </si>
  <si>
    <t>https://zoeimmersive.com</t>
  </si>
  <si>
    <t>Claymont, Delaware, United States</t>
  </si>
  <si>
    <t>MCLD-621</t>
  </si>
  <si>
    <t>ApprenNet</t>
  </si>
  <si>
    <t>https://apprennet.com</t>
  </si>
  <si>
    <t>MCLD-622</t>
  </si>
  <si>
    <t>PyxiScience</t>
  </si>
  <si>
    <t>https://pyxiscience.com</t>
  </si>
  <si>
    <t>Villepinte, Ile-de-France, France</t>
  </si>
  <si>
    <t>MCLD-623</t>
  </si>
  <si>
    <t>SimConverse</t>
  </si>
  <si>
    <t>https://simconverse.com</t>
  </si>
  <si>
    <t>MCLD-624</t>
  </si>
  <si>
    <t>ThingLink</t>
  </si>
  <si>
    <t>https://www.thinglink.com</t>
  </si>
  <si>
    <t>MCLD-625</t>
  </si>
  <si>
    <t>Clevai</t>
  </si>
  <si>
    <t>https://clevai.com</t>
  </si>
  <si>
    <t>MCLD-626</t>
  </si>
  <si>
    <t>EmpowerU</t>
  </si>
  <si>
    <t>https://empoweru.com</t>
  </si>
  <si>
    <t>Excelsior, Minnesota, United States</t>
  </si>
  <si>
    <t>MCLD-627</t>
  </si>
  <si>
    <t>Money Walkie</t>
  </si>
  <si>
    <t>https://moneywalkie.com</t>
  </si>
  <si>
    <t>MCLD-628</t>
  </si>
  <si>
    <t>Mocaa</t>
  </si>
  <si>
    <t>https://mocaa.ai</t>
  </si>
  <si>
    <t>MCLD-629</t>
  </si>
  <si>
    <t>Databank</t>
  </si>
  <si>
    <t>https://databank.com</t>
  </si>
  <si>
    <t>MCLD-630</t>
  </si>
  <si>
    <t>MentalUp</t>
  </si>
  <si>
    <t>https://mentalup.co</t>
  </si>
  <si>
    <t>MCLD-631</t>
  </si>
  <si>
    <t>wedevx</t>
  </si>
  <si>
    <t>https://wedevx.co</t>
  </si>
  <si>
    <t>MCLD-632</t>
  </si>
  <si>
    <t>GeckoLabs</t>
  </si>
  <si>
    <t>https://geckolabs.ai</t>
  </si>
  <si>
    <t>MCLD-633</t>
  </si>
  <si>
    <t>Tutorful</t>
  </si>
  <si>
    <t>https://tutorful.co.uk</t>
  </si>
  <si>
    <t>Sheffield, Sheffield, United Kingdom</t>
  </si>
  <si>
    <t>MCLD-634</t>
  </si>
  <si>
    <t>ArtistWorks</t>
  </si>
  <si>
    <t>https://artistworks.com</t>
  </si>
  <si>
    <t>Napa, California, United States</t>
  </si>
  <si>
    <t>MCLD-635</t>
  </si>
  <si>
    <t>Verif-y</t>
  </si>
  <si>
    <t>https://verif-y.com</t>
  </si>
  <si>
    <t>MCLD-636</t>
  </si>
  <si>
    <t>Coddy</t>
  </si>
  <si>
    <t>https://coddy.tech</t>
  </si>
  <si>
    <t>Delaware, Ohio, United States</t>
  </si>
  <si>
    <t>MCLD-637</t>
  </si>
  <si>
    <t>VIAS Campus Management</t>
  </si>
  <si>
    <t>https://viascampus.com</t>
  </si>
  <si>
    <t>Oklahoma City, Oklahoma, United States</t>
  </si>
  <si>
    <t>MCLD-638</t>
  </si>
  <si>
    <t>Fluent City</t>
  </si>
  <si>
    <t>https://www.fluentcity.com</t>
  </si>
  <si>
    <t>MCLD-639</t>
  </si>
  <si>
    <t>Tanoshi</t>
  </si>
  <si>
    <t>https://tanoshi.ai</t>
  </si>
  <si>
    <t>MCLD-640</t>
  </si>
  <si>
    <t>Vinco</t>
  </si>
  <si>
    <t>https://vincoedu.com</t>
  </si>
  <si>
    <t>MCLD-641</t>
  </si>
  <si>
    <t>Wild Zebra</t>
  </si>
  <si>
    <t>https://wildzebra.com</t>
  </si>
  <si>
    <t>MCLD-642</t>
  </si>
  <si>
    <t>Stych</t>
  </si>
  <si>
    <t>https://stych.com</t>
  </si>
  <si>
    <t>MCLD-643</t>
  </si>
  <si>
    <t>MyCaptain</t>
  </si>
  <si>
    <t>https://www.mycaptain.in</t>
  </si>
  <si>
    <t>MCLD-644</t>
  </si>
  <si>
    <t>madlen</t>
  </si>
  <si>
    <t>https://madlen.io</t>
  </si>
  <si>
    <t>MCLD-645</t>
  </si>
  <si>
    <t>Kurios</t>
  </si>
  <si>
    <t>https://kurios.com</t>
  </si>
  <si>
    <t>MCLD-646</t>
  </si>
  <si>
    <t>Studyverse</t>
  </si>
  <si>
    <t>https://studyverse.ai</t>
  </si>
  <si>
    <t>MCLD-647</t>
  </si>
  <si>
    <t>Full Measure Education</t>
  </si>
  <si>
    <t>https://fullmeasureedu.com</t>
  </si>
  <si>
    <t>MCLD-648</t>
  </si>
  <si>
    <t>Northpass</t>
  </si>
  <si>
    <t>https://www.northpass.com</t>
  </si>
  <si>
    <t>Parsippany, New Jersey, United States</t>
  </si>
  <si>
    <t>MCLD-649</t>
  </si>
  <si>
    <t>Playtag</t>
  </si>
  <si>
    <t>https://playtag.ai</t>
  </si>
  <si>
    <t>MCLD-650</t>
  </si>
  <si>
    <t>Skilltrade</t>
  </si>
  <si>
    <t>https://skilltrade.com</t>
  </si>
  <si>
    <t>Grosse Pointe Woods, Michigan, United States</t>
  </si>
  <si>
    <t>MCLD-651</t>
  </si>
  <si>
    <t>Habitat</t>
  </si>
  <si>
    <t>https://habitatlearn.com</t>
  </si>
  <si>
    <t>Chennai, Tamil Nadu, India</t>
  </si>
  <si>
    <t>MCLD-652</t>
  </si>
  <si>
    <t>Wibo</t>
  </si>
  <si>
    <t>https://wibo.ai</t>
  </si>
  <si>
    <t>Turin, Piemonte, Italy</t>
  </si>
  <si>
    <t>MCLD-653</t>
  </si>
  <si>
    <t>Readmio</t>
  </si>
  <si>
    <t>https://readmio.com</t>
  </si>
  <si>
    <t>Prague, Hlavni mesto Praha, Czech Republic</t>
  </si>
  <si>
    <t>MCLD-654</t>
  </si>
  <si>
    <t>Practically</t>
  </si>
  <si>
    <t>https://www.practically.com</t>
  </si>
  <si>
    <t>MCLD-655</t>
  </si>
  <si>
    <t>Payskul</t>
  </si>
  <si>
    <t>https://payskul.com</t>
  </si>
  <si>
    <t>MCLD-656</t>
  </si>
  <si>
    <t>Heroes Made</t>
  </si>
  <si>
    <t>https://heroesmade.com</t>
  </si>
  <si>
    <t>Strovolos, Nicosia, Cyprus</t>
  </si>
  <si>
    <t>MCLD-657</t>
  </si>
  <si>
    <t>Zero Gravity</t>
  </si>
  <si>
    <t>https://www.zerogravity.education</t>
  </si>
  <si>
    <t>MCLD-658</t>
  </si>
  <si>
    <t>SWYE360 AI</t>
  </si>
  <si>
    <t>https://swye360.com</t>
  </si>
  <si>
    <t>Dallas, Texas, United States</t>
  </si>
  <si>
    <t>MCLD-659</t>
  </si>
  <si>
    <t>Guide Education</t>
  </si>
  <si>
    <t>https://guideeducation.com</t>
  </si>
  <si>
    <t>Raithby, Lincolnshire, United Kingdom</t>
  </si>
  <si>
    <t>MCLD-660</t>
  </si>
  <si>
    <t>Golondrix</t>
  </si>
  <si>
    <t>https://golondrix.com</t>
  </si>
  <si>
    <t>MCLD-661</t>
  </si>
  <si>
    <t>Flawless</t>
  </si>
  <si>
    <t>https://flawlessai.com</t>
  </si>
  <si>
    <t>Lost</t>
  </si>
  <si>
    <t>MCLD-662</t>
  </si>
  <si>
    <t>LightSail Education</t>
  </si>
  <si>
    <t>https://lightsailed.com</t>
  </si>
  <si>
    <t>MCLD-663</t>
  </si>
  <si>
    <t>Equmenopolis</t>
  </si>
  <si>
    <t>https://equmenopolis.org</t>
  </si>
  <si>
    <t>MCLD-664</t>
  </si>
  <si>
    <t>BiMA</t>
  </si>
  <si>
    <t>https://bima.co.uk</t>
  </si>
  <si>
    <t>MCLD-665</t>
  </si>
  <si>
    <t>Mrs Wordsmith</t>
  </si>
  <si>
    <t>https://www.mrswordsmith.com</t>
  </si>
  <si>
    <t>MCLD-666</t>
  </si>
  <si>
    <t>TAL Education Group</t>
  </si>
  <si>
    <t>https://www.talgroup.com</t>
  </si>
  <si>
    <t>MCLD-667</t>
  </si>
  <si>
    <t>BrainBite</t>
  </si>
  <si>
    <t>https://brainbite.ai</t>
  </si>
  <si>
    <t>Den Bosch, Noord-Brabant, The Netherlands</t>
  </si>
  <si>
    <t>MCLD-668</t>
  </si>
  <si>
    <t>Typsy</t>
  </si>
  <si>
    <t>https://www.typsy.com</t>
  </si>
  <si>
    <t>Armadale, Victoria, Australia</t>
  </si>
  <si>
    <t>MCLD-669</t>
  </si>
  <si>
    <t>Wordflow</t>
  </si>
  <si>
    <t>https://wordflow.ai</t>
  </si>
  <si>
    <t>MCLD-670</t>
  </si>
  <si>
    <t>Babbel</t>
  </si>
  <si>
    <t>https://www.babbel.com</t>
  </si>
  <si>
    <t>MCLD-671</t>
  </si>
  <si>
    <t>Wisboo</t>
  </si>
  <si>
    <t>https://wisboo.com</t>
  </si>
  <si>
    <t>MCLD-672</t>
  </si>
  <si>
    <t>Grovo</t>
  </si>
  <si>
    <t>https://www.grovo.com</t>
  </si>
  <si>
    <t>MCLD-673</t>
  </si>
  <si>
    <t>Top Hat</t>
  </si>
  <si>
    <t>https://tophat.com</t>
  </si>
  <si>
    <t>MCLD-674</t>
  </si>
  <si>
    <t>Mate academy</t>
  </si>
  <si>
    <t>https://mate.academy</t>
  </si>
  <si>
    <t>Kyiv, Kyyiv, Ukraine</t>
  </si>
  <si>
    <t>MCLD-675</t>
  </si>
  <si>
    <t>Kinoo</t>
  </si>
  <si>
    <t>https://kinoo.world</t>
  </si>
  <si>
    <t>MCLD-676</t>
  </si>
  <si>
    <t>Pi-Top</t>
  </si>
  <si>
    <t>https://www.pi-top.com</t>
  </si>
  <si>
    <t>MCLD-677</t>
  </si>
  <si>
    <t>nu.education</t>
  </si>
  <si>
    <t>https://nu.education</t>
  </si>
  <si>
    <t>MCLD-678</t>
  </si>
  <si>
    <t>Sprints</t>
  </si>
  <si>
    <t>https://sprints.ai</t>
  </si>
  <si>
    <t>Almere, Flevoland, The Netherlands</t>
  </si>
  <si>
    <t>MCLD-679</t>
  </si>
  <si>
    <t>Boxlight</t>
  </si>
  <si>
    <t>https://www.boxlight.com</t>
  </si>
  <si>
    <t>Duluth, Georgia, United States</t>
  </si>
  <si>
    <t>MCLD-680</t>
  </si>
  <si>
    <t>Jo Academy</t>
  </si>
  <si>
    <t>https://joacademy.com</t>
  </si>
  <si>
    <t>MCLD-681</t>
  </si>
  <si>
    <t>RICH (Research Integrity Chain)</t>
  </si>
  <si>
    <t>https://researchintegritychain.com</t>
  </si>
  <si>
    <t>MCLD-682</t>
  </si>
  <si>
    <t>STEMDO</t>
  </si>
  <si>
    <t>https://stemdo.co</t>
  </si>
  <si>
    <t>Huelva, Andalucia, Spain</t>
  </si>
  <si>
    <t>MCLD-683</t>
  </si>
  <si>
    <t>Dendritic Health AI</t>
  </si>
  <si>
    <t>https://dendritichealth.ai</t>
  </si>
  <si>
    <t>MCLD-684</t>
  </si>
  <si>
    <t>Pluralsight</t>
  </si>
  <si>
    <t>https://www.pluralsight.com</t>
  </si>
  <si>
    <t>Draper, Utah, United States</t>
  </si>
  <si>
    <t>MCLD-685</t>
  </si>
  <si>
    <t>CLASSUM</t>
  </si>
  <si>
    <t>https://classum.com</t>
  </si>
  <si>
    <t>MCLD-686</t>
  </si>
  <si>
    <t>Volley</t>
  </si>
  <si>
    <t>https://www.volleygame.com</t>
  </si>
  <si>
    <t>MCLD-687</t>
  </si>
  <si>
    <t>Galaxy Education</t>
  </si>
  <si>
    <t>https://galaxyeducation.com</t>
  </si>
  <si>
    <t>MCLD-688</t>
  </si>
  <si>
    <t>Kaochong</t>
  </si>
  <si>
    <t>https://www.kaochong.com</t>
  </si>
  <si>
    <t>MCLD-689</t>
  </si>
  <si>
    <t>zick learn</t>
  </si>
  <si>
    <t>https://zicklearn.com</t>
  </si>
  <si>
    <t>MCLD-690</t>
  </si>
  <si>
    <t>LearnZillion</t>
  </si>
  <si>
    <t>https://learnzillion.com</t>
  </si>
  <si>
    <t>MCLD-691</t>
  </si>
  <si>
    <t>NPX Point Avenue</t>
  </si>
  <si>
    <t>https://pointavenue.com</t>
  </si>
  <si>
    <t>Won</t>
  </si>
  <si>
    <t>MCLD-692</t>
  </si>
  <si>
    <t>Terminal.com</t>
  </si>
  <si>
    <t>https://terminal.com</t>
  </si>
  <si>
    <t>MCLD-693</t>
  </si>
  <si>
    <t>Coursedog</t>
  </si>
  <si>
    <t>https://coursedog.com</t>
  </si>
  <si>
    <t>MCLD-694</t>
  </si>
  <si>
    <t>Makers</t>
  </si>
  <si>
    <t>https://makers.tech</t>
  </si>
  <si>
    <t>MCLD-695</t>
  </si>
  <si>
    <t>Integem</t>
  </si>
  <si>
    <t>https://integem.com</t>
  </si>
  <si>
    <t>Cupertino, California, United States</t>
  </si>
  <si>
    <t>Contact Id</t>
  </si>
  <si>
    <t>MCLD-696</t>
  </si>
  <si>
    <t>KIMO</t>
  </si>
  <si>
    <t>https://kimo.ai</t>
  </si>
  <si>
    <t>Contact Owner.id</t>
  </si>
  <si>
    <t>Contact Owner</t>
  </si>
  <si>
    <t>First Name</t>
  </si>
  <si>
    <t>Last Name</t>
  </si>
  <si>
    <t>Company Name.id</t>
  </si>
  <si>
    <t>Mobile</t>
  </si>
  <si>
    <t>MCLD-697</t>
  </si>
  <si>
    <t>greenworkx</t>
  </si>
  <si>
    <t>Phone</t>
  </si>
  <si>
    <t>Email Opt Out</t>
  </si>
  <si>
    <t>https://greenworkx.org</t>
  </si>
  <si>
    <t>Description</t>
  </si>
  <si>
    <t>Created By.id</t>
  </si>
  <si>
    <t>Modified By.id</t>
  </si>
  <si>
    <t>Modified By</t>
  </si>
  <si>
    <t>Created Time</t>
  </si>
  <si>
    <t>Modified Time</t>
  </si>
  <si>
    <t>Last Activity Time</t>
  </si>
  <si>
    <t>Unsubscribed Mode</t>
  </si>
  <si>
    <t>Unsubscribed Time</t>
  </si>
  <si>
    <t>Data Source</t>
  </si>
  <si>
    <t>Mailing Street</t>
  </si>
  <si>
    <t>Mailing City</t>
  </si>
  <si>
    <t>Mailing State</t>
  </si>
  <si>
    <t>Mailing Country</t>
  </si>
  <si>
    <t>Mailing Zip</t>
  </si>
  <si>
    <t>Personal Intro</t>
  </si>
  <si>
    <t>Company Intro</t>
  </si>
  <si>
    <t>Value Add</t>
  </si>
  <si>
    <t>MCLD-698</t>
  </si>
  <si>
    <t>Paperbox Health</t>
  </si>
  <si>
    <t>https://paperboxhealth.com</t>
  </si>
  <si>
    <t>Next Follow Up Date</t>
  </si>
  <si>
    <t>zcrm_1062537000000485025</t>
  </si>
  <si>
    <t>zcrm_1062537000000416001</t>
  </si>
  <si>
    <t>Ashutosh</t>
  </si>
  <si>
    <t>Garg</t>
  </si>
  <si>
    <t>zcrm_1062537000000484774</t>
  </si>
  <si>
    <t>MCLD-699</t>
  </si>
  <si>
    <t>########</t>
  </si>
  <si>
    <t>Sanjieke</t>
  </si>
  <si>
    <t>https://www.sanjieke.cn</t>
  </si>
  <si>
    <t>Manual</t>
  </si>
  <si>
    <t>Hope youâ€™re doing well. Iâ€™m Sandeep Kumar from Muenot, an E-learning services delivery company supporting organizations with scalable execution across eLearning content development, digital production, QA, and learning operations.</t>
  </si>
  <si>
    <t>As Zeus Learning continues to develop and deliver online learning programs and digital course content, we see a strong opportunity to support your teams as a service delivery vendor, particularly in managing content build, updates, and ongoing production requirements.</t>
  </si>
  <si>
    <t>Supports eLearning teams with scalable execution for course development, updates, and content conversion
 Adds delivery bandwidth to manage multiple programs and tight timelines without impacting quality
 Provides structured quality checks and process discipline for consistent learner-ready output</t>
  </si>
  <si>
    <t>Proposal for Vendor Partnership to Support eLearning Content Delivery</t>
  </si>
  <si>
    <t>zcrm_1062537000000488385</t>
  </si>
  <si>
    <t>Atul</t>
  </si>
  <si>
    <t>Gupta</t>
  </si>
  <si>
    <t>zcrm_1062537000000461088</t>
  </si>
  <si>
    <t>MCLD-700</t>
  </si>
  <si>
    <t>Cadmus</t>
  </si>
  <si>
    <t>https://www.cadmus.io</t>
  </si>
  <si>
    <t>Hope youâ€™re doing well. Iâ€™m Sandeep Kumar from Muenot, an E-learning services delivery company supporting organizations with scalable, high-quality eLearning content, digital production, and execution support services.</t>
  </si>
  <si>
    <t>As McGraw-Hill Education continues to develop and scale digital learning platforms, instructional content, and technology-enabled education products, we see a strong opportunity to support your teams as a trusted service vendor, particularly across content development, digital production, QA, and execution-heavy learning workflows.</t>
  </si>
  <si>
    <t>Rapid deployment of trained delivery teams for eLearning content development and conversion
 Scalable execution capacity for high-volume, multi-discipline digital learning programs
 Structured quality governance, review frameworks, and SLA-driven delivery
 Cost-efficient execution models that strengthen margins without impacting quality</t>
  </si>
  <si>
    <t>Proposal for Vendor Partnership to Support Digital Learning Operations</t>
  </si>
  <si>
    <t>zcrm_1062537000000488432</t>
  </si>
  <si>
    <t>Bhavik</t>
  </si>
  <si>
    <t>Rathod</t>
  </si>
  <si>
    <t>zcrm_1062537000000475803</t>
  </si>
  <si>
    <t>Carlton, Victoria, Australia</t>
  </si>
  <si>
    <t>MCLD-701</t>
  </si>
  <si>
    <t>Juni Learning</t>
  </si>
  <si>
    <t>Hope you're doing well. Iâ€™m Sandeep Kumar from Muenotâ€”an AI and IT solutions company supporting global enterprises with scalable, high-precision data, content, and technology services with 500+ skilled resources.</t>
  </si>
  <si>
    <t>https://junilearning.com</t>
  </si>
  <si>
    <t>We have been following Scale AIâ€™s leadership in powering AI development through high-quality labeled data and specialized human intelligence, and we believe there is strong alignment between your operational model and our core strengths.</t>
  </si>
  <si>
    <t>"Domain-expert data teams for complex, high-judgment labeling needs
 Scalable delivery capacity for large AI/ML data pipelines
 Strong governance, quality, and security to reduce rework
 Cost-efficient execution that accelerates model development"</t>
  </si>
  <si>
    <t>Proposal for Vendor Partnership to Support Scale AI Operations</t>
  </si>
  <si>
    <t>zcrm_1062537000000488461</t>
  </si>
  <si>
    <t>Manana</t>
  </si>
  <si>
    <t>â€¢ Domain-expert data teams for complex, high-judgment labeling needs
 â€¢ Scalable delivery capacity for large AI/ML data pipelines
 â€¢ Strong governance, quality, and security to reduce rework
 â€¢ Cost-efficient execution that accelerates model development</t>
  </si>
  <si>
    <t>MCLD-702</t>
  </si>
  <si>
    <t>zcrm_1062537000000488468</t>
  </si>
  <si>
    <t>Intercultural Development Research Association</t>
  </si>
  <si>
    <t>Kanimozhi</t>
  </si>
  <si>
    <t>https://www.idra.org</t>
  </si>
  <si>
    <t>kanimozhi.v@telusdigital.com</t>
  </si>
  <si>
    <t>zcrm_1062537000000480757</t>
  </si>
  <si>
    <t>Kanimozhi NA</t>
  </si>
  <si>
    <t>Hope youâ€™re doing well. Iâ€™m Sandeep Kumar from Muenot, an AI and IT services delivery company supporting organizations with scalable, high-quality data, AI operations, content, and human-in-the-loop support services, backed by 500+ skilled resources.</t>
  </si>
  <si>
    <t>As TELUS Digital AI continues to scale AI training data, digital customer experience platforms, and enterprise AI solutions, we see a strong opportunity to support your teams as a trusted service vendor, particularly across data creation, annotation, validation, and execution-heavy AI workflows.</t>
  </si>
  <si>
    <t>"â€¢ Rapid deployment of trained delivery teams for AI data preparation, annotation, and validation
 â€¢ Scalable execution capacity for high-volume, multilingual, and multi-modal AI programs
 â€¢ Structured quality governance, security controls, and SLA-driven delivery
 â€¢ Cost-efficient execution models that improve throughput without impacting accuracy"</t>
  </si>
  <si>
    <t>Proposal for Vendor Partnership to Strengthen TELUS Digital AI &amp; Data Operations</t>
  </si>
  <si>
    <t>zcrm_1062537000000493061</t>
  </si>
  <si>
    <t>Alex</t>
  </si>
  <si>
    <t>tang</t>
  </si>
  <si>
    <t>Import</t>
  </si>
  <si>
    <t>â€¢ Domain-expert data teams for complex, high-judgment labeling needs
 â€¢ Scalable delivery capacity for large AI/ML data pipelines
 â€¢ Strong governance, quality, and security to reduce rework
 â€¢ Cost-efficient execution that accelerates model development</t>
  </si>
  <si>
    <t>zcrm_1062537000000493062</t>
  </si>
  <si>
    <t>MCLD-703</t>
  </si>
  <si>
    <t>Amaya</t>
  </si>
  <si>
    <t>Neely</t>
  </si>
  <si>
    <t>BYJU'S</t>
  </si>
  <si>
    <t>https://byjus.com</t>
  </si>
  <si>
    <t>zcrm_1062537000000493063</t>
  </si>
  <si>
    <t>Saeed</t>
  </si>
  <si>
    <t>Arafeh</t>
  </si>
  <si>
    <t>zcrm_1062537000000493064</t>
  </si>
  <si>
    <t>Hunter</t>
  </si>
  <si>
    <t>Morales</t>
  </si>
  <si>
    <t>zcrm_1062537000000493066</t>
  </si>
  <si>
    <t>Robert</t>
  </si>
  <si>
    <t>Welch</t>
  </si>
  <si>
    <t>MCLD-704</t>
  </si>
  <si>
    <t>BiiU</t>
  </si>
  <si>
    <t>https://biiu.com</t>
  </si>
  <si>
    <t>zcrm_1062537000000493067</t>
  </si>
  <si>
    <t>Jesse</t>
  </si>
  <si>
    <t>Shemen</t>
  </si>
  <si>
    <t>MCLD-705</t>
  </si>
  <si>
    <t>Indian Institute of Technology Bombay (IIT)</t>
  </si>
  <si>
    <t>https://www.iitb.ac.in</t>
  </si>
  <si>
    <t>zcrm_1062537000000493068</t>
  </si>
  <si>
    <t>Daniel</t>
  </si>
  <si>
    <t>Evans</t>
  </si>
  <si>
    <t>zcrm_1062537000000493069</t>
  </si>
  <si>
    <t>Stephani</t>
  </si>
  <si>
    <t>Brito</t>
  </si>
  <si>
    <t>MCLD-706</t>
  </si>
  <si>
    <t>Substrate</t>
  </si>
  <si>
    <t>https://substrate.ai</t>
  </si>
  <si>
    <t>zcrm_1062537000000493070</t>
  </si>
  <si>
    <t>Jad</t>
  </si>
  <si>
    <t>Faraj</t>
  </si>
  <si>
    <t>Des Moines, Iowa, United States</t>
  </si>
  <si>
    <t>MCLD-707</t>
  </si>
  <si>
    <t>Ovida</t>
  </si>
  <si>
    <t>https://ovida.io</t>
  </si>
  <si>
    <t>zcrm_1062537000000493071</t>
  </si>
  <si>
    <t>shital</t>
  </si>
  <si>
    <t>kamble</t>
  </si>
  <si>
    <t>MCLD-708</t>
  </si>
  <si>
    <t>Creanovation</t>
  </si>
  <si>
    <t>https://creanovation.com</t>
  </si>
  <si>
    <t>â€¢ Rapid deployment of trained delivery teams for AI data preparation, annotation, and validation
 â€¢ Scalable execution capacity for high-volume, multilingual, and multi-modal AI programs
 â€¢ Structured quality governance, security controls, and SLA-driven delivery
 â€¢ Cost-efficient execution models that improve throughput without impacting accuracy</t>
  </si>
  <si>
    <t>zcrm_1062537000000493072</t>
  </si>
  <si>
    <t>Akarsh</t>
  </si>
  <si>
    <t>Anind</t>
  </si>
  <si>
    <t>zcrm_1062537000000493073</t>
  </si>
  <si>
    <t>ShivPujan</t>
  </si>
  <si>
    <t>Yadav</t>
  </si>
  <si>
    <t>MCLD-709</t>
  </si>
  <si>
    <t>SimpleStudy</t>
  </si>
  <si>
    <t>https://simplestudy.io</t>
  </si>
  <si>
    <t>zcrm_1062537000000493075</t>
  </si>
  <si>
    <t>Shivani</t>
  </si>
  <si>
    <t>Khandagale</t>
  </si>
  <si>
    <t>Cork, Cork, Ireland</t>
  </si>
  <si>
    <t>MCLD-710</t>
  </si>
  <si>
    <t>Team Satchel</t>
  </si>
  <si>
    <t>https://teamsatchel.com</t>
  </si>
  <si>
    <t>zcrm_1062537000000493077</t>
  </si>
  <si>
    <t>Sonali</t>
  </si>
  <si>
    <t>Patil</t>
  </si>
  <si>
    <t>zcrm_1062537000000493079</t>
  </si>
  <si>
    <t>MCLD-711</t>
  </si>
  <si>
    <t>CONSTRUKTS</t>
  </si>
  <si>
    <t>Chhaya</t>
  </si>
  <si>
    <t>Reddy</t>
  </si>
  <si>
    <t>https://construkts.com</t>
  </si>
  <si>
    <t>zcrm_1062537000000493080</t>
  </si>
  <si>
    <t>Claire</t>
  </si>
  <si>
    <t>Dingley</t>
  </si>
  <si>
    <t>MCLD-712</t>
  </si>
  <si>
    <t>Braintrust</t>
  </si>
  <si>
    <t>https://www.usebraintrust.com</t>
  </si>
  <si>
    <t>zcrm_1062537000000493081</t>
  </si>
  <si>
    <t>Irina</t>
  </si>
  <si>
    <t>Lapos</t>
  </si>
  <si>
    <t>irina.lapos@telusdigital.com</t>
  </si>
  <si>
    <t>Irina Lapos</t>
  </si>
  <si>
    <t>Global Senior Manager - Gen AI operations</t>
  </si>
  <si>
    <t>zcrm_1062537000000493082</t>
  </si>
  <si>
    <t>Atsuro</t>
  </si>
  <si>
    <t>Sato</t>
  </si>
  <si>
    <t>MCLD-713</t>
  </si>
  <si>
    <t>AQai - Adaptability Assessments &amp; Coaching</t>
  </si>
  <si>
    <t>https://aqai.io</t>
  </si>
  <si>
    <t>zcrm_1062537000000493083</t>
  </si>
  <si>
    <t>Margaret</t>
  </si>
  <si>
    <t>McGinty</t>
  </si>
  <si>
    <t>MCLD-714</t>
  </si>
  <si>
    <t>Stimy AI</t>
  </si>
  <si>
    <t>https://stimy.ai</t>
  </si>
  <si>
    <t>zcrm_1062537000000493084</t>
  </si>
  <si>
    <t>Yvon</t>
  </si>
  <si>
    <t>Descieux</t>
  </si>
  <si>
    <t>zcrm_1062537000000493085</t>
  </si>
  <si>
    <t>MCLD-715</t>
  </si>
  <si>
    <t>Neverware</t>
  </si>
  <si>
    <t>Jyotiranjan</t>
  </si>
  <si>
    <t>Nayal</t>
  </si>
  <si>
    <t>https://www.neverware.com</t>
  </si>
  <si>
    <t>zcrm_1062537000000482454</t>
  </si>
  <si>
    <t>As Academian continues to design and deliver online and hybrid programs for higher-education institutions, we see a strong opportunity to support your teams as a service delivery vendor, particularly across course development, content build, revisions, and ongoing academic production support.</t>
  </si>
  <si>
    <t>â€¢ Supports Academian teams with scalable execution for course development, updates, and content conversion
 â€¢ Adds delivery bandwidth to manage multiple institutional programs and faculty timelines
 â€¢ Provides structured quality checks and process discipline for consistent, learner-ready academic content</t>
  </si>
  <si>
    <t>zcrm_1062537000000497010</t>
  </si>
  <si>
    <t>Majeed</t>
  </si>
  <si>
    <t>Ansari</t>
  </si>
  <si>
    <t>Forcast Date</t>
  </si>
  <si>
    <t>zcrm_1062537000000497005</t>
  </si>
  <si>
    <t>Forecast ID</t>
  </si>
  <si>
    <t>Quarter</t>
  </si>
  <si>
    <t>Year</t>
  </si>
  <si>
    <t>Expected Revenue</t>
  </si>
  <si>
    <t>MCLD-716</t>
  </si>
  <si>
    <t>Best Case</t>
  </si>
  <si>
    <t>WooStudy</t>
  </si>
  <si>
    <t>Worst Case</t>
  </si>
  <si>
    <t>https://woostudy.com</t>
  </si>
  <si>
    <t>Pipeline Coverage</t>
  </si>
  <si>
    <t>Owner</t>
  </si>
  <si>
    <t>Hope youâ€™re doing well. Iâ€™m Sandeep Kumar from Muenot, an E-learning services delivery company supporting organizations with scalable execution across eLearning content development, assessments, digital production, QA, and learning operations.</t>
  </si>
  <si>
    <t>As AMNET continues to deliver education services, assessment solutions, and learning support for institutions and education programs, we see a strong opportunity to support your teams as a service delivery vendor, particularly across content development, assessment creation, review workflows, and execution-intensive learning programs.</t>
  </si>
  <si>
    <t>â€¢ Supports AMNET teams with scalable execution for content and assessment development projects
 â€¢ Adds delivery bandwidth to manage high-volume programs, revisions, and tight timelines
 â€¢ Provides structured quality checks and process discipline for consistent, compliant learning outputs</t>
  </si>
  <si>
    <t>Proposal for Vendor Partnership to Support eLearning &amp; Assessment Delivery</t>
  </si>
  <si>
    <t>zcrm_1062537000000497086</t>
  </si>
  <si>
    <t>Simon</t>
  </si>
  <si>
    <t>Samuel</t>
  </si>
  <si>
    <t>MCLD-717</t>
  </si>
  <si>
    <t>Edves</t>
  </si>
  <si>
    <t>https://edves.net</t>
  </si>
  <si>
    <t>zcrm_1062537000000497097</t>
  </si>
  <si>
    <t>Esabella</t>
  </si>
  <si>
    <t>Powar</t>
  </si>
  <si>
    <t>zcrm_1062537000000521057</t>
  </si>
  <si>
    <t>Sandeep</t>
  </si>
  <si>
    <t>Kapoor</t>
  </si>
  <si>
    <t>Sandeep.kapoor1@aptaracorp.com</t>
  </si>
  <si>
    <t>MCLD-718</t>
  </si>
  <si>
    <t>zcrm_1062537000000482766</t>
  </si>
  <si>
    <t>SmartStudy.com</t>
  </si>
  <si>
    <t>Sandeep Kapoor</t>
  </si>
  <si>
    <t>As Aptara continues to support global publishers and learning organizations with content transformation, digital learning solutions, and large-scale production services, we see a strong opportunity to support your teams as a service delivery vendor, particularly across content conversion, learning asset production, QA, and execution-intensive delivery workflows.</t>
  </si>
  <si>
    <t>"â€¢ Supports Aptara teams with scalable execution for content conversion and digital learning production
 â€¢ Adds delivery bandwidth for high-volume, multi-format publishing and learning programs
 â€¢ Provides structured quality checks and process discipline for consistent, production-ready outputs"</t>
  </si>
  <si>
    <t>Proposal for Vendor Partnership to Support Digital Content &amp; Learning Delivery</t>
  </si>
  <si>
    <t>zcrm_1062537000000529101</t>
  </si>
  <si>
    <t>Reena</t>
  </si>
  <si>
    <t>Shah</t>
  </si>
  <si>
    <t>zcrm_1062537000000476946</t>
  </si>
  <si>
    <t>https://www.smartstudy.com</t>
  </si>
  <si>
    <t>As Hurix continues to support global publishers and learning organizations with digital content transformation, platform services, and accessibility-focused learning solutions, we see a strong opportunity to support your teams as a service delivery vendor, particularly across content conversion, accessibility compliance, QA, and large-scale digital learning production workflows.</t>
  </si>
  <si>
    <t>â€¢ Supports Hurix teams with scalable execution for content conversion and digital learning production
 â€¢ Adds delivery bandwidth to manage high-volume, multi-format publishing and accessibility programs
 â€¢ Provides structured quality checks and process discipline for consistent, platform-ready learning outputs</t>
  </si>
  <si>
    <t>Proposal for Vendor Partnership to Support Digital Learning &amp; Content Delivery</t>
  </si>
  <si>
    <t>zcrm_1062537000000529103</t>
  </si>
  <si>
    <t>Anuj</t>
  </si>
  <si>
    <t>Mishra</t>
  </si>
  <si>
    <t>MCLD-719</t>
  </si>
  <si>
    <t>Smashcut</t>
  </si>
  <si>
    <t>https://smashcut.ai</t>
  </si>
  <si>
    <t>zcrm_1062537000000529104</t>
  </si>
  <si>
    <t>Ravishankar</t>
  </si>
  <si>
    <t>C</t>
  </si>
  <si>
    <t>MCLD-720</t>
  </si>
  <si>
    <t>GoStudent</t>
  </si>
  <si>
    <t>https://www.gostudent.org</t>
  </si>
  <si>
    <t>zcrm_1062537000000529105</t>
  </si>
  <si>
    <t>Muthuraman</t>
  </si>
  <si>
    <t>N</t>
  </si>
  <si>
    <t>zcrm_1062537000000529106</t>
  </si>
  <si>
    <t>Nishma</t>
  </si>
  <si>
    <t>Dodhia</t>
  </si>
  <si>
    <t>MCLD-721</t>
  </si>
  <si>
    <t>Komodo Wellbeing</t>
  </si>
  <si>
    <t>https://komodowellbeing.com</t>
  </si>
  <si>
    <t>Q3</t>
  </si>
  <si>
    <t>zcrm_1062537000000529107</t>
  </si>
  <si>
    <t>Jivitha</t>
  </si>
  <si>
    <t>Crasta</t>
  </si>
  <si>
    <t>3x</t>
  </si>
  <si>
    <t>RF-002</t>
  </si>
  <si>
    <t>Christchurch, Canterbury, New Zealand</t>
  </si>
  <si>
    <t>2.5x</t>
  </si>
  <si>
    <t>zcrm_1062537000000529108</t>
  </si>
  <si>
    <t>RF-003</t>
  </si>
  <si>
    <t>Lyonel</t>
  </si>
  <si>
    <t>Mascarenhas</t>
  </si>
  <si>
    <t>4x</t>
  </si>
  <si>
    <t>MCLD-722</t>
  </si>
  <si>
    <t>Lumii.me</t>
  </si>
  <si>
    <t>zcrm_1062537000000529109</t>
  </si>
  <si>
    <t>https://lumii.me</t>
  </si>
  <si>
    <t>Meena</t>
  </si>
  <si>
    <t>Hari</t>
  </si>
  <si>
    <t>zcrm_1062537000000529110</t>
  </si>
  <si>
    <t>Srikanth</t>
  </si>
  <si>
    <t>Balguri</t>
  </si>
  <si>
    <t>MCLD-723</t>
  </si>
  <si>
    <t>Soefia Education</t>
  </si>
  <si>
    <t>https://soefia.com</t>
  </si>
  <si>
    <t>Needham, Massachusetts, United States</t>
  </si>
  <si>
    <t>zcrm_1062537000000529112</t>
  </si>
  <si>
    <t>John</t>
  </si>
  <si>
    <t>(he/him)</t>
  </si>
  <si>
    <t>MCLD-724</t>
  </si>
  <si>
    <t>Morningscore</t>
  </si>
  <si>
    <t>https://morningscore.io</t>
  </si>
  <si>
    <t>zcrm_1062537000000529113</t>
  </si>
  <si>
    <t>Lalu</t>
  </si>
  <si>
    <t>Krishnan</t>
  </si>
  <si>
    <t>Odense, Syddanmark, Denmark</t>
  </si>
  <si>
    <t>zcrm_1062537000000529114</t>
  </si>
  <si>
    <t>Yogesh</t>
  </si>
  <si>
    <t>Hankare</t>
  </si>
  <si>
    <t>MCLD-725</t>
  </si>
  <si>
    <t>WhalesBot</t>
  </si>
  <si>
    <t>https://whalesbot.ai</t>
  </si>
  <si>
    <t>zcrm_1062537000000529116</t>
  </si>
  <si>
    <t>Nitin</t>
  </si>
  <si>
    <t>Sharma</t>
  </si>
  <si>
    <t>MCLD-726</t>
  </si>
  <si>
    <t>NKENNE</t>
  </si>
  <si>
    <t>zcrm_1062537000000529117</t>
  </si>
  <si>
    <t>Lema</t>
  </si>
  <si>
    <t>https://nkenne.com</t>
  </si>
  <si>
    <t>Fernandez</t>
  </si>
  <si>
    <t>zcrm_1062537000000529118</t>
  </si>
  <si>
    <t>Paramita</t>
  </si>
  <si>
    <t>Sengupta</t>
  </si>
  <si>
    <t>MCLD-727</t>
  </si>
  <si>
    <t>College Guidance Network</t>
  </si>
  <si>
    <t>https://collegeguidancenetwork.com</t>
  </si>
  <si>
    <t>zcrm_1062537000000529121</t>
  </si>
  <si>
    <t>Bharat</t>
  </si>
  <si>
    <t>Botle</t>
  </si>
  <si>
    <t>zcrm_1062537000000529122</t>
  </si>
  <si>
    <t>Jayaprakash</t>
  </si>
  <si>
    <t>MCLD-728</t>
  </si>
  <si>
    <t>Prabhakaran</t>
  </si>
  <si>
    <t>Path (fka ScholarMe)</t>
  </si>
  <si>
    <t>https://withpath.com</t>
  </si>
  <si>
    <t>zcrm_1062537000000529123</t>
  </si>
  <si>
    <t>Rajasmita</t>
  </si>
  <si>
    <t>Nayak</t>
  </si>
  <si>
    <t>MCLD-729</t>
  </si>
  <si>
    <t>Meitner</t>
  </si>
  <si>
    <t>https://meitnerai.com</t>
  </si>
  <si>
    <t>zcrm_1062537000000529124</t>
  </si>
  <si>
    <t>Ankita</t>
  </si>
  <si>
    <t>Solna, Stockholms Lan, Sweden</t>
  </si>
  <si>
    <t>zcrm_1062537000000529125</t>
  </si>
  <si>
    <t>Ramganesh</t>
  </si>
  <si>
    <t>Bhaskaran</t>
  </si>
  <si>
    <t>MCLD-730</t>
  </si>
  <si>
    <t>Turing Space</t>
  </si>
  <si>
    <t>https://turingspace.com</t>
  </si>
  <si>
    <t>zcrm_1062537000000529126</t>
  </si>
  <si>
    <t>Khushbu</t>
  </si>
  <si>
    <t>Pandey</t>
  </si>
  <si>
    <t>MCLD-731</t>
  </si>
  <si>
    <t>Creative Galileo</t>
  </si>
  <si>
    <t>https://creativegalileo.com</t>
  </si>
  <si>
    <t>zcrm_1062537000000529127</t>
  </si>
  <si>
    <t>Girish</t>
  </si>
  <si>
    <t>Kajrolkar</t>
  </si>
  <si>
    <t>Andheri, Maharashtra, India</t>
  </si>
  <si>
    <t>zcrm_1062537000000529128</t>
  </si>
  <si>
    <t>Akanksha</t>
  </si>
  <si>
    <t>Chopra</t>
  </si>
  <si>
    <t>MCLD-732</t>
  </si>
  <si>
    <t>PuStack</t>
  </si>
  <si>
    <t>https://pustack.com</t>
  </si>
  <si>
    <t>zcrm_1062537000000529129</t>
  </si>
  <si>
    <t>Meghana</t>
  </si>
  <si>
    <t>Chitnis</t>
  </si>
  <si>
    <t>MCLD-733</t>
  </si>
  <si>
    <t>Chef Koochooloo</t>
  </si>
  <si>
    <t>https://chefkoochooloo.com</t>
  </si>
  <si>
    <t>zcrm_1062537000000529130</t>
  </si>
  <si>
    <t>Annashanti</t>
  </si>
  <si>
    <t>Nadar</t>
  </si>
  <si>
    <t>MCLD-734</t>
  </si>
  <si>
    <t>Life is Tech</t>
  </si>
  <si>
    <t>https://life-is-tech.com</t>
  </si>
  <si>
    <t>zcrm_1062537000000529131</t>
  </si>
  <si>
    <t>Praggya</t>
  </si>
  <si>
    <t>Poddar</t>
  </si>
  <si>
    <t>MCLD-735</t>
  </si>
  <si>
    <t>Afya</t>
  </si>
  <si>
    <t>https://www.afya.com.br</t>
  </si>
  <si>
    <t>zcrm_1062537000000529132</t>
  </si>
  <si>
    <t>Ashish</t>
  </si>
  <si>
    <t>Parasar</t>
  </si>
  <si>
    <t>Nova Lima, Minas Gerais, Brazil</t>
  </si>
  <si>
    <t>zcrm_1062537000000529133</t>
  </si>
  <si>
    <t>Gomathinayagi</t>
  </si>
  <si>
    <t>Durairaj</t>
  </si>
  <si>
    <t>MCLD-736</t>
  </si>
  <si>
    <t>Develhope</t>
  </si>
  <si>
    <t>https://develhope.co</t>
  </si>
  <si>
    <t>zcrm_1062537000000529134</t>
  </si>
  <si>
    <t>Palermo, Sicilia, Italy</t>
  </si>
  <si>
    <t>Tanmay</t>
  </si>
  <si>
    <t>Aire</t>
  </si>
  <si>
    <t>MCLD-737</t>
  </si>
  <si>
    <t>uPlanner</t>
  </si>
  <si>
    <t>https://uplanner.com</t>
  </si>
  <si>
    <t>zcrm_1062537000000529135</t>
  </si>
  <si>
    <t>Mohit</t>
  </si>
  <si>
    <t>Hassija</t>
  </si>
  <si>
    <t>Santiago, Region Metropolitana, Chile</t>
  </si>
  <si>
    <t>MCLD-738</t>
  </si>
  <si>
    <t>Practice</t>
  </si>
  <si>
    <t>https://practice.xyz</t>
  </si>
  <si>
    <t>zcrm_1062537000000529137</t>
  </si>
  <si>
    <t>Uttara</t>
  </si>
  <si>
    <t>Joshi</t>
  </si>
  <si>
    <t>zcrm_1062537000000529138</t>
  </si>
  <si>
    <t>saravanan</t>
  </si>
  <si>
    <t>singaram</t>
  </si>
  <si>
    <t>MCLD-739</t>
  </si>
  <si>
    <t>zcrm_1062537000000529139</t>
  </si>
  <si>
    <t>Edsoma</t>
  </si>
  <si>
    <t>Hema</t>
  </si>
  <si>
    <t>https://edsoma.com</t>
  </si>
  <si>
    <t>Arya</t>
  </si>
  <si>
    <t>Weatherford, Texas, United States</t>
  </si>
  <si>
    <t>zcrm_1062537000000529140</t>
  </si>
  <si>
    <t>Romal</t>
  </si>
  <si>
    <t>Bhansali</t>
  </si>
  <si>
    <t>MCLD-740</t>
  </si>
  <si>
    <t>xUnlocked</t>
  </si>
  <si>
    <t>https://xunlocked.com</t>
  </si>
  <si>
    <t>zcrm_1062537000000529141</t>
  </si>
  <si>
    <t>Wadhwani</t>
  </si>
  <si>
    <t>zcrm_1062537000000529142</t>
  </si>
  <si>
    <t>Lakhan</t>
  </si>
  <si>
    <t>MCLD-741</t>
  </si>
  <si>
    <t>AshnaAI</t>
  </si>
  <si>
    <t>https://ashna.ai</t>
  </si>
  <si>
    <t>zcrm_1062537000000529143</t>
  </si>
  <si>
    <t>Dinesh</t>
  </si>
  <si>
    <t>Rajagopal</t>
  </si>
  <si>
    <t>MCLD-742</t>
  </si>
  <si>
    <t>Kamina</t>
  </si>
  <si>
    <t>https://kamina.ai</t>
  </si>
  <si>
    <t>zcrm_1062537000000529145</t>
  </si>
  <si>
    <t>Namita</t>
  </si>
  <si>
    <t>Quito, Pichincha, Ecuador</t>
  </si>
  <si>
    <t>zcrm_1062537000000529146</t>
  </si>
  <si>
    <t>Sugandha</t>
  </si>
  <si>
    <t>MCLD-743</t>
  </si>
  <si>
    <t>ZillyPlanet</t>
  </si>
  <si>
    <t>https://zillyplanet.com</t>
  </si>
  <si>
    <t>zcrm_1062537000000529148</t>
  </si>
  <si>
    <t>Chiquitta</t>
  </si>
  <si>
    <t>chonkar</t>
  </si>
  <si>
    <t>Key Biscayne, Florida, United States</t>
  </si>
  <si>
    <t>zcrm_1062537000000529150</t>
  </si>
  <si>
    <t>Neha</t>
  </si>
  <si>
    <t>Singh</t>
  </si>
  <si>
    <t>MCLD-744</t>
  </si>
  <si>
    <t>Pineapple Academy</t>
  </si>
  <si>
    <t>https://pineappleacademy.co</t>
  </si>
  <si>
    <t>zcrm_1062537000000529151</t>
  </si>
  <si>
    <t>shafiq</t>
  </si>
  <si>
    <t>khandwani</t>
  </si>
  <si>
    <t>zcrm_1062537000000529152</t>
  </si>
  <si>
    <t>Blue Springs, Missouri, United States</t>
  </si>
  <si>
    <t>Karunakaran</t>
  </si>
  <si>
    <t>M</t>
  </si>
  <si>
    <t>MCLD-745</t>
  </si>
  <si>
    <t>PAPER</t>
  </si>
  <si>
    <t>https://paper.co</t>
  </si>
  <si>
    <t>zcrm_1062537000000529153</t>
  </si>
  <si>
    <t>Riya</t>
  </si>
  <si>
    <t>Parulekar</t>
  </si>
  <si>
    <t>MontrÃƒÂ©al, Quebec, Canada</t>
  </si>
  <si>
    <t>MCLD-746</t>
  </si>
  <si>
    <t>CiaraAI</t>
  </si>
  <si>
    <t>https://ciara.ai</t>
  </si>
  <si>
    <t>zcrm_1062537000000529154</t>
  </si>
  <si>
    <t>Saba</t>
  </si>
  <si>
    <t>Shaikh</t>
  </si>
  <si>
    <t>MCLD-747</t>
  </si>
  <si>
    <t>Class Technologies</t>
  </si>
  <si>
    <t>https://classtechnologies.com</t>
  </si>
  <si>
    <t>zcrm_1062537000000529155</t>
  </si>
  <si>
    <t>indumathi</t>
  </si>
  <si>
    <t>namasivayam</t>
  </si>
  <si>
    <t>zcrm_1062537000000529156</t>
  </si>
  <si>
    <t>Raj</t>
  </si>
  <si>
    <t>Thakur</t>
  </si>
  <si>
    <t>MCLD-748</t>
  </si>
  <si>
    <t>TeacherOn.com</t>
  </si>
  <si>
    <t>zcrm_1062537000000529157</t>
  </si>
  <si>
    <t>Diksha</t>
  </si>
  <si>
    <t>Pagar</t>
  </si>
  <si>
    <t>https://www.teacheron.com</t>
  </si>
  <si>
    <t>zcrm_1062537000000529159</t>
  </si>
  <si>
    <t>Dipti</t>
  </si>
  <si>
    <t>Sama</t>
  </si>
  <si>
    <t>MCLD-749</t>
  </si>
  <si>
    <t>Freewheelin</t>
  </si>
  <si>
    <t>https://freewheelin.ai</t>
  </si>
  <si>
    <t>zcrm_1062537000000530196</t>
  </si>
  <si>
    <t>Annu</t>
  </si>
  <si>
    <t>Rohilla</t>
  </si>
  <si>
    <t>zcrm_1062537000000474150</t>
  </si>
  <si>
    <t>MCLD-750</t>
  </si>
  <si>
    <t>Stylus</t>
  </si>
  <si>
    <t>https://stylus.ai</t>
  </si>
  <si>
    <t>As Univo continues to support higher-education institutions with online program management, digital course development, and learner engagement services, we see a strong opportunity to support your teams as a service delivery vendor, particularly across course build, content updates, QA, and ongoing program execution support.</t>
  </si>
  <si>
    <t>â€¢ Supports Univo teams with scalable execution for online course development and content updates
 â€¢ Adds delivery bandwidth to manage multiple university programs and rollout timelines
 â€¢ Provides structured quality checks and process discipline for consistent, learner-ready outputs</t>
  </si>
  <si>
    <t>Proposal for Vendor Partnership to Support eLearning Program Delivery</t>
  </si>
  <si>
    <t>MCLD-751</t>
  </si>
  <si>
    <t>hackU</t>
  </si>
  <si>
    <t>zcrm_1062537000000530219</t>
  </si>
  <si>
    <t>https://hacku.io</t>
  </si>
  <si>
    <t>Rita</t>
  </si>
  <si>
    <t>Kaul</t>
  </si>
  <si>
    <t>zcrm_1062537000000484465</t>
  </si>
  <si>
    <t>MedellÃƒÂ­n, Antioquia, Colombia</t>
  </si>
  <si>
    <t>As Chandra Global continues to support education and learning initiatives through content development and academic services, we see a strong opportunity to support your teams as a service delivery vendor, particularly across learning content creation, digitization, QA, and execution-heavy education workflows.</t>
  </si>
  <si>
    <t>â€¢ Supports Chandra Global teams with scalable execution for eLearning content development and digitization
 â€¢ Adds delivery bandwidth to manage multiple programs, revisions, and timelines
 â€¢ Provides structured quality checks and process discipline for consistent, learner-ready outputs</t>
  </si>
  <si>
    <t>zcrm_1062537000000530244</t>
  </si>
  <si>
    <t>MCLD-752</t>
  </si>
  <si>
    <t>LingoTalk</t>
  </si>
  <si>
    <t>Retesh</t>
  </si>
  <si>
    <t>Kotian</t>
  </si>
  <si>
    <t>https://lingotalk.com</t>
  </si>
  <si>
    <t>zcrm_1062537000000530294</t>
  </si>
  <si>
    <t>Meghna</t>
  </si>
  <si>
    <t>Panda</t>
  </si>
  <si>
    <t>MCLD-753</t>
  </si>
  <si>
    <t>Easy-Tutor</t>
  </si>
  <si>
    <t>https://easy-tutor.com</t>
  </si>
  <si>
    <t>zcrm_1062537000000530450</t>
  </si>
  <si>
    <t>Technologies</t>
  </si>
  <si>
    <t>Lead</t>
  </si>
  <si>
    <t>zcrm_1062537000000530907</t>
  </si>
  <si>
    <t>Rishi</t>
  </si>
  <si>
    <t>Agrawal</t>
  </si>
  <si>
    <t>zcrm_1062537000000530901</t>
  </si>
  <si>
    <t>Hope youâ€™re doing well. Iâ€™m Sandeep Kumar from Muenot, an E-learning services delivery company supporting organizations with scalable execution across learning content development, digital production, QA, and learning operations.</t>
  </si>
  <si>
    <t>As Turing continues to support global programs through structured learning paths, training content, and ongoing enablement initiatives, we see a strong opportunity to support your teams as a service delivery vendor, particularly across learning content creation, updates, digital production, and execution-intensive enablement workflows.</t>
  </si>
  <si>
    <t>"â€¢ Supports Turing teams with scalable execution for learning and enablement content development
 â€¢ Adds delivery bandwidth to manage continuous updates, revisions, and program rollouts
 â€¢ Provides structured quality checks and process discipline for consistent, learner-ready outputs"</t>
  </si>
  <si>
    <t>Proposal for Vendor Partnership to Support Learning &amp; Enablement Delivery</t>
  </si>
  <si>
    <t>MCLD-754</t>
  </si>
  <si>
    <t>Key2Enable Assistive Technology</t>
  </si>
  <si>
    <t>zcrm_1062537000000539188</t>
  </si>
  <si>
    <t>https://key2enable.com</t>
  </si>
  <si>
    <t>Mini</t>
  </si>
  <si>
    <t>Rustogi</t>
  </si>
  <si>
    <t>â€¢ Supports Aptara teams with scalable execution for content conversion and digital learning production
 â€¢ Adds delivery bandwidth for high-volume, multi-format publishing and learning programs
 â€¢ Provides structured quality checks and process discipline for consistent, production-ready outputs</t>
  </si>
  <si>
    <t>MCLD-755</t>
  </si>
  <si>
    <t>zcrm_1062537000000539349</t>
  </si>
  <si>
    <t>Kyt</t>
  </si>
  <si>
    <t>Jawwad</t>
  </si>
  <si>
    <t>https://kyt.ai</t>
  </si>
  <si>
    <t>khan</t>
  </si>
  <si>
    <t>MCLD-756</t>
  </si>
  <si>
    <t>Iridescent</t>
  </si>
  <si>
    <t>https://iridescentlearning.org</t>
  </si>
  <si>
    <t>zcrm_1062537000000539364</t>
  </si>
  <si>
    <t>Vanita</t>
  </si>
  <si>
    <t>Rana</t>
  </si>
  <si>
    <t>zcrm_1062537000000539376</t>
  </si>
  <si>
    <t>As SAGE continues to support global academic and professional communities through digital learning resources, online platforms, and content for higher education and research, we see a strong opportunity to support your teams as a service delivery vendor, particularly across learning content development, content conversion, QA, and execution-intensive digital publishing workflows.</t>
  </si>
  <si>
    <t>zcrm_1062537000000539381</t>
  </si>
  <si>
    <t>Manish</t>
  </si>
  <si>
    <t>Nainwal</t>
  </si>
  <si>
    <t>MCLD-757</t>
  </si>
  <si>
    <t>Pearl</t>
  </si>
  <si>
    <t>https://pearl.com</t>
  </si>
  <si>
    <t>Richmond, Virginia, United States</t>
  </si>
  <si>
    <t>zcrm_1062537000000539398</t>
  </si>
  <si>
    <t>Anupam</t>
  </si>
  <si>
    <t>Mukherjee</t>
  </si>
  <si>
    <t>MCLD-758</t>
  </si>
  <si>
    <t>Crescendo</t>
  </si>
  <si>
    <t>https://crescendo.ai</t>
  </si>
  <si>
    <t>zcrm_1062537000000541089</t>
  </si>
  <si>
    <t>Esteban</t>
  </si>
  <si>
    <t>Cascante</t>
  </si>
  <si>
    <t>zcrm_1062537000000539415</t>
  </si>
  <si>
    <t>MCLD-759</t>
  </si>
  <si>
    <t>HRFY</t>
  </si>
  <si>
    <t>https://hrfy.in</t>
  </si>
  <si>
    <t>As SweetRush continues to design and deliver high-impact, custom digital learning experiences for global organizations, we see a strong opportunity to support your teams as a service delivery vendor, particularly across content production, learning asset development, QA, and execution-intensive creative learning workflows.</t>
  </si>
  <si>
    <t>â€¢ Supports SweetRush teams with scalable execution for learning content production and digital asset development
 â€¢ Adds delivery bandwidth to manage creative learning programs, revisions, and tight client timelines
 â€¢ Provides structured quality checks and process discipline for consistent, client-ready learning outputs</t>
  </si>
  <si>
    <t>Proposal for Vendor Partnership to Support Digital Learning Delivery</t>
  </si>
  <si>
    <t>zcrm_1062537000000541090</t>
  </si>
  <si>
    <t>Jumana</t>
  </si>
  <si>
    <t>Shaikhali</t>
  </si>
  <si>
    <t>Mohali, Punjab, India</t>
  </si>
  <si>
    <t>MCLD-760</t>
  </si>
  <si>
    <t>Haxo Games</t>
  </si>
  <si>
    <t>https://haxogames.com</t>
  </si>
  <si>
    <t>zcrm_1062537000000541091</t>
  </si>
  <si>
    <t>Gail</t>
  </si>
  <si>
    <t>Eisenstein</t>
  </si>
  <si>
    <t>Sherwood Park, Alberta, Canada</t>
  </si>
  <si>
    <t>zcrm_1062537000000541092</t>
  </si>
  <si>
    <t>MCLD-761</t>
  </si>
  <si>
    <t>Kristina</t>
  </si>
  <si>
    <t>Redmenta</t>
  </si>
  <si>
    <t>Stiffler</t>
  </si>
  <si>
    <t>https://redmenta.com</t>
  </si>
  <si>
    <t>Budapest, Budapest, Hungary</t>
  </si>
  <si>
    <t>zcrm_1062537000000541093</t>
  </si>
  <si>
    <t>Elaina</t>
  </si>
  <si>
    <t>Embree</t>
  </si>
  <si>
    <t>MCLD-762</t>
  </si>
  <si>
    <t>Coala SaÃƒÂºde</t>
  </si>
  <si>
    <t>https://www.coalasaude.com.br</t>
  </si>
  <si>
    <t>zcrm_1062537000000542061</t>
  </si>
  <si>
    <t>MCLD-763</t>
  </si>
  <si>
    <t>Sridevi</t>
  </si>
  <si>
    <t>Codecademy</t>
  </si>
  <si>
    <t>Sarjana</t>
  </si>
  <si>
    <t>https://www.codecademy.com</t>
  </si>
  <si>
    <t>zcrm_1062537000000482937</t>
  </si>
  <si>
    <t>MCLD-764</t>
  </si>
  <si>
    <t>NetDragon Education</t>
  </si>
  <si>
    <t>As CommLab India continues to deliver corporate eLearning solutions, rapid instructional design, and performance-focused learning programs for global enterprises, we see a strong opportunity to support your teams as a service delivery vendor, particularly across content development, rapid course builds, updates, and execution-intensive learning workflows.</t>
  </si>
  <si>
    <t>https://www.nd.com.cn</t>
  </si>
  <si>
    <t>â€¢ Supports CommLab teams with scalable execution for rapid eLearning content development and updates
 â€¢ Adds delivery bandwidth to manage multiple corporate learning programs and tight turnaround timelines
 â€¢ Provides structured quality checks and process discipline for consistent, client-ready learning outputs</t>
  </si>
  <si>
    <t>Proposal for Vendor Partnership to Support Corporate eLearning Delivery</t>
  </si>
  <si>
    <t>zcrm_1062537000000542062</t>
  </si>
  <si>
    <t>Rajesh</t>
  </si>
  <si>
    <t>Damera</t>
  </si>
  <si>
    <t>Foochow, Fujian, China</t>
  </si>
  <si>
    <t>MCLD-765</t>
  </si>
  <si>
    <t>Famyo</t>
  </si>
  <si>
    <t>https://famyo.com</t>
  </si>
  <si>
    <t>zcrm_1062537000000542063</t>
  </si>
  <si>
    <t>Rajan</t>
  </si>
  <si>
    <t>Manepally</t>
  </si>
  <si>
    <t>MCLD-766</t>
  </si>
  <si>
    <t>Youthful Savings</t>
  </si>
  <si>
    <t>https://youthfulsavings.com</t>
  </si>
  <si>
    <t>zcrm_1062537000000542064</t>
  </si>
  <si>
    <t>Gitika</t>
  </si>
  <si>
    <t>Nagra</t>
  </si>
  <si>
    <t>zcrm_1062537000000542065</t>
  </si>
  <si>
    <t>Alekha</t>
  </si>
  <si>
    <t>Jaiswal</t>
  </si>
  <si>
    <t>MCLD-767</t>
  </si>
  <si>
    <t>Brainly</t>
  </si>
  <si>
    <t>https://brainly.com</t>
  </si>
  <si>
    <t>zcrm_1062537000000542066</t>
  </si>
  <si>
    <t>Parvathi</t>
  </si>
  <si>
    <t>Karnati</t>
  </si>
  <si>
    <t>KrakÃƒÂ³w, Malopolskie, Poland</t>
  </si>
  <si>
    <t>MCLD-768</t>
  </si>
  <si>
    <t>WeXL Edu</t>
  </si>
  <si>
    <t>https://wexl.in</t>
  </si>
  <si>
    <t>zcrm_1062537000000542067</t>
  </si>
  <si>
    <t>Raja</t>
  </si>
  <si>
    <t>Gadde</t>
  </si>
  <si>
    <t>MCLD-769</t>
  </si>
  <si>
    <t>Visionary Group</t>
  </si>
  <si>
    <t>zcrm_1062537000000542068</t>
  </si>
  <si>
    <t>swarnalatha</t>
  </si>
  <si>
    <t>https://visionarygroup.in</t>
  </si>
  <si>
    <t>B</t>
  </si>
  <si>
    <t>zcrm_1062537000000542069</t>
  </si>
  <si>
    <t>Mohammad</t>
  </si>
  <si>
    <t>Shafi</t>
  </si>
  <si>
    <t>MCLD-770</t>
  </si>
  <si>
    <t>4books</t>
  </si>
  <si>
    <t>https://4books.com</t>
  </si>
  <si>
    <t>zcrm_1062537000000542070</t>
  </si>
  <si>
    <t>Satheesh</t>
  </si>
  <si>
    <t>M.</t>
  </si>
  <si>
    <t>MCLD-771</t>
  </si>
  <si>
    <t>noplag.com</t>
  </si>
  <si>
    <t>zcrm_1062537000000542071</t>
  </si>
  <si>
    <t>ARINDAM</t>
  </si>
  <si>
    <t>NAG</t>
  </si>
  <si>
    <t>https://noplag.com</t>
  </si>
  <si>
    <t>zcrm_1062537000000542072</t>
  </si>
  <si>
    <t>Nazmeen</t>
  </si>
  <si>
    <t>Sultana</t>
  </si>
  <si>
    <t>MCLD-772</t>
  </si>
  <si>
    <t>OneSeventeen Media PBC</t>
  </si>
  <si>
    <t>https://oneseventeen.co</t>
  </si>
  <si>
    <t>zcrm_1062537000000542073</t>
  </si>
  <si>
    <t>William</t>
  </si>
  <si>
    <t>Carey</t>
  </si>
  <si>
    <t>zcrm_1062537000000542074</t>
  </si>
  <si>
    <t>Soman</t>
  </si>
  <si>
    <t>Gadipally</t>
  </si>
  <si>
    <t>MCLD-773</t>
  </si>
  <si>
    <t>EdCraft</t>
  </si>
  <si>
    <t>https://edcraft.io</t>
  </si>
  <si>
    <t>Garden City, New York, United States</t>
  </si>
  <si>
    <t>zcrm_1062537000000542075</t>
  </si>
  <si>
    <t>Akshay</t>
  </si>
  <si>
    <t>Uppala</t>
  </si>
  <si>
    <t>MCLD-774</t>
  </si>
  <si>
    <t>Tsunami XR</t>
  </si>
  <si>
    <t>https://tsunamixr.com</t>
  </si>
  <si>
    <t>zcrm_1062537000000542076</t>
  </si>
  <si>
    <t>Susmitha</t>
  </si>
  <si>
    <t>Bandary</t>
  </si>
  <si>
    <t>Del Mar, California, United States</t>
  </si>
  <si>
    <t>MCLD-775</t>
  </si>
  <si>
    <t>TagHive Inc.</t>
  </si>
  <si>
    <t>https://taghive.com</t>
  </si>
  <si>
    <t>zcrm_1062537000000542077</t>
  </si>
  <si>
    <t>Dr.</t>
  </si>
  <si>
    <t>Johnson</t>
  </si>
  <si>
    <t>MCLD-776</t>
  </si>
  <si>
    <t>Study Hall</t>
  </si>
  <si>
    <t>https://studyhall.education</t>
  </si>
  <si>
    <t>zcrm_1062537000000542078</t>
  </si>
  <si>
    <t>Sumana</t>
  </si>
  <si>
    <t>Gudipudi</t>
  </si>
  <si>
    <t>zcrm_1062537000000542079</t>
  </si>
  <si>
    <t>Seema</t>
  </si>
  <si>
    <t>Phadnis</t>
  </si>
  <si>
    <t>MCLD-777</t>
  </si>
  <si>
    <t>Firefly Learning</t>
  </si>
  <si>
    <t>https://fireflylearning.com</t>
  </si>
  <si>
    <t>zcrm_1062537000000542080</t>
  </si>
  <si>
    <t>Ayesha</t>
  </si>
  <si>
    <t>Habeeb</t>
  </si>
  <si>
    <t>MCLD-778</t>
  </si>
  <si>
    <t>Labster</t>
  </si>
  <si>
    <t>https://www.labster.com</t>
  </si>
  <si>
    <t>zcrm_1062537000000542081</t>
  </si>
  <si>
    <t>Asha</t>
  </si>
  <si>
    <t>Ganguli</t>
  </si>
  <si>
    <t>zcrm_1062537000000542174</t>
  </si>
  <si>
    <t>Binni</t>
  </si>
  <si>
    <t>Ramakrishna</t>
  </si>
  <si>
    <t>zcrm_1062537000000543178</t>
  </si>
  <si>
    <t>MCLD-779</t>
  </si>
  <si>
    <t>Applify AI</t>
  </si>
  <si>
    <t>TNQTech</t>
  </si>
  <si>
    <t>https://applify.ai</t>
  </si>
  <si>
    <t>Binni Ramakrishna</t>
  </si>
  <si>
    <t>As TNQ continues to support global STM publishers with content creation, digital transformation, and technology-enabled publishing solutions, we see a strong opportunity to support your teams as a service delivery vendor, particularly across learning content development, content conversion, QA, and execution-intensive digital workflows.</t>
  </si>
  <si>
    <t>â€¢ Supports TNQ teams with scalable execution for learning content development and digital conversion work
 â€¢ Adds delivery bandwidth to manage high-volume publishing and learning programs with tight timelines
 â€¢ Provides structured quality checks and process discipline for consistent, publication-ready outputs</t>
  </si>
  <si>
    <t>zcrm_1062537000000542175</t>
  </si>
  <si>
    <t>Vinod</t>
  </si>
  <si>
    <t>Namboodiri</t>
  </si>
  <si>
    <t>vkumar@tnq.co.in</t>
  </si>
  <si>
    <t>MCLD-780</t>
  </si>
  <si>
    <t>Ambi</t>
  </si>
  <si>
    <t>https://ambi.ai</t>
  </si>
  <si>
    <t>Vinod Namboodiri</t>
  </si>
  <si>
    <t>zcrm_1062537000000542176</t>
  </si>
  <si>
    <t>Pradeep</t>
  </si>
  <si>
    <t>Kumar</t>
  </si>
  <si>
    <t>pkumar@tnq.co.in</t>
  </si>
  <si>
    <t>MCLD-781</t>
  </si>
  <si>
    <t>Fearless+</t>
  </si>
  <si>
    <t>https://fearlessplus.com</t>
  </si>
  <si>
    <t>Pradeep Kumar</t>
  </si>
  <si>
    <t>zcrm_1062537000000542177</t>
  </si>
  <si>
    <t>Sony</t>
  </si>
  <si>
    <t>Wilson</t>
  </si>
  <si>
    <t>swilson@tnq.co.in</t>
  </si>
  <si>
    <t>Sony Wilson</t>
  </si>
  <si>
    <t>Deputy General Manager - Copyediting</t>
  </si>
  <si>
    <t>MCLD-782</t>
  </si>
  <si>
    <t>Lynx Educate</t>
  </si>
  <si>
    <t>https://lynxeducate.com</t>
  </si>
  <si>
    <t>zcrm_1062537000000542178</t>
  </si>
  <si>
    <t>GANDHI</t>
  </si>
  <si>
    <t>NAMASIVAYAM</t>
  </si>
  <si>
    <t>gandhi@tnq.co.in</t>
  </si>
  <si>
    <t>GANDHI NAMASIVAYAM</t>
  </si>
  <si>
    <t>DEPUTY GENERAL MANAGER</t>
  </si>
  <si>
    <t>zcrm_1062537000000542179</t>
  </si>
  <si>
    <t>Dharini</t>
  </si>
  <si>
    <t>Arul</t>
  </si>
  <si>
    <t>MCLD-783</t>
  </si>
  <si>
    <t>darul@tnq.co.in</t>
  </si>
  <si>
    <t>Cerebry</t>
  </si>
  <si>
    <t>https://cerebry.co</t>
  </si>
  <si>
    <t>Dharini Arul</t>
  </si>
  <si>
    <t>zcrm_1062537000000542180</t>
  </si>
  <si>
    <t>Abdul</t>
  </si>
  <si>
    <t>Rahman</t>
  </si>
  <si>
    <t>abdul@tnq.co.in</t>
  </si>
  <si>
    <t>MCLD-784</t>
  </si>
  <si>
    <t>GoPeer</t>
  </si>
  <si>
    <t>Abdul Rahman</t>
  </si>
  <si>
    <t>https://gopeer.org</t>
  </si>
  <si>
    <t>zcrm_1062537000000542181</t>
  </si>
  <si>
    <t>Murali</t>
  </si>
  <si>
    <t>Gopal</t>
  </si>
  <si>
    <t>mgopal@tnq.co.in</t>
  </si>
  <si>
    <t>Murali Gopal</t>
  </si>
  <si>
    <t>MCLD-785</t>
  </si>
  <si>
    <t>zcrm_1062537000000542182</t>
  </si>
  <si>
    <t>Winuall</t>
  </si>
  <si>
    <t>Stanley</t>
  </si>
  <si>
    <t>Philip</t>
  </si>
  <si>
    <t>https://winuall.com</t>
  </si>
  <si>
    <t>stanley@tnq.co.in</t>
  </si>
  <si>
    <t>Stanley Philip</t>
  </si>
  <si>
    <t>Deputy Manager Operations</t>
  </si>
  <si>
    <t>zcrm_1062537000000542183</t>
  </si>
  <si>
    <t>Thiaga</t>
  </si>
  <si>
    <t>thiaga@tnq.co.in</t>
  </si>
  <si>
    <t>MCLD-786</t>
  </si>
  <si>
    <t>Thinkful</t>
  </si>
  <si>
    <t>https://www.thinkful.com</t>
  </si>
  <si>
    <t>Thiaga Rajan</t>
  </si>
  <si>
    <t>Vice President - Coimbatore Operations</t>
  </si>
  <si>
    <t>zcrm_1062537000000542184</t>
  </si>
  <si>
    <t>Vinoth</t>
  </si>
  <si>
    <t>vinoth@tnq.co.in</t>
  </si>
  <si>
    <t>Vinoth Kumar</t>
  </si>
  <si>
    <t>Deputy Manager - Operations</t>
  </si>
  <si>
    <t>MCLD-787</t>
  </si>
  <si>
    <t>immersionED</t>
  </si>
  <si>
    <t>https://immersioned.com</t>
  </si>
  <si>
    <t>zcrm_1062537000000542185</t>
  </si>
  <si>
    <t>Gopaalan</t>
  </si>
  <si>
    <t>sgopaalan@tnq.co.in</t>
  </si>
  <si>
    <t>Srikanth Gopaalan</t>
  </si>
  <si>
    <t>General Manager Operations</t>
  </si>
  <si>
    <t>zcrm_1062537000000542186</t>
  </si>
  <si>
    <t>Murugalingam</t>
  </si>
  <si>
    <t>MCLD-788</t>
  </si>
  <si>
    <t>Sivagnanam</t>
  </si>
  <si>
    <t>Growappy</t>
  </si>
  <si>
    <t>Murugalingam Sivagnanam</t>
  </si>
  <si>
    <t>Vice President Operations</t>
  </si>
  <si>
    <t>zcrm_1062537000000542187</t>
  </si>
  <si>
    <t>https://growappy.com</t>
  </si>
  <si>
    <t>Muthukumar</t>
  </si>
  <si>
    <t>Ramalingam</t>
  </si>
  <si>
    <t>mramalingam@tnq.co.in</t>
  </si>
  <si>
    <t>Muthukumar Ramalingam</t>
  </si>
  <si>
    <t>Senior Vice President Operations</t>
  </si>
  <si>
    <t>Cascais, Lisboa, Portugal</t>
  </si>
  <si>
    <t>zcrm_1062537000000542188</t>
  </si>
  <si>
    <t>Niroshkumar</t>
  </si>
  <si>
    <t>Govindaraju</t>
  </si>
  <si>
    <t>niroshkumar@tnq.co.in</t>
  </si>
  <si>
    <t>MCLD-789</t>
  </si>
  <si>
    <t>IntellectoKids</t>
  </si>
  <si>
    <t>https://intellectokids.com</t>
  </si>
  <si>
    <t>Niroshkumar Govindaraju</t>
  </si>
  <si>
    <t>zcrm_1062537000000542189</t>
  </si>
  <si>
    <t>Crispin</t>
  </si>
  <si>
    <t>crispinkapil@tnq.co.in</t>
  </si>
  <si>
    <t>Crispin Raj</t>
  </si>
  <si>
    <t>Assistant Operations Manager</t>
  </si>
  <si>
    <t>MCLD-790</t>
  </si>
  <si>
    <t>zcrm_1062537000000542190</t>
  </si>
  <si>
    <t>Soundtrap</t>
  </si>
  <si>
    <t>Abu</t>
  </si>
  <si>
    <t>A</t>
  </si>
  <si>
    <t>abubakker@tnq.co.in</t>
  </si>
  <si>
    <t>https://www.soundtrap.com</t>
  </si>
  <si>
    <t>Abu A</t>
  </si>
  <si>
    <t>Assistant Manager - Operations</t>
  </si>
  <si>
    <t>zcrm_1062537000000542191</t>
  </si>
  <si>
    <t>J</t>
  </si>
  <si>
    <t>samuelisaac@tnq.co.in</t>
  </si>
  <si>
    <t>Samuel J</t>
  </si>
  <si>
    <t>MCLD-791</t>
  </si>
  <si>
    <t>Senior Operations Executive</t>
  </si>
  <si>
    <t>Universidad TecnolÃƒÂ³gica Latinoamericana</t>
  </si>
  <si>
    <t>https://www.utel.edu.mx</t>
  </si>
  <si>
    <t>zcrm_1062537000000542192</t>
  </si>
  <si>
    <t>Mahesh</t>
  </si>
  <si>
    <t>Venkat</t>
  </si>
  <si>
    <t>mahesh@tnq.co.in</t>
  </si>
  <si>
    <t>Mahesh Venkat</t>
  </si>
  <si>
    <t>Naucalpan, Mexico, Mexico</t>
  </si>
  <si>
    <t>zcrm_1062537000000542193</t>
  </si>
  <si>
    <t>Vivin</t>
  </si>
  <si>
    <t>Richard</t>
  </si>
  <si>
    <t>vrichard@tnq.co.in</t>
  </si>
  <si>
    <t>MCLD-792</t>
  </si>
  <si>
    <t>Sixup</t>
  </si>
  <si>
    <t>https://sixup.com</t>
  </si>
  <si>
    <t>Vivin Richard</t>
  </si>
  <si>
    <t>zcrm_1062537000000542194</t>
  </si>
  <si>
    <t>Shankar</t>
  </si>
  <si>
    <t>V</t>
  </si>
  <si>
    <t>shankar@tnq.co.in</t>
  </si>
  <si>
    <t>Shankar V</t>
  </si>
  <si>
    <t>MCLD-793</t>
  </si>
  <si>
    <t>Spoak</t>
  </si>
  <si>
    <t>General Manager - Journal Management</t>
  </si>
  <si>
    <t>https://spoak.com</t>
  </si>
  <si>
    <t>zcrm_1062537000000542195</t>
  </si>
  <si>
    <t>Prasanth</t>
  </si>
  <si>
    <t>S</t>
  </si>
  <si>
    <t>prasanth@tnq.co.in</t>
  </si>
  <si>
    <t>Prasanth S</t>
  </si>
  <si>
    <t>MCLD-794</t>
  </si>
  <si>
    <t>zcrm_1062537000000542196</t>
  </si>
  <si>
    <t>Plume-App</t>
  </si>
  <si>
    <t>Mohan</t>
  </si>
  <si>
    <t>https://plume.app</t>
  </si>
  <si>
    <t>mohansuresh@tnq.co.in</t>
  </si>
  <si>
    <t>Mohan A</t>
  </si>
  <si>
    <t>Saint-ouen, Ile-de-France, France</t>
  </si>
  <si>
    <t>zcrm_1062537000000542197</t>
  </si>
  <si>
    <t>Arnold</t>
  </si>
  <si>
    <t>Thomas</t>
  </si>
  <si>
    <t>athomas@tnq.co.in</t>
  </si>
  <si>
    <t>MCLD-795</t>
  </si>
  <si>
    <t>GREDU</t>
  </si>
  <si>
    <t>https://gredu.com</t>
  </si>
  <si>
    <t>Arnold Thomas</t>
  </si>
  <si>
    <t>zcrm_1062537000000542198</t>
  </si>
  <si>
    <t>Mohamed</t>
  </si>
  <si>
    <t>Ameen</t>
  </si>
  <si>
    <t>mohamedroshan@tnq.co.in</t>
  </si>
  <si>
    <t>Mohamed Ameen</t>
  </si>
  <si>
    <t>MCLD-796</t>
  </si>
  <si>
    <t>GoodCourse</t>
  </si>
  <si>
    <t>https://goodcourse.ai</t>
  </si>
  <si>
    <t>zcrm_1062537000000542199</t>
  </si>
  <si>
    <t>Gopalan</t>
  </si>
  <si>
    <t>Rajesh Gopalan</t>
  </si>
  <si>
    <t>Senior Manager - Operations</t>
  </si>
  <si>
    <t>zcrm_1062537000000542200</t>
  </si>
  <si>
    <t>MCLD-797</t>
  </si>
  <si>
    <t>World Linguistics</t>
  </si>
  <si>
    <t>Anusubathra</t>
  </si>
  <si>
    <t>anusubathra@tnq.co.in</t>
  </si>
  <si>
    <t>https://worldlinguistics.com</t>
  </si>
  <si>
    <t>Anusubathra S</t>
  </si>
  <si>
    <t>Project Manager-Books</t>
  </si>
  <si>
    <t>zcrm_1062537000000542201</t>
  </si>
  <si>
    <t>Bala</t>
  </si>
  <si>
    <t>subramanian</t>
  </si>
  <si>
    <t>bala@tnq.co.in</t>
  </si>
  <si>
    <t>Oakland, Maryland, United States</t>
  </si>
  <si>
    <t>Bala subramanian</t>
  </si>
  <si>
    <t>Manager - Operations (TNQ Technologies)</t>
  </si>
  <si>
    <t>MCLD-798</t>
  </si>
  <si>
    <t>Tech Spark AI</t>
  </si>
  <si>
    <t>https://techspark.ai</t>
  </si>
  <si>
    <t>zcrm_1062537000000542202</t>
  </si>
  <si>
    <t>Gopalaganesan</t>
  </si>
  <si>
    <t>Mohanamurugan</t>
  </si>
  <si>
    <t>gmohanamurugan@tnq.co.in</t>
  </si>
  <si>
    <t>Gopalaganesan Mohanamurugan</t>
  </si>
  <si>
    <t>zcrm_1062537000000542203</t>
  </si>
  <si>
    <t>Sridhar</t>
  </si>
  <si>
    <t>MCLD-799</t>
  </si>
  <si>
    <t>Swaminathan</t>
  </si>
  <si>
    <t>GoodGoblin.ai</t>
  </si>
  <si>
    <t>Sridhar Swaminathan</t>
  </si>
  <si>
    <t>Asst. manager operations</t>
  </si>
  <si>
    <t>zcrm_1062537000000542204</t>
  </si>
  <si>
    <t>https://goodgoblin.ai</t>
  </si>
  <si>
    <t>Sudhakar</t>
  </si>
  <si>
    <t>Rao</t>
  </si>
  <si>
    <t>sudhakar@tnq.co.in</t>
  </si>
  <si>
    <t>Sudhakar Rao</t>
  </si>
  <si>
    <t>Vice President - Operations</t>
  </si>
  <si>
    <t>Middletown, Delaware, United States</t>
  </si>
  <si>
    <t>zcrm_1062537000000542205</t>
  </si>
  <si>
    <t>Shravan</t>
  </si>
  <si>
    <t>Monish</t>
  </si>
  <si>
    <t>MCLD-800</t>
  </si>
  <si>
    <t>Skill and You</t>
  </si>
  <si>
    <t>https://www.skillandyou.com</t>
  </si>
  <si>
    <t>Shravan Monish</t>
  </si>
  <si>
    <t>Sr. Executive Operations</t>
  </si>
  <si>
    <t>zcrm_1062537000000542206</t>
  </si>
  <si>
    <t>Anantharajan</t>
  </si>
  <si>
    <t>am@tnq.co.in</t>
  </si>
  <si>
    <t>Anantharajan M</t>
  </si>
  <si>
    <t>MCLD-801</t>
  </si>
  <si>
    <t>Radius</t>
  </si>
  <si>
    <t>zcrm_1062537000000542207</t>
  </si>
  <si>
    <t>https://radius.ai</t>
  </si>
  <si>
    <t>Nabunambika</t>
  </si>
  <si>
    <t>Nelson</t>
  </si>
  <si>
    <t>nabunambika@tnq.co.in</t>
  </si>
  <si>
    <t>Nabunambika Nelson</t>
  </si>
  <si>
    <t>zcrm_1062537000000542208</t>
  </si>
  <si>
    <t>Tech)</t>
  </si>
  <si>
    <t>psreedharan@tnq.co.in</t>
  </si>
  <si>
    <t>MCLD-802</t>
  </si>
  <si>
    <t>GABA</t>
  </si>
  <si>
    <t>https://gaba.com</t>
  </si>
  <si>
    <t>Pradeep Tech)</t>
  </si>
  <si>
    <t>zcrm_1062537000000542209</t>
  </si>
  <si>
    <t>Ravi</t>
  </si>
  <si>
    <t>rrajendran@tnq.co.in</t>
  </si>
  <si>
    <t>MCLD-803</t>
  </si>
  <si>
    <t>Ravi Tech)</t>
  </si>
  <si>
    <t>ActivityHero</t>
  </si>
  <si>
    <t>https://www.activityhero.com</t>
  </si>
  <si>
    <t>zcrm_1062537000000542210</t>
  </si>
  <si>
    <t>Srinivasan</t>
  </si>
  <si>
    <t>(TNQ)</t>
  </si>
  <si>
    <t>srinivasan@tnq.co.in</t>
  </si>
  <si>
    <t>Srinivasan (TNQ)</t>
  </si>
  <si>
    <t>zcrm_1062537000000542211</t>
  </si>
  <si>
    <t>Sharu</t>
  </si>
  <si>
    <t>sharu</t>
  </si>
  <si>
    <t>sharu@tnq.co.in</t>
  </si>
  <si>
    <t>MCLD-804</t>
  </si>
  <si>
    <t>Adservio</t>
  </si>
  <si>
    <t>https://www.adservio.fr</t>
  </si>
  <si>
    <t>Sharu sharu</t>
  </si>
  <si>
    <t>zcrm_1062537000000542212</t>
  </si>
  <si>
    <t>Sivakumar</t>
  </si>
  <si>
    <t>AK</t>
  </si>
  <si>
    <t>Iasi, Iasi, Romania</t>
  </si>
  <si>
    <t>Sivakumar AK</t>
  </si>
  <si>
    <t>General Manager</t>
  </si>
  <si>
    <t>MCLD-805</t>
  </si>
  <si>
    <t>RoboKind</t>
  </si>
  <si>
    <t>https://robokind.com</t>
  </si>
  <si>
    <t>zcrm_1062537000000542213</t>
  </si>
  <si>
    <t>Madhana</t>
  </si>
  <si>
    <t>mr@tnq.co.in</t>
  </si>
  <si>
    <t>Madhana Tech)</t>
  </si>
  <si>
    <t>Senior Manager Business Operations</t>
  </si>
  <si>
    <t>zcrm_1062537000000542214</t>
  </si>
  <si>
    <t>Sarath</t>
  </si>
  <si>
    <t>MCLD-806</t>
  </si>
  <si>
    <t>Babu</t>
  </si>
  <si>
    <t>ParentPowered</t>
  </si>
  <si>
    <t>sarath@tnq.co.in</t>
  </si>
  <si>
    <t>https://parentpowered.com</t>
  </si>
  <si>
    <t>Sarath Babu</t>
  </si>
  <si>
    <t>Senior Executive - OPERATIONS</t>
  </si>
  <si>
    <t>zcrm_1062537000000542215</t>
  </si>
  <si>
    <t>Suweendar</t>
  </si>
  <si>
    <t>Mahendran</t>
  </si>
  <si>
    <t>suweendar@tnq.co.in</t>
  </si>
  <si>
    <t>Suweendar Mahendran</t>
  </si>
  <si>
    <t>Senior Executive - Operations</t>
  </si>
  <si>
    <t>MCLD-807</t>
  </si>
  <si>
    <t>Lingumi</t>
  </si>
  <si>
    <t>https://lingumi.com</t>
  </si>
  <si>
    <t>zcrm_1062537000000542216</t>
  </si>
  <si>
    <t>Sadham</t>
  </si>
  <si>
    <t>Saasii</t>
  </si>
  <si>
    <t>ssaasii@tnq.co.in</t>
  </si>
  <si>
    <t>Sadham Saasii</t>
  </si>
  <si>
    <t>Business Process Outsourcing Manager</t>
  </si>
  <si>
    <t>zcrm_1062537000000542217</t>
  </si>
  <si>
    <t>SARAVANA</t>
  </si>
  <si>
    <t>SELVAKUMAR</t>
  </si>
  <si>
    <t>sselvakumar@tnq.co.in</t>
  </si>
  <si>
    <t>MCLD-808</t>
  </si>
  <si>
    <t>Impact Guru</t>
  </si>
  <si>
    <t>https://www.impactguru.com</t>
  </si>
  <si>
    <t>SARAVANA SELVAKUMAR</t>
  </si>
  <si>
    <t>zcrm_1062537000000542218</t>
  </si>
  <si>
    <t>Sanjeevkumar</t>
  </si>
  <si>
    <t>P</t>
  </si>
  <si>
    <t>sp@tnq.co.in</t>
  </si>
  <si>
    <t>Sanjeevkumar P</t>
  </si>
  <si>
    <t>Deputy Manager</t>
  </si>
  <si>
    <t>MCLD-809</t>
  </si>
  <si>
    <t>TRAKID</t>
  </si>
  <si>
    <t>zcrm_1062537000000542219</t>
  </si>
  <si>
    <t>https://trakid.com</t>
  </si>
  <si>
    <t>Anil</t>
  </si>
  <si>
    <t>kumar</t>
  </si>
  <si>
    <t>anil@tnq.co.in</t>
  </si>
  <si>
    <t>Anil kumar</t>
  </si>
  <si>
    <t>zcrm_1062537000000542220</t>
  </si>
  <si>
    <t>Vijesh</t>
  </si>
  <si>
    <t>Kumaran</t>
  </si>
  <si>
    <t>vijesh@tnq.co.in</t>
  </si>
  <si>
    <t>MCLD-810</t>
  </si>
  <si>
    <t>Astrid</t>
  </si>
  <si>
    <t>https://astrideducation.com</t>
  </si>
  <si>
    <t>Vijesh Kumaran</t>
  </si>
  <si>
    <t>zcrm_1062537000000542221</t>
  </si>
  <si>
    <t>sn@tnq.co.in</t>
  </si>
  <si>
    <t>Sivakumar N</t>
  </si>
  <si>
    <t>Senior Graphic Designer</t>
  </si>
  <si>
    <t>MCLD-811</t>
  </si>
  <si>
    <t>Girls Who Code</t>
  </si>
  <si>
    <t>https://girlswhocode.com</t>
  </si>
  <si>
    <t>zcrm_1062537000000542222</t>
  </si>
  <si>
    <t>Prasanna</t>
  </si>
  <si>
    <t>Venkatalakshmi</t>
  </si>
  <si>
    <t>pvenkatalakshmi@tnq.co.in</t>
  </si>
  <si>
    <t>Prasanna Venkatalakshmi</t>
  </si>
  <si>
    <t>zcrm_1062537000000542223</t>
  </si>
  <si>
    <t>Sekar</t>
  </si>
  <si>
    <t>MCLD-812</t>
  </si>
  <si>
    <t>Toyz Electronics</t>
  </si>
  <si>
    <t>https://toyz.ai</t>
  </si>
  <si>
    <t>Raja Sekar</t>
  </si>
  <si>
    <t>zcrm_1062537000000542224</t>
  </si>
  <si>
    <t>Antony</t>
  </si>
  <si>
    <t>PG</t>
  </si>
  <si>
    <t>Antony PG</t>
  </si>
  <si>
    <t>MCLD-813</t>
  </si>
  <si>
    <t>Lifeed</t>
  </si>
  <si>
    <t>https://lifeed.io</t>
  </si>
  <si>
    <t>zcrm_1062537000000542225</t>
  </si>
  <si>
    <t>Prakash</t>
  </si>
  <si>
    <t>prakashperumal@tnq.co.in</t>
  </si>
  <si>
    <t>Prakash Tech)</t>
  </si>
  <si>
    <t>zcrm_1062537000000542226</t>
  </si>
  <si>
    <t>MCLD-814</t>
  </si>
  <si>
    <t>ThoreCoin</t>
  </si>
  <si>
    <t>m@tnq.co.in</t>
  </si>
  <si>
    <t>https://thorecoin.com</t>
  </si>
  <si>
    <t>M (TNQ)</t>
  </si>
  <si>
    <t>zcrm_1062537000000542227</t>
  </si>
  <si>
    <t>Abiramasundari</t>
  </si>
  <si>
    <t>ap@tnq.co.in</t>
  </si>
  <si>
    <t>Abiramasundari P</t>
  </si>
  <si>
    <t>MCLD-815</t>
  </si>
  <si>
    <t>Ozobot</t>
  </si>
  <si>
    <t>https://ozobot.com</t>
  </si>
  <si>
    <t>zcrm_1062537000000542228</t>
  </si>
  <si>
    <t>Balaji</t>
  </si>
  <si>
    <t>Gnanasekaran</t>
  </si>
  <si>
    <t>balaji@tnq.co.in</t>
  </si>
  <si>
    <t>Redondo Beach, California, United States</t>
  </si>
  <si>
    <t>Balaji Gnanasekaran</t>
  </si>
  <si>
    <t>MCLD-816</t>
  </si>
  <si>
    <t>Jovens GÃƒÂªnios</t>
  </si>
  <si>
    <t>https://jovensgenios.com</t>
  </si>
  <si>
    <t>zcrm_1062537000000542229</t>
  </si>
  <si>
    <t>Parthasarathy</t>
  </si>
  <si>
    <t>Leela</t>
  </si>
  <si>
    <t>parthasarathy@tnq.co.in</t>
  </si>
  <si>
    <t>Parthasarathy Leela</t>
  </si>
  <si>
    <t>zcrm_1062537000000542230</t>
  </si>
  <si>
    <t>Mathivanan</t>
  </si>
  <si>
    <t>mbabu@tnq.co.in</t>
  </si>
  <si>
    <t>Mathivanan Babu</t>
  </si>
  <si>
    <t>MCLD-817</t>
  </si>
  <si>
    <t>Morphoses</t>
  </si>
  <si>
    <t>https://morphoses.io</t>
  </si>
  <si>
    <t>zcrm_1062537000000542231</t>
  </si>
  <si>
    <t>Sai</t>
  </si>
  <si>
    <t>Smriti</t>
  </si>
  <si>
    <t>sai@tnq.co.in</t>
  </si>
  <si>
    <t>Sai Smriti</t>
  </si>
  <si>
    <t>Journal Manager</t>
  </si>
  <si>
    <t>zcrm_1062537000000542232</t>
  </si>
  <si>
    <t>MCLD-818</t>
  </si>
  <si>
    <t>StackFuel</t>
  </si>
  <si>
    <t>Shanmugapriya</t>
  </si>
  <si>
    <t>Thiyagarajan</t>
  </si>
  <si>
    <t>sthiyagarajan@tnq.co.in</t>
  </si>
  <si>
    <t>https://stackfuel.com</t>
  </si>
  <si>
    <t>Shanmugapriya Thiyagarajan</t>
  </si>
  <si>
    <t>Senior manager - Language editing</t>
  </si>
  <si>
    <t>zcrm_1062537000000542233</t>
  </si>
  <si>
    <t>Balachandar</t>
  </si>
  <si>
    <t>bb@tnq.co.in</t>
  </si>
  <si>
    <t>MCLD-819</t>
  </si>
  <si>
    <t>Pipeline</t>
  </si>
  <si>
    <t>Balachandar B</t>
  </si>
  <si>
    <t>https://pipeline.ai</t>
  </si>
  <si>
    <t>Manager - 3B2</t>
  </si>
  <si>
    <t>zcrm_1062537000000542234</t>
  </si>
  <si>
    <t>Sarma</t>
  </si>
  <si>
    <t>skrishna@tnq.co.in</t>
  </si>
  <si>
    <t>S Sarma</t>
  </si>
  <si>
    <t>Manager</t>
  </si>
  <si>
    <t>MCLD-820</t>
  </si>
  <si>
    <t>BlendEd</t>
  </si>
  <si>
    <t>zcrm_1062537000000542235</t>
  </si>
  <si>
    <t>https://blended.co</t>
  </si>
  <si>
    <t>Esther</t>
  </si>
  <si>
    <t>Bennitta</t>
  </si>
  <si>
    <t>esther@tnq.co.in</t>
  </si>
  <si>
    <t>Esther Bennitta</t>
  </si>
  <si>
    <t>Cleveland, Ohio, United States</t>
  </si>
  <si>
    <t>zcrm_1062537000000542236</t>
  </si>
  <si>
    <t>Sushma</t>
  </si>
  <si>
    <t>sushma@tnq.co.in</t>
  </si>
  <si>
    <t>MCLD-821</t>
  </si>
  <si>
    <t>iDream Career</t>
  </si>
  <si>
    <t>https://idreamcareer.com</t>
  </si>
  <si>
    <t>Sushma Sushma</t>
  </si>
  <si>
    <t>Copyediting Manager</t>
  </si>
  <si>
    <t>zcrm_1062537000000542237</t>
  </si>
  <si>
    <t>Kothainayaki</t>
  </si>
  <si>
    <t>K</t>
  </si>
  <si>
    <t>kothainayaki@tnq.co.in</t>
  </si>
  <si>
    <t>Kothainayaki K</t>
  </si>
  <si>
    <t>MCLD-822</t>
  </si>
  <si>
    <t>Journal manager</t>
  </si>
  <si>
    <t>Alume</t>
  </si>
  <si>
    <t>https://alume.co</t>
  </si>
  <si>
    <t>zcrm_1062537000000542238</t>
  </si>
  <si>
    <t>Christobel</t>
  </si>
  <si>
    <t>Hopman</t>
  </si>
  <si>
    <t>christobel@tnq.co.in</t>
  </si>
  <si>
    <t>Christobel Hopman</t>
  </si>
  <si>
    <t>Manager language editing</t>
  </si>
  <si>
    <t>MCLD-823</t>
  </si>
  <si>
    <t>Skiller Whale</t>
  </si>
  <si>
    <t>https://www.skillerwhale.com</t>
  </si>
  <si>
    <t>zcrm_1062537000000542239</t>
  </si>
  <si>
    <t>Prasannaraja</t>
  </si>
  <si>
    <t>pjayachandran@tnq.co.in</t>
  </si>
  <si>
    <t>Prasannaraja Tech)</t>
  </si>
  <si>
    <t>zcrm_1062537000000542240</t>
  </si>
  <si>
    <t>Imrankhan</t>
  </si>
  <si>
    <t>mohamed@tnq.co.in</t>
  </si>
  <si>
    <t>MCLD-824</t>
  </si>
  <si>
    <t>Get More Brain</t>
  </si>
  <si>
    <t>Mohamed Imrankhan</t>
  </si>
  <si>
    <t>https://getmorebrain.com</t>
  </si>
  <si>
    <t>zcrm_1062537000000542241</t>
  </si>
  <si>
    <t>Kamatchi</t>
  </si>
  <si>
    <t>Dhanasekaran</t>
  </si>
  <si>
    <t>kdhanasekaran@tnq.co.in</t>
  </si>
  <si>
    <t>Kamatchi Dhanasekaran</t>
  </si>
  <si>
    <t>MCLD-825</t>
  </si>
  <si>
    <t>Seesaw Learning</t>
  </si>
  <si>
    <t>zcrm_1062537000000542242</t>
  </si>
  <si>
    <t>https://web.seesaw.me</t>
  </si>
  <si>
    <t>Subha</t>
  </si>
  <si>
    <t>sv@tnq.co.in</t>
  </si>
  <si>
    <t>Subha V</t>
  </si>
  <si>
    <t>zcrm_1062537000000542243</t>
  </si>
  <si>
    <t>Vimala</t>
  </si>
  <si>
    <t>Madhu</t>
  </si>
  <si>
    <t>vimala@tnq.co.in</t>
  </si>
  <si>
    <t>MCLD-826</t>
  </si>
  <si>
    <t>Beekast</t>
  </si>
  <si>
    <t>https://www.beekast.com</t>
  </si>
  <si>
    <t>Vimala Madhu</t>
  </si>
  <si>
    <t>zcrm_1062537000000542244</t>
  </si>
  <si>
    <t>Prabhu</t>
  </si>
  <si>
    <t>Elangali</t>
  </si>
  <si>
    <t>MCLD-827</t>
  </si>
  <si>
    <t>Prabhu Elangali</t>
  </si>
  <si>
    <t>LoveHeart</t>
  </si>
  <si>
    <t>https://loveheart.ai</t>
  </si>
  <si>
    <t>zcrm_1062537000000542245</t>
  </si>
  <si>
    <t>SHANMATHI</t>
  </si>
  <si>
    <t>PRIYA</t>
  </si>
  <si>
    <t>shanmathi@tnq.co.in</t>
  </si>
  <si>
    <t>SHANMATHI PRIYA</t>
  </si>
  <si>
    <t>MCLD-828</t>
  </si>
  <si>
    <t>NewCampus</t>
  </si>
  <si>
    <t>zcrm_1062537000000542246</t>
  </si>
  <si>
    <t>https://newcampus.com</t>
  </si>
  <si>
    <t>Usha</t>
  </si>
  <si>
    <t>Chandrakumar</t>
  </si>
  <si>
    <t>usha@tnq.co.in</t>
  </si>
  <si>
    <t>Usha Chandrakumar</t>
  </si>
  <si>
    <t>zcrm_1062537000000542247</t>
  </si>
  <si>
    <t>Dhivyasona</t>
  </si>
  <si>
    <t>Subramaniyam</t>
  </si>
  <si>
    <t>dhivyasona@tnq.co.in</t>
  </si>
  <si>
    <t>MCLD-829</t>
  </si>
  <si>
    <t>Treccani Futura</t>
  </si>
  <si>
    <t>https://treccanifutura.it</t>
  </si>
  <si>
    <t>Dhivyasona Subramaniyam</t>
  </si>
  <si>
    <t>zcrm_1062537000000542248</t>
  </si>
  <si>
    <t>GD</t>
  </si>
  <si>
    <t>Karthik</t>
  </si>
  <si>
    <t>gd@tnq.co.in</t>
  </si>
  <si>
    <t>GD Karthik</t>
  </si>
  <si>
    <t>zcrm_1062537000000542249</t>
  </si>
  <si>
    <t>Palani</t>
  </si>
  <si>
    <t>Vel</t>
  </si>
  <si>
    <t>palani@tnq.co.in</t>
  </si>
  <si>
    <t>MCLD-830</t>
  </si>
  <si>
    <t>Quinncia</t>
  </si>
  <si>
    <t>https://quinncia.io</t>
  </si>
  <si>
    <t>Palani Vel</t>
  </si>
  <si>
    <t>zcrm_1062537000000542250</t>
  </si>
  <si>
    <t>Yoganandh</t>
  </si>
  <si>
    <t>Rajadurai</t>
  </si>
  <si>
    <t>yrajadurai@tnq.co.in</t>
  </si>
  <si>
    <t>MCLD-831</t>
  </si>
  <si>
    <t>MySchool Portal Inc</t>
  </si>
  <si>
    <t>https://myschoolportal.com</t>
  </si>
  <si>
    <t>Yoganandh Rajadurai</t>
  </si>
  <si>
    <t>zcrm_1062537000000542251</t>
  </si>
  <si>
    <t>Rajeshkannan</t>
  </si>
  <si>
    <t>Rajeshkannan S</t>
  </si>
  <si>
    <t>Project Manager Team Lead</t>
  </si>
  <si>
    <t>MCLD-832</t>
  </si>
  <si>
    <t>CozyKin</t>
  </si>
  <si>
    <t>https://cozykin.com</t>
  </si>
  <si>
    <t>zcrm_1062537000000542252</t>
  </si>
  <si>
    <t>kayal</t>
  </si>
  <si>
    <t>vizhi</t>
  </si>
  <si>
    <t>kayal@tnq.co.in</t>
  </si>
  <si>
    <t>kayal vizhi</t>
  </si>
  <si>
    <t>MCLD-833</t>
  </si>
  <si>
    <t>Intellispark</t>
  </si>
  <si>
    <t>https://intellispark.ai</t>
  </si>
  <si>
    <t>zcrm_1062537000000542253</t>
  </si>
  <si>
    <t>Sankar</t>
  </si>
  <si>
    <t>Sugumar</t>
  </si>
  <si>
    <t>sankar@tnq.co.in</t>
  </si>
  <si>
    <t>Sankar Sugumar</t>
  </si>
  <si>
    <t>Senior Manager - Projects</t>
  </si>
  <si>
    <t>Mclean, Virginia, United States</t>
  </si>
  <si>
    <t>zcrm_1062537000000542254</t>
  </si>
  <si>
    <t>Narendren</t>
  </si>
  <si>
    <t>njanarthanan@tnq.co.in</t>
  </si>
  <si>
    <t>MCLD-834</t>
  </si>
  <si>
    <t>Classting</t>
  </si>
  <si>
    <t>https://www.classting.com</t>
  </si>
  <si>
    <t>Narendren Tech)</t>
  </si>
  <si>
    <t>zcrm_1062537000000542255</t>
  </si>
  <si>
    <t>Alfie</t>
  </si>
  <si>
    <t>Chrisolyte</t>
  </si>
  <si>
    <t>achrisolyte@tnq.co.in</t>
  </si>
  <si>
    <t>Alfie Chrisolyte</t>
  </si>
  <si>
    <t>MCLD-835</t>
  </si>
  <si>
    <t>BilingÃƒÂ¼e</t>
  </si>
  <si>
    <t>https://bilingue.io</t>
  </si>
  <si>
    <t>zcrm_1062537000000542256</t>
  </si>
  <si>
    <t>Srividhya</t>
  </si>
  <si>
    <t>Prakasam</t>
  </si>
  <si>
    <t>srividhya@tnq.co.in</t>
  </si>
  <si>
    <t>Srividhya Prakasam</t>
  </si>
  <si>
    <t>zcrm_1062537000000542257</t>
  </si>
  <si>
    <t>Rajendran</t>
  </si>
  <si>
    <t>MCLD-836</t>
  </si>
  <si>
    <t>Literably</t>
  </si>
  <si>
    <t>rajendran@tnq.co.in</t>
  </si>
  <si>
    <t>https://literably.com</t>
  </si>
  <si>
    <t>Rajendran Ravi</t>
  </si>
  <si>
    <t>zcrm_1062537000000542258</t>
  </si>
  <si>
    <t>Divya</t>
  </si>
  <si>
    <t>Gautam</t>
  </si>
  <si>
    <t>divya@tnq.co.in</t>
  </si>
  <si>
    <t>MCLD-837</t>
  </si>
  <si>
    <t>Divya Gautam</t>
  </si>
  <si>
    <t>Sorbil</t>
  </si>
  <si>
    <t>https://sorbil.com</t>
  </si>
  <si>
    <t>Project Editor and Coordinator for WoltersKluwers</t>
  </si>
  <si>
    <t>zcrm_1062537000000542259</t>
  </si>
  <si>
    <t>Sabari</t>
  </si>
  <si>
    <t>Selvam</t>
  </si>
  <si>
    <t>sabari@tnq.co.in</t>
  </si>
  <si>
    <t>Kadikoy, Istanbul, Turkey</t>
  </si>
  <si>
    <t>Sabari Selvam</t>
  </si>
  <si>
    <t>MCLD-838</t>
  </si>
  <si>
    <t>Hive Learning</t>
  </si>
  <si>
    <t>https://hivelearning.com</t>
  </si>
  <si>
    <t>zcrm_1062537000000542260</t>
  </si>
  <si>
    <t>Ajitha</t>
  </si>
  <si>
    <t>Margharet</t>
  </si>
  <si>
    <t>Ajitha Margharet</t>
  </si>
  <si>
    <t>zcrm_1062537000000542261</t>
  </si>
  <si>
    <t>Jai</t>
  </si>
  <si>
    <t>MCLD-839</t>
  </si>
  <si>
    <t>Preethi</t>
  </si>
  <si>
    <t>Remote-how</t>
  </si>
  <si>
    <t>jpreethi@tnq.co.in</t>
  </si>
  <si>
    <t>https://remote-how.com</t>
  </si>
  <si>
    <t>Jai Preethi</t>
  </si>
  <si>
    <t>zcrm_1062537000000542262</t>
  </si>
  <si>
    <t>Shiney</t>
  </si>
  <si>
    <t>Joanne</t>
  </si>
  <si>
    <t>MCLD-840</t>
  </si>
  <si>
    <t>NoPaperForms</t>
  </si>
  <si>
    <t>Shiney Joanne</t>
  </si>
  <si>
    <t>https://nopaperforms.com</t>
  </si>
  <si>
    <t>Project Manager - journals</t>
  </si>
  <si>
    <t>zcrm_1062537000000542263</t>
  </si>
  <si>
    <t>Ajith</t>
  </si>
  <si>
    <t>ajith@tnq.co.in</t>
  </si>
  <si>
    <t>Ajith Kumar</t>
  </si>
  <si>
    <t>MCLD-841</t>
  </si>
  <si>
    <t>Nurovant AI</t>
  </si>
  <si>
    <t>zcrm_1062537000000542264</t>
  </si>
  <si>
    <t>https://nurovant.ai</t>
  </si>
  <si>
    <t>Arthi</t>
  </si>
  <si>
    <t>Kaliaperumal</t>
  </si>
  <si>
    <t>arthi@tnq.co.in</t>
  </si>
  <si>
    <t>Arthi Kaliaperumal</t>
  </si>
  <si>
    <t>zcrm_1062537000000542265</t>
  </si>
  <si>
    <t>Ishwarya</t>
  </si>
  <si>
    <t>ishwarya@tnq.co.in</t>
  </si>
  <si>
    <t>MCLD-842</t>
  </si>
  <si>
    <t>Grinds 360</t>
  </si>
  <si>
    <t>Ishwarya Selvam</t>
  </si>
  <si>
    <t>https://grinds360.com</t>
  </si>
  <si>
    <t>zcrm_1062537000000542266</t>
  </si>
  <si>
    <t>Vikesha</t>
  </si>
  <si>
    <t>Thilakkumar</t>
  </si>
  <si>
    <t>vikesha@tnq.co.in</t>
  </si>
  <si>
    <t>Sandyford, Dublin, Ireland</t>
  </si>
  <si>
    <t>Vikesha Thilakkumar</t>
  </si>
  <si>
    <t>MCLD-843</t>
  </si>
  <si>
    <t>Able Digital</t>
  </si>
  <si>
    <t>https://abledigital.com</t>
  </si>
  <si>
    <t>zcrm_1062537000000542267</t>
  </si>
  <si>
    <t>Deepika</t>
  </si>
  <si>
    <t>ds@tnq.co.in</t>
  </si>
  <si>
    <t>Deepika S</t>
  </si>
  <si>
    <t>zcrm_1062537000000542268</t>
  </si>
  <si>
    <t>Anjana</t>
  </si>
  <si>
    <t>Karikalcholan</t>
  </si>
  <si>
    <t>MCLD-844</t>
  </si>
  <si>
    <t>WALO</t>
  </si>
  <si>
    <t>https://walo.io</t>
  </si>
  <si>
    <t>Anjana Karikalcholan</t>
  </si>
  <si>
    <t>Quebec, Quebec, Canada</t>
  </si>
  <si>
    <t>zcrm_1062537000000542269</t>
  </si>
  <si>
    <t>Priyanka</t>
  </si>
  <si>
    <t>Kannan</t>
  </si>
  <si>
    <t>priyanka@tnq.co.in</t>
  </si>
  <si>
    <t>MCLD-845</t>
  </si>
  <si>
    <t>Kinobi</t>
  </si>
  <si>
    <t>https://kinobi.com</t>
  </si>
  <si>
    <t>Priyanka Kannan</t>
  </si>
  <si>
    <t>zcrm_1062537000000542270</t>
  </si>
  <si>
    <t>Jothi</t>
  </si>
  <si>
    <t>D</t>
  </si>
  <si>
    <t>jothi@tnq.co.in</t>
  </si>
  <si>
    <t>Jothi D</t>
  </si>
  <si>
    <t>MCLD-846</t>
  </si>
  <si>
    <t>Volute</t>
  </si>
  <si>
    <t>https://volute.io</t>
  </si>
  <si>
    <t>zcrm_1062537000000542271</t>
  </si>
  <si>
    <t>mohdun</t>
  </si>
  <si>
    <t>fathima</t>
  </si>
  <si>
    <t>mohdun@tnq.co.in</t>
  </si>
  <si>
    <t>Providence, Rhode Island, United States</t>
  </si>
  <si>
    <t>mohdun fathima</t>
  </si>
  <si>
    <t>MCLD-847</t>
  </si>
  <si>
    <t>Mariana</t>
  </si>
  <si>
    <t>zcrm_1062537000000542272</t>
  </si>
  <si>
    <t>https://mariana.ai</t>
  </si>
  <si>
    <t>Vinodha</t>
  </si>
  <si>
    <t>Vinodha K</t>
  </si>
  <si>
    <t>zcrm_1062537000000542273</t>
  </si>
  <si>
    <t>Raghu</t>
  </si>
  <si>
    <t>Prasath</t>
  </si>
  <si>
    <t>raghu@tnq.co.in</t>
  </si>
  <si>
    <t>MCLD-848</t>
  </si>
  <si>
    <t>Dabble</t>
  </si>
  <si>
    <t>https://dabblelearning.org</t>
  </si>
  <si>
    <t>Raghu Prasath</t>
  </si>
  <si>
    <t>zcrm_1062537000000542274</t>
  </si>
  <si>
    <t>Thenmozhi</t>
  </si>
  <si>
    <t>thenmozhi@tnq.co.in</t>
  </si>
  <si>
    <t>Thenmozhi Selvam</t>
  </si>
  <si>
    <t>MCLD-849</t>
  </si>
  <si>
    <t>ARuVR</t>
  </si>
  <si>
    <t>https://aruvr.com</t>
  </si>
  <si>
    <t>zcrm_1062537000000542275</t>
  </si>
  <si>
    <t>Reva</t>
  </si>
  <si>
    <t>reva@tnq.co.in</t>
  </si>
  <si>
    <t>Reva M</t>
  </si>
  <si>
    <t>zcrm_1062537000000542276</t>
  </si>
  <si>
    <t>Subramani</t>
  </si>
  <si>
    <t>MCLD-850</t>
  </si>
  <si>
    <t>Transeo</t>
  </si>
  <si>
    <t>subramani@tnq.co.in</t>
  </si>
  <si>
    <t>https://transeo.com</t>
  </si>
  <si>
    <t>Subramani S</t>
  </si>
  <si>
    <t>Hinsdale, Illinois, United States</t>
  </si>
  <si>
    <t>zcrm_1062537000000542277</t>
  </si>
  <si>
    <t>Nandhini</t>
  </si>
  <si>
    <t>(TNQMail)</t>
  </si>
  <si>
    <t>nandhini@tnq.co.in</t>
  </si>
  <si>
    <t>MCLD-851</t>
  </si>
  <si>
    <t>Quino</t>
  </si>
  <si>
    <t>https://quino.ai</t>
  </si>
  <si>
    <t>Nandhini (TNQMail)</t>
  </si>
  <si>
    <t>zcrm_1062537000000542278</t>
  </si>
  <si>
    <t>Prem</t>
  </si>
  <si>
    <t>prem@tnq.co.in</t>
  </si>
  <si>
    <t>SzÃƒÂ©kesfehÃƒÂ©rvÃƒÂ¡r, Fejer, Hungary</t>
  </si>
  <si>
    <t>Prem Rao</t>
  </si>
  <si>
    <t>MCLD-852</t>
  </si>
  <si>
    <t>CourseHorse</t>
  </si>
  <si>
    <t>https://coursehorse.com</t>
  </si>
  <si>
    <t>zcrm_1062537000000542279</t>
  </si>
  <si>
    <t>Subramoniam</t>
  </si>
  <si>
    <t>Krishnamurthy</t>
  </si>
  <si>
    <t>s.krishnamurthy@tnq.co.in</t>
  </si>
  <si>
    <t>Subramoniam Krishnamurthy</t>
  </si>
  <si>
    <t>zcrm_1062537000000542280</t>
  </si>
  <si>
    <t>ragavendar</t>
  </si>
  <si>
    <t>mihan</t>
  </si>
  <si>
    <t>MCLD-853</t>
  </si>
  <si>
    <t>ragavendar@tnq.co.in</t>
  </si>
  <si>
    <t>Ostad</t>
  </si>
  <si>
    <t>https://ostad.app</t>
  </si>
  <si>
    <t>ragavendar mihan</t>
  </si>
  <si>
    <t>zcrm_1062537000000542281</t>
  </si>
  <si>
    <t>Aruna</t>
  </si>
  <si>
    <t>Manoharan</t>
  </si>
  <si>
    <t>amanoharan@tnq.co.in</t>
  </si>
  <si>
    <t>MCLD-854</t>
  </si>
  <si>
    <t>Quizrr AB</t>
  </si>
  <si>
    <t>https://quizrr.se</t>
  </si>
  <si>
    <t>Aruna Manoharan</t>
  </si>
  <si>
    <t>zcrm_1062537000000542282</t>
  </si>
  <si>
    <t>Anitha</t>
  </si>
  <si>
    <t>anitha@tnq.co.in</t>
  </si>
  <si>
    <t>Anitha S</t>
  </si>
  <si>
    <t>Operations Project Manager</t>
  </si>
  <si>
    <t>MCLD-855</t>
  </si>
  <si>
    <t>Learning Cortex</t>
  </si>
  <si>
    <t>https://learningcortex.com</t>
  </si>
  <si>
    <t>zcrm_1062537000000542283</t>
  </si>
  <si>
    <t>Ananthi</t>
  </si>
  <si>
    <t>ananthi@tnq.co.in</t>
  </si>
  <si>
    <t>Ananthi A</t>
  </si>
  <si>
    <t>Senior Project Manager/Team Lead</t>
  </si>
  <si>
    <t>Arlington, Virginia, United States</t>
  </si>
  <si>
    <t>zcrm_1062537000000542284</t>
  </si>
  <si>
    <t>Kalpana</t>
  </si>
  <si>
    <t>R</t>
  </si>
  <si>
    <t>kalpana@tnq.co.in</t>
  </si>
  <si>
    <t>MCLD-856</t>
  </si>
  <si>
    <t>LendMe</t>
  </si>
  <si>
    <t>https://lendme.com</t>
  </si>
  <si>
    <t>Kalpana R</t>
  </si>
  <si>
    <t>Coordinator Copyediting</t>
  </si>
  <si>
    <t>zcrm_1062537000000542285</t>
  </si>
  <si>
    <t>samuel@tnq.co.in</t>
  </si>
  <si>
    <t>Samuel A</t>
  </si>
  <si>
    <t>MCLD-857</t>
  </si>
  <si>
    <t>JetLearn</t>
  </si>
  <si>
    <t>https://jetlearn.com</t>
  </si>
  <si>
    <t>Assistant Manager - Copyediting</t>
  </si>
  <si>
    <t>zcrm_1062537000000542286</t>
  </si>
  <si>
    <t>Sam</t>
  </si>
  <si>
    <t>Chander</t>
  </si>
  <si>
    <t>sam@tnq.co.in</t>
  </si>
  <si>
    <t>Sam Chander</t>
  </si>
  <si>
    <t>Assistant Manager</t>
  </si>
  <si>
    <t>MCLD-858</t>
  </si>
  <si>
    <t>charly</t>
  </si>
  <si>
    <t>zcrm_1062537000000542287</t>
  </si>
  <si>
    <t>https://charly.education</t>
  </si>
  <si>
    <t>VAISHNAVI</t>
  </si>
  <si>
    <t>VAISHNAVI D</t>
  </si>
  <si>
    <t>zcrm_1062537000000543299</t>
  </si>
  <si>
    <t>Najmi</t>
  </si>
  <si>
    <t>Khan</t>
  </si>
  <si>
    <t>MCLD-859</t>
  </si>
  <si>
    <t>EcoSystemOne</t>
  </si>
  <si>
    <t>https://ecosystemone.io</t>
  </si>
  <si>
    <t>zcrm_1062537000000543302</t>
  </si>
  <si>
    <t>Vibhor</t>
  </si>
  <si>
    <t>MCLD-860</t>
  </si>
  <si>
    <t>Satoshi</t>
  </si>
  <si>
    <t>zcrm_1062537000000543303</t>
  </si>
  <si>
    <t>https://satoshiedu.com</t>
  </si>
  <si>
    <t>Naveen</t>
  </si>
  <si>
    <t>zcrm_1062537000000543310</t>
  </si>
  <si>
    <t>Banshi</t>
  </si>
  <si>
    <t>Mallick</t>
  </si>
  <si>
    <t>MCLD-861</t>
  </si>
  <si>
    <t>Curio Interactive</t>
  </si>
  <si>
    <t>https://curiointeractive.com</t>
  </si>
  <si>
    <t>zcrm_1062537000000543321</t>
  </si>
  <si>
    <t>Rajshri</t>
  </si>
  <si>
    <t>Walia</t>
  </si>
  <si>
    <t>MCLD-862</t>
  </si>
  <si>
    <t>Databits</t>
  </si>
  <si>
    <t>https://databits.ai</t>
  </si>
  <si>
    <t>zcrm_1062537000000543325</t>
  </si>
  <si>
    <t>Prashant</t>
  </si>
  <si>
    <t>Juyal</t>
  </si>
  <si>
    <t>KPIs</t>
  </si>
  <si>
    <t>Leads by Status</t>
  </si>
  <si>
    <t>Leads by Source</t>
  </si>
  <si>
    <t>Leads by Industry</t>
  </si>
  <si>
    <t>Total Leads</t>
  </si>
  <si>
    <t>MCLD-863</t>
  </si>
  <si>
    <t>Wize</t>
  </si>
  <si>
    <t>https://wize.co</t>
  </si>
  <si>
    <t>zcrm_1062537000000543326</t>
  </si>
  <si>
    <t>Sahai</t>
  </si>
  <si>
    <t>zcrm_1062537000000543327</t>
  </si>
  <si>
    <t>Dalip</t>
  </si>
  <si>
    <t>Vancouver, British Columbia, Canada</t>
  </si>
  <si>
    <t>MCLD-864</t>
  </si>
  <si>
    <t>3spin Learning</t>
  </si>
  <si>
    <t>zcrm_1062537000000543328</t>
  </si>
  <si>
    <t>https://3spinlearning.com</t>
  </si>
  <si>
    <t>CSM</t>
  </si>
  <si>
    <t>Darmstadt, Hessen, Germany</t>
  </si>
  <si>
    <t>zcrm_1062537000000543329</t>
  </si>
  <si>
    <t>Dhanabir</t>
  </si>
  <si>
    <t>MCLD-865</t>
  </si>
  <si>
    <t>Overdue Leads</t>
  </si>
  <si>
    <t>Winners Technology</t>
  </si>
  <si>
    <t>https://winnerstechnology.com</t>
  </si>
  <si>
    <t>zcrm_1062537000000543330</t>
  </si>
  <si>
    <t>Sathya</t>
  </si>
  <si>
    <t>Murthy</t>
  </si>
  <si>
    <t>Average Health Score</t>
  </si>
  <si>
    <t>zcrm_1062537000000543331</t>
  </si>
  <si>
    <t>MCLD-866</t>
  </si>
  <si>
    <t>Debashis</t>
  </si>
  <si>
    <t>PipelinerOnline</t>
  </si>
  <si>
    <t>Chaudhuri</t>
  </si>
  <si>
    <t>https://pipelineronline.com</t>
  </si>
  <si>
    <t>Average SLA Gap</t>
  </si>
  <si>
    <t>zcrm_1062537000000543332</t>
  </si>
  <si>
    <t>Ajay</t>
  </si>
  <si>
    <t>MCLD-867</t>
  </si>
  <si>
    <t>Papumba</t>
  </si>
  <si>
    <t>https://papumba.com</t>
  </si>
  <si>
    <t>zcrm_1062537000000543333</t>
  </si>
  <si>
    <t>Manoj</t>
  </si>
  <si>
    <t>zcrm_1062537000000543334</t>
  </si>
  <si>
    <t>MCLD-868</t>
  </si>
  <si>
    <t>Indu</t>
  </si>
  <si>
    <t>Zarttech</t>
  </si>
  <si>
    <t>https://zarttech.com</t>
  </si>
  <si>
    <t>Den Haag, Zuid-Holland, The Netherlands</t>
  </si>
  <si>
    <t>zcrm_1062537000000547004</t>
  </si>
  <si>
    <t>Emily</t>
  </si>
  <si>
    <t>Karjala</t>
  </si>
  <si>
    <t>zcrm_1062537000000461070</t>
  </si>
  <si>
    <t>MCLD-869</t>
  </si>
  <si>
    <t>DataTrained</t>
  </si>
  <si>
    <t>https://datatrained.com</t>
  </si>
  <si>
    <t>As Coursera continues to partner with universities, institutions, and enterprises to deliver large-scale online courses and professional learning programs, we see a strong opportunity to support your teams as a service delivery vendor, particularly across course content development, updates, QA, and execution-intensive platform workflows.</t>
  </si>
  <si>
    <t>â€¢ Supports Coursera programs with scalable execution for course content development and refresh cycles
 â€¢ Adds delivery bandwidth to manage high-volume, multi-partner learning programs
 â€¢ Provides structured quality checks and process discipline for consistent, learner-ready course outputs</t>
  </si>
  <si>
    <t>Proposal for Vendor Partnership to Support Digital Learning Content Delivery</t>
  </si>
  <si>
    <t>zcrm_1062537000000547011</t>
  </si>
  <si>
    <t>Sumesh</t>
  </si>
  <si>
    <t>Chandra</t>
  </si>
  <si>
    <t>MCLD-870</t>
  </si>
  <si>
    <t>Voovo</t>
  </si>
  <si>
    <t>https://voovo.ai</t>
  </si>
  <si>
    <t>zcrm_1062537000000547037</t>
  </si>
  <si>
    <t>Pulido</t>
  </si>
  <si>
    <t>zcrm_1062537000000461098</t>
  </si>
  <si>
    <t>As Udemy continues to scale its global learning marketplace and enterprise learning offerings, we see a strong opportunity to support your teams as a service delivery vendor, particularly across course content preparation, updates, quality checks, and execution-intensive platform workflows.</t>
  </si>
  <si>
    <t>â€¢ Supports Udemy teams with scalable execution for course content preparation and refresh cycles
 â€¢ Adds delivery bandwidth to manage large volumes of instructor-led content and updates
 â€¢ Provides structured quality checks and process discipline for consistent, learner-ready course experiences</t>
  </si>
  <si>
    <t>MCLD-871</t>
  </si>
  <si>
    <t>Zuoyebang</t>
  </si>
  <si>
    <t>zcrm_1062537000000557007</t>
  </si>
  <si>
    <t>https://www.zybang.com</t>
  </si>
  <si>
    <t>Dilip</t>
  </si>
  <si>
    <t>zcrm_1062537000000557002</t>
  </si>
  <si>
    <t>Hope youâ€™re doing well. Iâ€™m Sandeep Kumar from Muenot, an E-learning services delivery company supporting organizations with scalable execution across content conversion, digital production, QA, and learning operations.</t>
  </si>
  <si>
    <t>I came across your post regarding the requirement for experienced vendors for high-volume PDF to Word conversion projects. We would be pleased to support Thomson Digital with bulk document processing while ensuring formatting accuracy, layout preservation, and secure handling of sensitive data.</t>
  </si>
  <si>
    <t>â€¢ Proven capability in managing large-volume PDF to Word conversions with high formatting precision
 â€¢ Dedicated teams ensuring quick turnaround times while maintaining strict quality checks
 â€¢ Strong data confidentiality protocols and scalable workflows to manage ongoing conversion volumes</t>
  </si>
  <si>
    <t>Proposal for Vendor Support â€“ Bulk PDF to Word Conversion Services</t>
  </si>
  <si>
    <t>MCLD-872</t>
  </si>
  <si>
    <t>HOMER</t>
  </si>
  <si>
    <t>https://learnwithhomer.com</t>
  </si>
  <si>
    <t>MCLD-873</t>
  </si>
  <si>
    <t>Social Cascade</t>
  </si>
  <si>
    <t>https://socialcascade.ai</t>
  </si>
  <si>
    <t>MCLD-874</t>
  </si>
  <si>
    <t>sofatutor</t>
  </si>
  <si>
    <t>https://www.sofatutor.com</t>
  </si>
  <si>
    <t>MCLD-875</t>
  </si>
  <si>
    <t>StudentCrowd</t>
  </si>
  <si>
    <t>https://www.studentcrowd.com</t>
  </si>
  <si>
    <t>Loughborough, Leicestershire, United Kingdom</t>
  </si>
  <si>
    <t>MCLD-876</t>
  </si>
  <si>
    <t>Oneistox</t>
  </si>
  <si>
    <t>https://oneistox.com</t>
  </si>
  <si>
    <t>MCLD-877</t>
  </si>
  <si>
    <t>Farid</t>
  </si>
  <si>
    <t>https://farid.ai</t>
  </si>
  <si>
    <t>Alexandria, Al Iskandariyah, Egypt</t>
  </si>
  <si>
    <t>MCLD-878</t>
  </si>
  <si>
    <t>Alpha Trade Ai</t>
  </si>
  <si>
    <t>https://alphatrade.ai</t>
  </si>
  <si>
    <t>Valletta, NA - Malta, Malta</t>
  </si>
  <si>
    <t>MCLD-879</t>
  </si>
  <si>
    <t>Codio</t>
  </si>
  <si>
    <t>https://www.codio.com</t>
  </si>
  <si>
    <t>MCLD-880</t>
  </si>
  <si>
    <t>XEROTECH LTD</t>
  </si>
  <si>
    <t>https://xerotech.com</t>
  </si>
  <si>
    <t>MCLD-881</t>
  </si>
  <si>
    <t>Centervention</t>
  </si>
  <si>
    <t>https://www.centervention.com</t>
  </si>
  <si>
    <t>Durham, North Carolina, United States</t>
  </si>
  <si>
    <t>MCLD-882</t>
  </si>
  <si>
    <t>Enrola</t>
  </si>
  <si>
    <t>https://enrola.ai</t>
  </si>
  <si>
    <t>rachel.decker@relias.com</t>
  </si>
  <si>
    <t>Brisbane, Queensland, Australia</t>
  </si>
  <si>
    <t>MCLD-883</t>
  </si>
  <si>
    <t>rdecker@relias.com</t>
  </si>
  <si>
    <t>Ribbon</t>
  </si>
  <si>
    <t>https://ribbonedu.com</t>
  </si>
  <si>
    <t>rachel@relias.com</t>
  </si>
  <si>
    <t>Albany, New York, United States</t>
  </si>
  <si>
    <t>rachel.d@relias.com</t>
  </si>
  <si>
    <t>MCLD-884</t>
  </si>
  <si>
    <t>TechAdmirers</t>
  </si>
  <si>
    <t>https://techadmirers.com</t>
  </si>
  <si>
    <t>r.decker@relias.com</t>
  </si>
  <si>
    <t>rachel_decker@relias.com</t>
  </si>
  <si>
    <t>rachel-decker@relias.com</t>
  </si>
  <si>
    <t>MCLD-885</t>
  </si>
  <si>
    <t>JDoodle</t>
  </si>
  <si>
    <t>https://www.jdoodle.com</t>
  </si>
  <si>
    <t>racheld@relias.com</t>
  </si>
  <si>
    <t>decker.rachel@relias.com</t>
  </si>
  <si>
    <t>racheldecker@relias.com</t>
  </si>
  <si>
    <t>MCLD-886</t>
  </si>
  <si>
    <t>The Skills</t>
  </si>
  <si>
    <t>decker@relias.com</t>
  </si>
  <si>
    <t>https://theskills.io</t>
  </si>
  <si>
    <t>rd@relias.com</t>
  </si>
  <si>
    <t>Manhattan Beach, California, United States</t>
  </si>
  <si>
    <t>r.d@relias.com</t>
  </si>
  <si>
    <t>MCLD-887</t>
  </si>
  <si>
    <t>Pariksha</t>
  </si>
  <si>
    <t>https://pariksha.co</t>
  </si>
  <si>
    <t>Pune, Maharashtra, India</t>
  </si>
  <si>
    <t>MCLD-888</t>
  </si>
  <si>
    <t>Ambow Education</t>
  </si>
  <si>
    <t>https://www.ambow.com</t>
  </si>
  <si>
    <t>MCLD-889</t>
  </si>
  <si>
    <t>Intuitivo</t>
  </si>
  <si>
    <t>https://intuitivo.com</t>
  </si>
  <si>
    <t>Porto, Lisboa, Portugal</t>
  </si>
  <si>
    <t>MCLD-890</t>
  </si>
  <si>
    <t>Rhithm</t>
  </si>
  <si>
    <t>https://rhithm.co</t>
  </si>
  <si>
    <t>Fort Worth, Texas, United States</t>
  </si>
  <si>
    <t>MCLD-891</t>
  </si>
  <si>
    <t>ST Unitas</t>
  </si>
  <si>
    <t>https://stunitas.com</t>
  </si>
  <si>
    <t>MCLD-892</t>
  </si>
  <si>
    <t>ImaginGO</t>
  </si>
  <si>
    <t>https://imagngo.ai</t>
  </si>
  <si>
    <t>Mount Pleasant, South Carolina, United States</t>
  </si>
  <si>
    <t>MCLD-893</t>
  </si>
  <si>
    <t>Lyfta</t>
  </si>
  <si>
    <t>https://www.lyfta.com</t>
  </si>
  <si>
    <t>Helsinki, Southern Finland, Finland</t>
  </si>
  <si>
    <t>MCLD-894</t>
  </si>
  <si>
    <t>DIO</t>
  </si>
  <si>
    <t>https://www.dio.me</t>
  </si>
  <si>
    <t>Araraquara, Sao Paulo, Brazil</t>
  </si>
  <si>
    <t>MCLD-895</t>
  </si>
  <si>
    <t>Logiscool</t>
  </si>
  <si>
    <t>https://www.logiscool.com</t>
  </si>
  <si>
    <t>MCLD-896</t>
  </si>
  <si>
    <t>Thinkster Math</t>
  </si>
  <si>
    <t>https://hellothinkster.com</t>
  </si>
  <si>
    <t>Kendall Park, New Jersey, United States</t>
  </si>
  <si>
    <t>MCLD-897</t>
  </si>
  <si>
    <t>Crehana</t>
  </si>
  <si>
    <t>https://www.crehana.com</t>
  </si>
  <si>
    <t>MCLD-898</t>
  </si>
  <si>
    <t>SpeakBuddy</t>
  </si>
  <si>
    <t>https://speakbuddy.me</t>
  </si>
  <si>
    <t>MCLD-899</t>
  </si>
  <si>
    <t>Edukasyon.ph</t>
  </si>
  <si>
    <t>https://www.edukasyon.ph</t>
  </si>
  <si>
    <t>Metric</t>
  </si>
  <si>
    <t>Month</t>
  </si>
  <si>
    <t>Revenue</t>
  </si>
  <si>
    <t>Target</t>
  </si>
  <si>
    <t>Source</t>
  </si>
  <si>
    <t>Manila, Manila, Philippines</t>
  </si>
  <si>
    <t>Count</t>
  </si>
  <si>
    <t>Rep</t>
  </si>
  <si>
    <t>MCLD-900</t>
  </si>
  <si>
    <t>CourseStorm</t>
  </si>
  <si>
    <t>Total Revenue</t>
  </si>
  <si>
    <t>https://www.coursestorm.com</t>
  </si>
  <si>
    <t>Jan</t>
  </si>
  <si>
    <t>Organic Search</t>
  </si>
  <si>
    <t>Orono, Maine, United States</t>
  </si>
  <si>
    <t>Deals Won</t>
  </si>
  <si>
    <t>Feb</t>
  </si>
  <si>
    <t>Referral</t>
  </si>
  <si>
    <t>Win Rate</t>
  </si>
  <si>
    <t>MCLD-901</t>
  </si>
  <si>
    <t>Mildang PT</t>
  </si>
  <si>
    <t>https://mildang.co.kr</t>
  </si>
  <si>
    <t>Mar</t>
  </si>
  <si>
    <t>Paid Ads</t>
  </si>
  <si>
    <t>Avg Deal Size</t>
  </si>
  <si>
    <t>Apr</t>
  </si>
  <si>
    <t>Social Media</t>
  </si>
  <si>
    <t>Diana Prince</t>
  </si>
  <si>
    <t>May</t>
  </si>
  <si>
    <t>Direct</t>
  </si>
  <si>
    <t>Evan Wright</t>
  </si>
  <si>
    <t>Jun</t>
  </si>
  <si>
    <t>Jul</t>
  </si>
  <si>
    <t>MCLD-902</t>
  </si>
  <si>
    <t>Big Interview</t>
  </si>
  <si>
    <t>Aug</t>
  </si>
  <si>
    <t>https://biginterview.com</t>
  </si>
  <si>
    <t>Sep</t>
  </si>
  <si>
    <t>Oct</t>
  </si>
  <si>
    <t>Nov</t>
  </si>
  <si>
    <t>Dec</t>
  </si>
  <si>
    <t>MCLD-903</t>
  </si>
  <si>
    <t>TechRow</t>
  </si>
  <si>
    <t>https://techrow.org</t>
  </si>
  <si>
    <t>Manhattan, New York, United States</t>
  </si>
  <si>
    <t>MCLD-904</t>
  </si>
  <si>
    <t>Heylama</t>
  </si>
  <si>
    <t>https://heylama.com</t>
  </si>
  <si>
    <t>MCLD-905</t>
  </si>
  <si>
    <t>CheQRboard</t>
  </si>
  <si>
    <t>https://cheqrboard.com</t>
  </si>
  <si>
    <t>MCLD-906</t>
  </si>
  <si>
    <t>BillionMinds</t>
  </si>
  <si>
    <t>https://billionminds.com</t>
  </si>
  <si>
    <t>Tulsa, Oklahoma, United States</t>
  </si>
  <si>
    <t>MCLD-907</t>
  </si>
  <si>
    <t>EduForge AI</t>
  </si>
  <si>
    <t>https://eduforge.ai</t>
  </si>
  <si>
    <t>Portsmouth, Hampshire, United Kingdom</t>
  </si>
  <si>
    <t>MCLD-908</t>
  </si>
  <si>
    <t>Tech Lead Network</t>
  </si>
  <si>
    <t>https://techleadnetwork.org</t>
  </si>
  <si>
    <t>MCLD-909</t>
  </si>
  <si>
    <t>CAPSLOCK</t>
  </si>
  <si>
    <t>https://capslock.com</t>
  </si>
  <si>
    <t>MCLD-910</t>
  </si>
  <si>
    <t>Higher Learning Technologies</t>
  </si>
  <si>
    <t>https://hltcorp.com</t>
  </si>
  <si>
    <t>Coralville, Iowa, United States</t>
  </si>
  <si>
    <t>MCLD-911</t>
  </si>
  <si>
    <t>Lepermislibre</t>
  </si>
  <si>
    <t>https://www.lepermislibre.fr</t>
  </si>
  <si>
    <t>Lyon, Rhone-Alpes, France</t>
  </si>
  <si>
    <t>MCLD-912</t>
  </si>
  <si>
    <t>Codeit</t>
  </si>
  <si>
    <t>https://codeit.us</t>
  </si>
  <si>
    <t>MCLD-913</t>
  </si>
  <si>
    <t>Collegial</t>
  </si>
  <si>
    <t>https://collegial.ai</t>
  </si>
  <si>
    <t>MCLD-914</t>
  </si>
  <si>
    <t>Aprende Institute</t>
  </si>
  <si>
    <t>https://aprende.com</t>
  </si>
  <si>
    <t>MCLD-915</t>
  </si>
  <si>
    <t>Kai's Education</t>
  </si>
  <si>
    <t>https://kaiseducation.com</t>
  </si>
  <si>
    <t>MCLD-916</t>
  </si>
  <si>
    <t>toddl.co</t>
  </si>
  <si>
    <t>https://toddl.co</t>
  </si>
  <si>
    <t>MCLD-917</t>
  </si>
  <si>
    <t>ClassHoppa</t>
  </si>
  <si>
    <t>https://classhoppa.com</t>
  </si>
  <si>
    <t>MCLD-918</t>
  </si>
  <si>
    <t>Listenwise</t>
  </si>
  <si>
    <t>https://listenwise.com</t>
  </si>
  <si>
    <t>MCLD-919</t>
  </si>
  <si>
    <t>MediSimVR</t>
  </si>
  <si>
    <t>https://medisimvr.com</t>
  </si>
  <si>
    <t>MCLD-920</t>
  </si>
  <si>
    <t>InternMatch</t>
  </si>
  <si>
    <t>https://internmatch.io</t>
  </si>
  <si>
    <t>MCLD-921</t>
  </si>
  <si>
    <t>Gotocourse</t>
  </si>
  <si>
    <t>https://gotocourse.com</t>
  </si>
  <si>
    <t>Sugar Land, Texas, United States</t>
  </si>
  <si>
    <t>MCLD-922</t>
  </si>
  <si>
    <t>StealthGPT</t>
  </si>
  <si>
    <t>https://stealthgpt.ai</t>
  </si>
  <si>
    <t>Sheridan, Wyoming, United States</t>
  </si>
  <si>
    <t>MCLD-923</t>
  </si>
  <si>
    <t>Digiage</t>
  </si>
  <si>
    <t>https://digiage.com</t>
  </si>
  <si>
    <t>Gebze, Kocaeli, Turkey</t>
  </si>
  <si>
    <t>MCLD-924</t>
  </si>
  <si>
    <t>Verbatica</t>
  </si>
  <si>
    <t>https://verbatica.com</t>
  </si>
  <si>
    <t>MCLD-925</t>
  </si>
  <si>
    <t>Smart Girls HQ</t>
  </si>
  <si>
    <t>https://smartgirlshq.com</t>
  </si>
  <si>
    <t>Charlotte, North Carolina, United States</t>
  </si>
  <si>
    <t>MCLD-926</t>
  </si>
  <si>
    <t>Gility</t>
  </si>
  <si>
    <t>https://gility.com</t>
  </si>
  <si>
    <t>MCLD-927</t>
  </si>
  <si>
    <t>Dragon Family Company</t>
  </si>
  <si>
    <t>https://dragonfamilycompany.com</t>
  </si>
  <si>
    <t>MCLD-928</t>
  </si>
  <si>
    <t>365 Data Science</t>
  </si>
  <si>
    <t>https://365datascience.com</t>
  </si>
  <si>
    <t>Sofia, Grad Sofiya, Bulgaria</t>
  </si>
  <si>
    <t>MCLD-929</t>
  </si>
  <si>
    <t>Capti Voice</t>
  </si>
  <si>
    <t>https://www.captivoice.com</t>
  </si>
  <si>
    <t>MCLD-930</t>
  </si>
  <si>
    <t>Exxeella Education Group LLC</t>
  </si>
  <si>
    <t>https://exxeella.com</t>
  </si>
  <si>
    <t>Minneapolis, Minnesota, United States</t>
  </si>
  <si>
    <t>MCLD-931</t>
  </si>
  <si>
    <t>Glimpsek12</t>
  </si>
  <si>
    <t>https://glimpsek12.com</t>
  </si>
  <si>
    <t>Huntsville, Alabama, United States</t>
  </si>
  <si>
    <t>MCLD-932</t>
  </si>
  <si>
    <t>Adaptemy</t>
  </si>
  <si>
    <t>https://www.adaptemy.com</t>
  </si>
  <si>
    <t>MCLD-933</t>
  </si>
  <si>
    <t>Enroly</t>
  </si>
  <si>
    <t>https://enroly.com</t>
  </si>
  <si>
    <t>MCLD-934</t>
  </si>
  <si>
    <t>ISTE</t>
  </si>
  <si>
    <t>https://www.iste.org</t>
  </si>
  <si>
    <t>MCLD-935</t>
  </si>
  <si>
    <t>Vertex Tech</t>
  </si>
  <si>
    <t>https://vertextech.com</t>
  </si>
  <si>
    <t>Abu Dhabi, Abu Dhabi, United Arab Emirates</t>
  </si>
  <si>
    <t>MCLD-936</t>
  </si>
  <si>
    <t>Graide</t>
  </si>
  <si>
    <t>https://www.graide.com</t>
  </si>
  <si>
    <t>Birmingham, Birmingham, United Kingdom</t>
  </si>
  <si>
    <t>MCLD-937</t>
  </si>
  <si>
    <t>Growth Tribe</t>
  </si>
  <si>
    <t>https://growthtribe.io</t>
  </si>
  <si>
    <t>MCLD-938</t>
  </si>
  <si>
    <t>Glean</t>
  </si>
  <si>
    <t>https://www.glean.co</t>
  </si>
  <si>
    <t>Leeds, Leeds, United Kingdom</t>
  </si>
  <si>
    <t>MCLD-939</t>
  </si>
  <si>
    <t>Zenith Learning Group</t>
  </si>
  <si>
    <t>https://zenithlearninggroup.com</t>
  </si>
  <si>
    <t>MCLD-940</t>
  </si>
  <si>
    <t>Edubuk</t>
  </si>
  <si>
    <t>https://edubuk.com</t>
  </si>
  <si>
    <t>MCLD-941</t>
  </si>
  <si>
    <t>Pressto</t>
  </si>
  <si>
    <t>https://pressto.ai</t>
  </si>
  <si>
    <t>MCLD-942</t>
  </si>
  <si>
    <t>VibeGrade</t>
  </si>
  <si>
    <t>https://vibegrade.com</t>
  </si>
  <si>
    <t>MCLD-943</t>
  </si>
  <si>
    <t>Toppr</t>
  </si>
  <si>
    <t>https://www.toppr.com</t>
  </si>
  <si>
    <t>MCLD-944</t>
  </si>
  <si>
    <t>The Diversity Movement</t>
  </si>
  <si>
    <t>https://thediversitymovement.com</t>
  </si>
  <si>
    <t>MCLD-945</t>
  </si>
  <si>
    <t>Revolution Prep</t>
  </si>
  <si>
    <t>https://www.revolutionprep.com</t>
  </si>
  <si>
    <t>MCLD-946</t>
  </si>
  <si>
    <t>Dev.f</t>
  </si>
  <si>
    <t>https://devf.la</t>
  </si>
  <si>
    <t>MCLD-947</t>
  </si>
  <si>
    <t>Speak</t>
  </si>
  <si>
    <t>https://speak.com</t>
  </si>
  <si>
    <t>MCLD-948</t>
  </si>
  <si>
    <t>Ethena</t>
  </si>
  <si>
    <t>https://ethena.com</t>
  </si>
  <si>
    <t>MCLD-949</t>
  </si>
  <si>
    <t>Duolingo</t>
  </si>
  <si>
    <t>https://www.duolingo.com</t>
  </si>
  <si>
    <t>MCLD-950</t>
  </si>
  <si>
    <t>StockGro</t>
  </si>
  <si>
    <t>https://stockgro.club</t>
  </si>
  <si>
    <t>MCLD-951</t>
  </si>
  <si>
    <t>HeyGen</t>
  </si>
  <si>
    <t>https://www.heygen.com</t>
  </si>
  <si>
    <t>MCLD-952</t>
  </si>
  <si>
    <t>WalkMe</t>
  </si>
  <si>
    <t>https://www.walkme.com</t>
  </si>
  <si>
    <t>MCLD-953</t>
  </si>
  <si>
    <t>Interplay Learning</t>
  </si>
  <si>
    <t>https://www.interplaylearning.com</t>
  </si>
  <si>
    <t>MCLD-954</t>
  </si>
  <si>
    <t>Soul Machines</t>
  </si>
  <si>
    <t>https://www.soulmachines.com</t>
  </si>
  <si>
    <t>MCLD-955</t>
  </si>
  <si>
    <t>General Intuition</t>
  </si>
  <si>
    <t>https://generalintuition.com</t>
  </si>
  <si>
    <t>MCLD-956</t>
  </si>
  <si>
    <t>Open Campus</t>
  </si>
  <si>
    <t>https://www.opencampus.xyz</t>
  </si>
  <si>
    <t>Hong Kong, Hong Kong Island, Hong Kong</t>
  </si>
  <si>
    <t>MCLD-957</t>
  </si>
  <si>
    <t>Brilliant.org</t>
  </si>
  <si>
    <t>https://brilliant.org</t>
  </si>
  <si>
    <t>MCLD-958</t>
  </si>
  <si>
    <t>Khan Academy</t>
  </si>
  <si>
    <t>https://www.khanacademy.org</t>
  </si>
  <si>
    <t>Port Washington, New York, United States</t>
  </si>
  <si>
    <t>MCLD-959</t>
  </si>
  <si>
    <t>Alef Education</t>
  </si>
  <si>
    <t>https://www.alefeducation.com</t>
  </si>
  <si>
    <t>MCLD-960</t>
  </si>
  <si>
    <t>Absorb LMS</t>
  </si>
  <si>
    <t>https://www.absorblms.com</t>
  </si>
  <si>
    <t>Calgary, Alberta, Canada</t>
  </si>
  <si>
    <t>MCLD-961</t>
  </si>
  <si>
    <t>MedTrainer</t>
  </si>
  <si>
    <t>https://medtrainer.com</t>
  </si>
  <si>
    <t>Redlands, California, United States</t>
  </si>
  <si>
    <t>MCLD-962</t>
  </si>
  <si>
    <t>Niche.com</t>
  </si>
  <si>
    <t>https://www.niche.com</t>
  </si>
  <si>
    <t>MCLD-963</t>
  </si>
  <si>
    <t>Stemuli</t>
  </si>
  <si>
    <t>https://stemuli.com</t>
  </si>
  <si>
    <t>MCLD-964</t>
  </si>
  <si>
    <t>Tandem</t>
  </si>
  <si>
    <t>https://www.tandem.net</t>
  </si>
  <si>
    <t>Columbus, Ohio, United States</t>
  </si>
  <si>
    <t>MCLD-965</t>
  </si>
  <si>
    <t>Ello</t>
  </si>
  <si>
    <t>https://ello.education</t>
  </si>
  <si>
    <t>MCLD-966</t>
  </si>
  <si>
    <t>Axonify</t>
  </si>
  <si>
    <t>https://axonify.com</t>
  </si>
  <si>
    <t>MCLD-967</t>
  </si>
  <si>
    <t>VeroSkills</t>
  </si>
  <si>
    <t>https://veroskills.com</t>
  </si>
  <si>
    <t>MCLD-968</t>
  </si>
  <si>
    <t>Hone</t>
  </si>
  <si>
    <t>https://www.honehq.com</t>
  </si>
  <si>
    <t>Encinitas, California, United States</t>
  </si>
  <si>
    <t>MCLD-969</t>
  </si>
  <si>
    <t>Torch</t>
  </si>
  <si>
    <t>https://torch.io</t>
  </si>
  <si>
    <t>MCLD-970</t>
  </si>
  <si>
    <t>Emtrain</t>
  </si>
  <si>
    <t>https://emtrain.com</t>
  </si>
  <si>
    <t>MCLD-971</t>
  </si>
  <si>
    <t>Find Your Grind</t>
  </si>
  <si>
    <t>https://findyourgrind.com</t>
  </si>
  <si>
    <t>MCLD-972</t>
  </si>
  <si>
    <t>Carnegie Learning</t>
  </si>
  <si>
    <t>https://www.carnegielearning.com</t>
  </si>
  <si>
    <t>MCLD-973</t>
  </si>
  <si>
    <t>Magma Math</t>
  </si>
  <si>
    <t>https://www.magmamath.com</t>
  </si>
  <si>
    <t>MCLD-974</t>
  </si>
  <si>
    <t>Atana</t>
  </si>
  <si>
    <t>https://atana.com</t>
  </si>
  <si>
    <t>MCLD-975</t>
  </si>
  <si>
    <t>Knowunity</t>
  </si>
  <si>
    <t>https://knowunity.com</t>
  </si>
  <si>
    <t>MCLD-976</t>
  </si>
  <si>
    <t>Go1</t>
  </si>
  <si>
    <t>https://www.go1.com</t>
  </si>
  <si>
    <t>MCLD-977</t>
  </si>
  <si>
    <t>Wayground</t>
  </si>
  <si>
    <t>https://wayground.com</t>
  </si>
  <si>
    <t>MCLD-978</t>
  </si>
  <si>
    <t>Arist</t>
  </si>
  <si>
    <t>https://www.arist.co</t>
  </si>
  <si>
    <t>MCLD-979</t>
  </si>
  <si>
    <t>Mindprint Learning</t>
  </si>
  <si>
    <t>https://mindprintlearning.com</t>
  </si>
  <si>
    <t>Princeton, New Jersey, United States</t>
  </si>
  <si>
    <t>MCLD-980</t>
  </si>
  <si>
    <t>Subly</t>
  </si>
  <si>
    <t>https://subly.com</t>
  </si>
  <si>
    <t>MCLD-981</t>
  </si>
  <si>
    <t>Longi</t>
  </si>
  <si>
    <t>https://www.longigroup.com</t>
  </si>
  <si>
    <t>MCLD-982</t>
  </si>
  <si>
    <t>Unimrkt Research</t>
  </si>
  <si>
    <t>https://www.unimrkt.com</t>
  </si>
  <si>
    <t>MCLD-983</t>
  </si>
  <si>
    <t>NextGenAi</t>
  </si>
  <si>
    <t>https://www.nextgenai.io</t>
  </si>
  <si>
    <t>Bilaspur, Chhattisgarh, India</t>
  </si>
  <si>
    <t>MCLD-984</t>
  </si>
  <si>
    <t>Magid</t>
  </si>
  <si>
    <t>https://www.magid.com</t>
  </si>
  <si>
    <t>MCLD-985</t>
  </si>
  <si>
    <t>Voxco</t>
  </si>
  <si>
    <t>https://www.voxco.com</t>
  </si>
  <si>
    <t>MontrÃ©al, Quebec, Canada</t>
  </si>
  <si>
    <t>MCLD-986</t>
  </si>
  <si>
    <t>Scout Systems</t>
  </si>
  <si>
    <t>https://www.scoutsystems.com</t>
  </si>
  <si>
    <t>Auburn, Washington, United States</t>
  </si>
  <si>
    <t>MCLD-987</t>
  </si>
  <si>
    <t>Teamscope</t>
  </si>
  <si>
    <t>https://www.teamscope.io</t>
  </si>
  <si>
    <t>Nijmegen, Gelderland, The Netherlands</t>
  </si>
  <si>
    <t>MCLD-988</t>
  </si>
  <si>
    <t>XSInc</t>
  </si>
  <si>
    <t>https://www.xsinc.com</t>
  </si>
  <si>
    <t>Morrisville, North Carolina, United States</t>
  </si>
  <si>
    <t>MCLD-989</t>
  </si>
  <si>
    <t>AGEYE</t>
  </si>
  <si>
    <t>https://www.ageye.ai</t>
  </si>
  <si>
    <t>MCLD-990</t>
  </si>
  <si>
    <t>Alegion</t>
  </si>
  <si>
    <t>https://www.alegion.com</t>
  </si>
  <si>
    <t>MCLD-991</t>
  </si>
  <si>
    <t>Playment</t>
  </si>
  <si>
    <t>https://www.playment.io</t>
  </si>
  <si>
    <t>MCLD-992</t>
  </si>
  <si>
    <t>Hengyuan Technology</t>
  </si>
  <si>
    <t>https://www.hengyuan-tech.com</t>
  </si>
  <si>
    <t>Yantai, Liaoning, China</t>
  </si>
  <si>
    <t>MCLD-993</t>
  </si>
  <si>
    <t>Docugami</t>
  </si>
  <si>
    <t>https://www.docugami.com</t>
  </si>
  <si>
    <t>Kirkland, Washington, United States</t>
  </si>
  <si>
    <t>MCLD-994</t>
  </si>
  <si>
    <t>AWS</t>
  </si>
  <si>
    <t>https://aws.amazon.com</t>
  </si>
  <si>
    <t>Chippewa Falls, Wisconsin, United States</t>
  </si>
  <si>
    <t>MCLD-995</t>
  </si>
  <si>
    <t>Vantage Sports</t>
  </si>
  <si>
    <t>https://www.vantagesports.com</t>
  </si>
  <si>
    <t>MCLD-996</t>
  </si>
  <si>
    <t>Megnity</t>
  </si>
  <si>
    <t>https://www.megnity.com</t>
  </si>
  <si>
    <t>Phoenix, Arizona, United States</t>
  </si>
  <si>
    <t>MCLD-997</t>
  </si>
  <si>
    <t>Boost</t>
  </si>
  <si>
    <t>https://www.boost.ai</t>
  </si>
  <si>
    <t>MCLD-998</t>
  </si>
  <si>
    <t>Poket</t>
  </si>
  <si>
    <t>https://www.poket.com</t>
  </si>
  <si>
    <t>MCLD-999</t>
  </si>
  <si>
    <t>Lorax Compliance</t>
  </si>
  <si>
    <t>https://www.loraxcompliance.com</t>
  </si>
  <si>
    <t>Rugby, Warwickshire, United Kingdom</t>
  </si>
  <si>
    <t>MCLD-1000</t>
  </si>
  <si>
    <t>Opinions</t>
  </si>
  <si>
    <t>https://www.opinions.co</t>
  </si>
  <si>
    <t>Chagrin Falls, Ohio, United States</t>
  </si>
  <si>
    <t>MCLD-1001</t>
  </si>
  <si>
    <t>Mingle Health</t>
  </si>
  <si>
    <t>https://www.minglehealth.com</t>
  </si>
  <si>
    <t>Sales KPI Dashboard</t>
  </si>
  <si>
    <t>MCLD-1002</t>
  </si>
  <si>
    <t>eDNA Explorer</t>
  </si>
  <si>
    <t>https://www.ednaexplorer.com</t>
  </si>
  <si>
    <t>MCLD-1003</t>
  </si>
  <si>
    <t>ProcessVenue</t>
  </si>
  <si>
    <t>https://www.processvenue.com</t>
  </si>
  <si>
    <t>Jaipur, Rajasthan, India</t>
  </si>
  <si>
    <t>MCLD-1004</t>
  </si>
  <si>
    <t>Daynamica</t>
  </si>
  <si>
    <t>https://www.daynamica.com</t>
  </si>
  <si>
    <t>Golden Valley, Arizona, United States</t>
  </si>
  <si>
    <t>MCLD-1005</t>
  </si>
  <si>
    <t>LnData</t>
  </si>
  <si>
    <t>https://www.lndata.com</t>
  </si>
  <si>
    <t>MCLD-1006</t>
  </si>
  <si>
    <t>Axon Labs</t>
  </si>
  <si>
    <t>https://www.axonlabs.ai</t>
  </si>
  <si>
    <t>MCLD-1007</t>
  </si>
  <si>
    <t>HasData</t>
  </si>
  <si>
    <t>https://www.hasdata.com</t>
  </si>
  <si>
    <t>MCLD-1008</t>
  </si>
  <si>
    <t>Intermec</t>
  </si>
  <si>
    <t>https://www.honeywell.com</t>
  </si>
  <si>
    <t>Everett, Washington, United States</t>
  </si>
  <si>
    <t>MCLD-1009</t>
  </si>
  <si>
    <t>KAKI</t>
  </si>
  <si>
    <t>https://www.kaki.ai</t>
  </si>
  <si>
    <t>MCLD-1010</t>
  </si>
  <si>
    <t>Eli Report (OctoAI Technologies Corp.)</t>
  </si>
  <si>
    <t>https://www.octoai.tech</t>
  </si>
  <si>
    <t>MCLD-1011</t>
  </si>
  <si>
    <t>SIS International Research</t>
  </si>
  <si>
    <t>https://www.sisinternational.com</t>
  </si>
  <si>
    <t>MCLD-1012</t>
  </si>
  <si>
    <t>Qredence</t>
  </si>
  <si>
    <t>https://www.qredence.ai</t>
  </si>
  <si>
    <t>MCLD-1013</t>
  </si>
  <si>
    <t>Canmark Technologies</t>
  </si>
  <si>
    <t>https://www.canmarktech.com</t>
  </si>
  <si>
    <t>MCLD-1014</t>
  </si>
  <si>
    <t>Blue Ocean Monitoring</t>
  </si>
  <si>
    <t>https://www.blueoceanmonitoring.com</t>
  </si>
  <si>
    <t>Perth, Western Australia, Australia</t>
  </si>
  <si>
    <t>MCLD-1015</t>
  </si>
  <si>
    <t>The Data Island</t>
  </si>
  <si>
    <t>https://www.thedatÃ¡island.com</t>
  </si>
  <si>
    <t>MCLD-1016</t>
  </si>
  <si>
    <t>Passport Corporation</t>
  </si>
  <si>
    <t>https://www.passportinc.com</t>
  </si>
  <si>
    <t>Warwick, New York, United States</t>
  </si>
  <si>
    <t>MCLD-1017</t>
  </si>
  <si>
    <t>Kordata</t>
  </si>
  <si>
    <t>https://www.kordata.com</t>
  </si>
  <si>
    <t>MCLD-1018</t>
  </si>
  <si>
    <t>Bitroot</t>
  </si>
  <si>
    <t>https://www.bitroot.io</t>
  </si>
  <si>
    <t>MCLD-1019</t>
  </si>
  <si>
    <t>Petal</t>
  </si>
  <si>
    <t>https://www.petalcard.com</t>
  </si>
  <si>
    <t>MCLD-1020</t>
  </si>
  <si>
    <t>invivodata</t>
  </si>
  <si>
    <t>https://www.invivodata.com</t>
  </si>
  <si>
    <t>MCLD-1021</t>
  </si>
  <si>
    <t>Simba Technologies</t>
  </si>
  <si>
    <t>https://www.simba.com</t>
  </si>
  <si>
    <t>MCLD-1022</t>
  </si>
  <si>
    <t>Encord</t>
  </si>
  <si>
    <t>https://www.encord.com</t>
  </si>
  <si>
    <t>MCLD-1023</t>
  </si>
  <si>
    <t>WoundMatrix</t>
  </si>
  <si>
    <t>https://www.woundmatrix.com</t>
  </si>
  <si>
    <t>Chadds Ford, Pennsylvania, United States</t>
  </si>
  <si>
    <t>MCLD-1024</t>
  </si>
  <si>
    <t>Price Trakker</t>
  </si>
  <si>
    <t>https://www.pricetrakker.com</t>
  </si>
  <si>
    <t>Stanmore, Harrow, United Kingdom</t>
  </si>
  <si>
    <t>MCLD-1025</t>
  </si>
  <si>
    <t>i2O</t>
  </si>
  <si>
    <t>https://www.i2o.ai</t>
  </si>
  <si>
    <t>Southampton, Southampton, United Kingdom</t>
  </si>
  <si>
    <t>MCLD-1026</t>
  </si>
  <si>
    <t>Tesis Biosciences</t>
  </si>
  <si>
    <t>https://www.tesisbio.com</t>
  </si>
  <si>
    <t>MCLD-1027</t>
  </si>
  <si>
    <t>Labelbox</t>
  </si>
  <si>
    <t>https://www.labelbox.com</t>
  </si>
  <si>
    <t>MCLD-1028</t>
  </si>
  <si>
    <t>Sidewalk</t>
  </si>
  <si>
    <t>https://www.sidewalklabs.com</t>
  </si>
  <si>
    <t>MCLD-1029</t>
  </si>
  <si>
    <t>Quiver</t>
  </si>
  <si>
    <t>https://www.quiverquant.com</t>
  </si>
  <si>
    <t>Boise, Idaho, United States</t>
  </si>
  <si>
    <t>MCLD-1030</t>
  </si>
  <si>
    <t>NorthStar Automation</t>
  </si>
  <si>
    <t>https://www.northstarautomation.com</t>
  </si>
  <si>
    <t>Saint Paul, Minnesota, United States</t>
  </si>
  <si>
    <t>MCLD-1031</t>
  </si>
  <si>
    <t>Simpleprax</t>
  </si>
  <si>
    <t>https://www.simpleprax.com</t>
  </si>
  <si>
    <t>MCLD-1032</t>
  </si>
  <si>
    <t>ClearGrid</t>
  </si>
  <si>
    <t>https://www.cleargrid.ai</t>
  </si>
  <si>
    <t>MCLD-1033</t>
  </si>
  <si>
    <t>VisibleHand</t>
  </si>
  <si>
    <t>https://www.visiblehand.com</t>
  </si>
  <si>
    <t>Boulder, Colorado, United States</t>
  </si>
  <si>
    <t>MCLD-1034</t>
  </si>
  <si>
    <t>Quality Counts</t>
  </si>
  <si>
    <t>https://www.qualitycounts.org</t>
  </si>
  <si>
    <t>Tigard, Oregon, United States</t>
  </si>
  <si>
    <t>MCLD-1035</t>
  </si>
  <si>
    <t>iMerit</t>
  </si>
  <si>
    <t>https://www.imerit.net</t>
  </si>
  <si>
    <t>MCLD-1036</t>
  </si>
  <si>
    <t>Hive</t>
  </si>
  <si>
    <t>https://www.hivedata.com</t>
  </si>
  <si>
    <t>MCLD-1037</t>
  </si>
  <si>
    <t>Toloka</t>
  </si>
  <si>
    <t>https://www.toloka.ai</t>
  </si>
  <si>
    <t>Luzern, Luzern, Switzerland</t>
  </si>
  <si>
    <t>MCLD-1038</t>
  </si>
  <si>
    <t>Global Survey</t>
  </si>
  <si>
    <t>https://www.globalsurvey.gs</t>
  </si>
  <si>
    <t>MCLD-1039</t>
  </si>
  <si>
    <t>Link2Feed</t>
  </si>
  <si>
    <t>https://www.link2feed.ca</t>
  </si>
  <si>
    <t>Sarnia, Ontario, Canada</t>
  </si>
  <si>
    <t>MCLD-1040</t>
  </si>
  <si>
    <t>Metaworks</t>
  </si>
  <si>
    <t>https://www.metaworks.com</t>
  </si>
  <si>
    <t>Halifax, Nova Scotia, Canada</t>
  </si>
  <si>
    <t>MCLD-1041</t>
  </si>
  <si>
    <t>Global 360 Research</t>
  </si>
  <si>
    <t>https://www.global360research.com</t>
  </si>
  <si>
    <t>MCLD-1042</t>
  </si>
  <si>
    <t>Glocal Mind</t>
  </si>
  <si>
    <t>https://www.glocalmind.com</t>
  </si>
  <si>
    <t>Plano, Texas, United States</t>
  </si>
  <si>
    <t>MCLD-1043</t>
  </si>
  <si>
    <t>Eagle Consulting and Development</t>
  </si>
  <si>
    <t>https://www.eagleconsulting.com</t>
  </si>
  <si>
    <t>Boonton, New Jersey, United States</t>
  </si>
  <si>
    <t>MCLD-1044</t>
  </si>
  <si>
    <t>National Data &amp; Surveying Services</t>
  </si>
  <si>
    <t>https://www.ndssurvey.com</t>
  </si>
  <si>
    <t>MCLD-1045</t>
  </si>
  <si>
    <t>Data Recognition Corp.</t>
  </si>
  <si>
    <t>https://www.datarecognitioncorp.com</t>
  </si>
  <si>
    <t>Maple Grove, Minnesota, United States</t>
  </si>
  <si>
    <t>MCLD-1046</t>
  </si>
  <si>
    <t>Blue World</t>
  </si>
  <si>
    <t>https://www.blueworld.com</t>
  </si>
  <si>
    <t>MCLD-1047</t>
  </si>
  <si>
    <t>The Logit Group</t>
  </si>
  <si>
    <t>https://www.logitgroup.com</t>
  </si>
  <si>
    <t>MCLD-1048</t>
  </si>
  <si>
    <t>Dooblo</t>
  </si>
  <si>
    <t>https://www.dooblo.net</t>
  </si>
  <si>
    <t>Kfar Saba, HaMerkaz, Israel</t>
  </si>
  <si>
    <t>MCLD-1049</t>
  </si>
  <si>
    <t>Oworkers</t>
  </si>
  <si>
    <t>https://www.oworkers.com</t>
  </si>
  <si>
    <t>MCLD-1050</t>
  </si>
  <si>
    <t>Birds.ai</t>
  </si>
  <si>
    <t>https://www.birds.ai</t>
  </si>
  <si>
    <t>The Hague, Zuid-Holland, The Netherlands</t>
  </si>
  <si>
    <t>MCLD-1051</t>
  </si>
  <si>
    <t>xcharta</t>
  </si>
  <si>
    <t>https://www.xcharta.com</t>
  </si>
  <si>
    <t>MCLD-1052</t>
  </si>
  <si>
    <t>MyAgData</t>
  </si>
  <si>
    <t>https://www.myagdata.com</t>
  </si>
  <si>
    <t>Effingham, Illinois, United States</t>
  </si>
  <si>
    <t>MCLD-1053</t>
  </si>
  <si>
    <t>Qonsent</t>
  </si>
  <si>
    <t>https://www.qonsent.io</t>
  </si>
  <si>
    <t>Westport, Connecticut, United States</t>
  </si>
  <si>
    <t>MCLD-1054</t>
  </si>
  <si>
    <t>Grably</t>
  </si>
  <si>
    <t>https://www.grably.io</t>
  </si>
  <si>
    <t>MCLD-1055</t>
  </si>
  <si>
    <t>Empliant</t>
  </si>
  <si>
    <t>https://www.empliant.com</t>
  </si>
  <si>
    <t>Chapel Hill, North Carolina, United States</t>
  </si>
  <si>
    <t>MCLD-1056</t>
  </si>
  <si>
    <t>DataOx</t>
  </si>
  <si>
    <t>https://www.dataox.com</t>
  </si>
  <si>
    <t>Tallin, Harjumaa, Estonia</t>
  </si>
  <si>
    <t>MCLD-1057</t>
  </si>
  <si>
    <t>maadaa.ai</t>
  </si>
  <si>
    <t>https://www.maadaa.ai</t>
  </si>
  <si>
    <t>MCLD-1058</t>
  </si>
  <si>
    <t>PortexAI</t>
  </si>
  <si>
    <t>https://www.portex.ai</t>
  </si>
  <si>
    <t>MCLD-1059</t>
  </si>
  <si>
    <t>Serialio Ltd.</t>
  </si>
  <si>
    <t>https://www.serialio.com</t>
  </si>
  <si>
    <t>Cedar Park, Texas, United States</t>
  </si>
  <si>
    <t>MCLD-1060</t>
  </si>
  <si>
    <t>Wireless Data Systems</t>
  </si>
  <si>
    <t>https://www.wdsi.com</t>
  </si>
  <si>
    <t>MCLD-1061</t>
  </si>
  <si>
    <t>Deepgram</t>
  </si>
  <si>
    <t>https://www.deepgram.com</t>
  </si>
  <si>
    <t>MCLD-1062</t>
  </si>
  <si>
    <t>ProfileSpider</t>
  </si>
  <si>
    <t>https://www.profilespider.com</t>
  </si>
  <si>
    <t>MCLD-1063</t>
  </si>
  <si>
    <t>Care4</t>
  </si>
  <si>
    <t>https://www.care4.com</t>
  </si>
  <si>
    <t>Edmonds, Washington, United States</t>
  </si>
  <si>
    <t>MCLD-1064</t>
  </si>
  <si>
    <t>Gravic</t>
  </si>
  <si>
    <t>https://www.gravic.com</t>
  </si>
  <si>
    <t>Malvern, Pennsylvania, United States</t>
  </si>
  <si>
    <t>MCLD-1065</t>
  </si>
  <si>
    <t>Haidata</t>
  </si>
  <si>
    <t>https://www.haidata.ai</t>
  </si>
  <si>
    <t>Ootacamund, Tamil Nadu, India</t>
  </si>
  <si>
    <t>MCLD-1066</t>
  </si>
  <si>
    <t>Ciudata</t>
  </si>
  <si>
    <t>https://www.ciudata.com</t>
  </si>
  <si>
    <t>La Paz, La Paz, Bolivia</t>
  </si>
  <si>
    <t>MCLD-1067</t>
  </si>
  <si>
    <t>Leyhausen Research</t>
  </si>
  <si>
    <t>https://www.leyhausenresearch.com</t>
  </si>
  <si>
    <t>Leverkusen, Nordrhein-Westfalen, Germany</t>
  </si>
  <si>
    <t>MCLD-1068</t>
  </si>
  <si>
    <t>Supply Chain Services</t>
  </si>
  <si>
    <t>https://www.supplychainservices.com</t>
  </si>
  <si>
    <t>Oakdale, Pennsylvania, United States</t>
  </si>
  <si>
    <t>MCLD-1069</t>
  </si>
  <si>
    <t>Surya Software Systems</t>
  </si>
  <si>
    <t>https://www.suryasoft.com</t>
  </si>
  <si>
    <t>MCLD-1070</t>
  </si>
  <si>
    <t>UBIVIS</t>
  </si>
  <si>
    <t>https://www.ubivis.com</t>
  </si>
  <si>
    <t>Curitiba, Parana, Brazil</t>
  </si>
  <si>
    <t>MCLD-1071</t>
  </si>
  <si>
    <t>Decodo</t>
  </si>
  <si>
    <t>https://www.decodo.com</t>
  </si>
  <si>
    <t>Vilnius, Vilniaus Apskritis, Lithuania</t>
  </si>
  <si>
    <t>MCLD-1072</t>
  </si>
  <si>
    <t>Ohsome Interactive</t>
  </si>
  <si>
    <t>https://www.ohsomeinteractive.com</t>
  </si>
  <si>
    <t>Woodbridge, Virginia, United States</t>
  </si>
  <si>
    <t>MCLD-1073</t>
  </si>
  <si>
    <t>Crowdee</t>
  </si>
  <si>
    <t>https://www.crowdee.ai</t>
  </si>
  <si>
    <t>MCLD-1074</t>
  </si>
  <si>
    <t>Savvr</t>
  </si>
  <si>
    <t>https://www.savvr.ai</t>
  </si>
  <si>
    <t>MCLD-1075</t>
  </si>
  <si>
    <t>Ecocharting</t>
  </si>
  <si>
    <t>https://www.ecocharting.com</t>
  </si>
  <si>
    <t>Utrecht, Utrecht, The Netherlands</t>
  </si>
  <si>
    <t>MCLD-1076</t>
  </si>
  <si>
    <t>Emis</t>
  </si>
  <si>
    <t>https://www.emis.com</t>
  </si>
  <si>
    <t>Trnava, Kosice, Slovakia (Slovak Republic)</t>
  </si>
  <si>
    <t>MCLD-1077</t>
  </si>
  <si>
    <t>Hyntelo</t>
  </si>
  <si>
    <t>https://www.hyntelo.ai</t>
  </si>
  <si>
    <t>Roma, Lazio, Italy</t>
  </si>
  <si>
    <t>MCLD-1078</t>
  </si>
  <si>
    <t>Hit Marketing</t>
  </si>
  <si>
    <t>https://www.hitmarketing.net</t>
  </si>
  <si>
    <t>MCLD-1079</t>
  </si>
  <si>
    <t>DroneHive</t>
  </si>
  <si>
    <t>https://www.dronehive.ai</t>
  </si>
  <si>
    <t>Park City, Utah, United States</t>
  </si>
  <si>
    <t>MCLD-1080</t>
  </si>
  <si>
    <t>More Inclusive Healthcare</t>
  </si>
  <si>
    <t>https://www.moreinclusivehealthcare.org</t>
  </si>
  <si>
    <t>MCLD-1081</t>
  </si>
  <si>
    <t>Curveseries</t>
  </si>
  <si>
    <t>https://www.curveseries.com</t>
  </si>
  <si>
    <t>MCLD-1082</t>
  </si>
  <si>
    <t>YSI Incorporated</t>
  </si>
  <si>
    <t>https://www.ysi.com</t>
  </si>
  <si>
    <t>Yellow Springs, Ohio, United States</t>
  </si>
  <si>
    <t>MCLD-1083</t>
  </si>
  <si>
    <t>Surge AI</t>
  </si>
  <si>
    <t>https://www.surge.ai</t>
  </si>
  <si>
    <t>MCLD-1084</t>
  </si>
  <si>
    <t>LinkedAI</t>
  </si>
  <si>
    <t>https://www.linkedai.co</t>
  </si>
  <si>
    <t>Sunnyvale, California, United States</t>
  </si>
  <si>
    <t>MCLD-1085</t>
  </si>
  <si>
    <t>SurveyHealthcareGlobus</t>
  </si>
  <si>
    <t>https://www.surveyhealthcareglobus.com</t>
  </si>
  <si>
    <t>Pocatello, Idaho, United States</t>
  </si>
  <si>
    <t>MCLD-1086</t>
  </si>
  <si>
    <t>Clear Horizon</t>
  </si>
  <si>
    <t>https://www.clearhorizon.com</t>
  </si>
  <si>
    <t>Cremorne, New South Wales, Australia</t>
  </si>
  <si>
    <t>MCLD-1087</t>
  </si>
  <si>
    <t>Agile Displays</t>
  </si>
  <si>
    <t>https://www.agiledisplays.com</t>
  </si>
  <si>
    <t>MCLD-1088</t>
  </si>
  <si>
    <t>Ritesoft</t>
  </si>
  <si>
    <t>https://www.ritesoft.com</t>
  </si>
  <si>
    <t>MCLD-1089</t>
  </si>
  <si>
    <t>YoungBlood Consultants</t>
  </si>
  <si>
    <t>https://www.youngbloodconsultants.com</t>
  </si>
  <si>
    <t>Midrand, NA - South Africa, South Africa</t>
  </si>
  <si>
    <t>MCLD-1090</t>
  </si>
  <si>
    <t>Octant</t>
  </si>
  <si>
    <t>https://www.octant.ai</t>
  </si>
  <si>
    <t>MCLD-1091</t>
  </si>
  <si>
    <t>National Consumer Panel</t>
  </si>
  <si>
    <t>https://www.ncppanel.com</t>
  </si>
  <si>
    <t>Syosset, New York, United States</t>
  </si>
  <si>
    <t>MCLD-1092</t>
  </si>
  <si>
    <t>Jadak Technologies</t>
  </si>
  <si>
    <t>https://www.jadaktech.com</t>
  </si>
  <si>
    <t>North Syracuse, New York, United States</t>
  </si>
  <si>
    <t>MCLD-1093</t>
  </si>
  <si>
    <t>Overeasy</t>
  </si>
  <si>
    <t>https://www.overeasy.ai</t>
  </si>
  <si>
    <t>MCLD-1094</t>
  </si>
  <si>
    <t>Client Services Solutions</t>
  </si>
  <si>
    <t>https://www.clientservicessolutions.com</t>
  </si>
  <si>
    <t>St. Charles, Missouri, United States</t>
  </si>
  <si>
    <t>MCLD-1095</t>
  </si>
  <si>
    <t>Croudy</t>
  </si>
  <si>
    <t>https://www.croudy.ai</t>
  </si>
  <si>
    <t>MCLD-1096</t>
  </si>
  <si>
    <t>Harmon Research</t>
  </si>
  <si>
    <t>https://www.harmonresearch.com</t>
  </si>
  <si>
    <t>Anaheim, California, United States</t>
  </si>
  <si>
    <t>MCLD-1097</t>
  </si>
  <si>
    <t>Medcase Health</t>
  </si>
  <si>
    <t>https://www.medcase.health</t>
  </si>
  <si>
    <t>MCLD-1098</t>
  </si>
  <si>
    <t>Aquaai</t>
  </si>
  <si>
    <t>https://www.aquaai.com</t>
  </si>
  <si>
    <t>MCLD-1099</t>
  </si>
  <si>
    <t>Bitpool</t>
  </si>
  <si>
    <t>https://www.bitpool.com</t>
  </si>
  <si>
    <t>MCLD-1100</t>
  </si>
  <si>
    <t>SO Development</t>
  </si>
  <si>
    <t>https://www.sodevelopment.com</t>
  </si>
  <si>
    <t>MCLD-1101</t>
  </si>
  <si>
    <t>Tensor Id</t>
  </si>
  <si>
    <t>https://www.tensorid.com</t>
  </si>
  <si>
    <t>Oceanside, California, United States</t>
  </si>
  <si>
    <t>MCLD-1102</t>
  </si>
  <si>
    <t>Opinion Access</t>
  </si>
  <si>
    <t>https://www.opinionaccess.com</t>
  </si>
  <si>
    <t>New Hyde Park, New York, United States</t>
  </si>
  <si>
    <t>MCLD-1103</t>
  </si>
  <si>
    <t>Obzervr</t>
  </si>
  <si>
    <t>https://www.obzervr.ai</t>
  </si>
  <si>
    <t>MCLD-1104</t>
  </si>
  <si>
    <t>nSphere</t>
  </si>
  <si>
    <t>https://www.nsphere.com</t>
  </si>
  <si>
    <t>MCLD-1105</t>
  </si>
  <si>
    <t>PanicMechanic</t>
  </si>
  <si>
    <t>https://www.panicmechanic.com</t>
  </si>
  <si>
    <t>Burlington, Vermont, United States</t>
  </si>
  <si>
    <t>MCLD-1106</t>
  </si>
  <si>
    <t>Ocean Sonics</t>
  </si>
  <si>
    <t>https://www.oceansonics.com</t>
  </si>
  <si>
    <t>Truro, Nova Scotia, Canada</t>
  </si>
  <si>
    <t>MCLD-1107</t>
  </si>
  <si>
    <t>Echoes</t>
  </si>
  <si>
    <t>https://www.echoes.ai</t>
  </si>
  <si>
    <t>MCLD-1108</t>
  </si>
  <si>
    <t>Aqilius AI</t>
  </si>
  <si>
    <t>https://www.aqilius.ai</t>
  </si>
  <si>
    <t>Doha, Ad Dawhah, Qatar</t>
  </si>
  <si>
    <t>MCLD-1109</t>
  </si>
  <si>
    <t>SpecTIR</t>
  </si>
  <si>
    <t>https://www.spectir.com</t>
  </si>
  <si>
    <t>Reno, Nevada, United States</t>
  </si>
  <si>
    <t>MCLD-1110</t>
  </si>
  <si>
    <t>Flydog Marine</t>
  </si>
  <si>
    <t>https://www.flydogmarine.com</t>
  </si>
  <si>
    <t>MCLD-1111</t>
  </si>
  <si>
    <t>Sprious</t>
  </si>
  <si>
    <t>https://www.sprious.com</t>
  </si>
  <si>
    <t>Lincoln, Nebraska, United States</t>
  </si>
  <si>
    <t>MCLD-1112</t>
  </si>
  <si>
    <t>Upper Quadrant</t>
  </si>
  <si>
    <t>https://www.upperquadrant.com</t>
  </si>
  <si>
    <t>Reston, Virginia, United States</t>
  </si>
  <si>
    <t>MCLD-1113</t>
  </si>
  <si>
    <t>FieldX</t>
  </si>
  <si>
    <t>https://www.fieldx.ai</t>
  </si>
  <si>
    <t>MCLD-1114</t>
  </si>
  <si>
    <t>UBIAI</t>
  </si>
  <si>
    <t>https://www.ubiai.tools</t>
  </si>
  <si>
    <t>Carlsbad, California, United States</t>
  </si>
  <si>
    <t>MCLD-1115</t>
  </si>
  <si>
    <t>Veracity Forensics</t>
  </si>
  <si>
    <t>https://www.veracityforensics.com</t>
  </si>
  <si>
    <t>MCLD-1116</t>
  </si>
  <si>
    <t>Fine Research</t>
  </si>
  <si>
    <t>https://www.fineresearch.com</t>
  </si>
  <si>
    <t>SÃ£o Paulo, Sao Paulo, Brazil</t>
  </si>
  <si>
    <t>MCLD-1117</t>
  </si>
  <si>
    <t>Data Wow</t>
  </si>
  <si>
    <t>https://www.datawow.io</t>
  </si>
  <si>
    <t>Bangkok, Krung Thep, Thailand</t>
  </si>
  <si>
    <t>MCLD-1118</t>
  </si>
  <si>
    <t>Morley Companies</t>
  </si>
  <si>
    <t>https://www.morleycompanies.com</t>
  </si>
  <si>
    <t>Saginaw, Michigan, United States</t>
  </si>
  <si>
    <t>MCLD-1119</t>
  </si>
  <si>
    <t>Mindify</t>
  </si>
  <si>
    <t>https://www.mindify.ai</t>
  </si>
  <si>
    <t>GoiÃ¢nia, Goias, Brazil</t>
  </si>
  <si>
    <t>MCLD-1120</t>
  </si>
  <si>
    <t>natific</t>
  </si>
  <si>
    <t>https://www.natific.com</t>
  </si>
  <si>
    <t>Aesch, Aargau, Switzerland</t>
  </si>
  <si>
    <t>MCLD-1121</t>
  </si>
  <si>
    <t>ScaleHub</t>
  </si>
  <si>
    <t>https://www.scalehub.ai</t>
  </si>
  <si>
    <t>Norderstedt, Schleswig-Holstein, Germany</t>
  </si>
  <si>
    <t>MCLD-1122</t>
  </si>
  <si>
    <t>Rapidata</t>
  </si>
  <si>
    <t>https://www.rapidata.com</t>
  </si>
  <si>
    <t>ZÃ¼rich, Zurich, Switzerland</t>
  </si>
  <si>
    <t>MCLD-1123</t>
  </si>
  <si>
    <t>FuseBase</t>
  </si>
  <si>
    <t>https://www.fusebase.com</t>
  </si>
  <si>
    <t>MCLD-1124</t>
  </si>
  <si>
    <t>MediMergent</t>
  </si>
  <si>
    <t>https://www.medimergent.com</t>
  </si>
  <si>
    <t>MCLD-1125</t>
  </si>
  <si>
    <t>zdSCADA</t>
  </si>
  <si>
    <t>https://www.zdscada.com</t>
  </si>
  <si>
    <t>Tyler, Texas, United States</t>
  </si>
  <si>
    <t>MCLD-1126</t>
  </si>
  <si>
    <t>Foretell Global</t>
  </si>
  <si>
    <t>https://www.foretellglobal.com</t>
  </si>
  <si>
    <t>MCLD-1127</t>
  </si>
  <si>
    <t>Luther Consulting, LLC</t>
  </si>
  <si>
    <t>https://www.lutherconsulting.com</t>
  </si>
  <si>
    <t>Carmel, Indiana, United States</t>
  </si>
  <si>
    <t>MCLD-1128</t>
  </si>
  <si>
    <t>AgTerra Technologies</t>
  </si>
  <si>
    <t>https://www.agterra.com</t>
  </si>
  <si>
    <t>MCLD-1129</t>
  </si>
  <si>
    <t>HI4AI</t>
  </si>
  <si>
    <t>https://www.hi4ai.com</t>
  </si>
  <si>
    <t>MCLD-1130</t>
  </si>
  <si>
    <t>McMillion Research</t>
  </si>
  <si>
    <t>https://www.mcmillionresearch.com</t>
  </si>
  <si>
    <t>Charleston, West Virginia, United States</t>
  </si>
  <si>
    <t>MCLD-1131</t>
  </si>
  <si>
    <t>Creare Sistemas</t>
  </si>
  <si>
    <t>https://www.creare.com.br</t>
  </si>
  <si>
    <t>Canoas, Rio Grande do Sul, Brazil</t>
  </si>
  <si>
    <t>MCLD-1132</t>
  </si>
  <si>
    <t>JOBHOPin</t>
  </si>
  <si>
    <t>https://www.jobhopin.com</t>
  </si>
  <si>
    <t>MCLD-1133</t>
  </si>
  <si>
    <t>Numbers Protocol</t>
  </si>
  <si>
    <t>https://www.numbersprotocol.io</t>
  </si>
  <si>
    <t>MCLD-1134</t>
  </si>
  <si>
    <t>Virasoft</t>
  </si>
  <si>
    <t>https://www.virasoft.com</t>
  </si>
  <si>
    <t>MCLD-1135</t>
  </si>
  <si>
    <t>ATS Traffic</t>
  </si>
  <si>
    <t>https://www.atstraffic.com</t>
  </si>
  <si>
    <t>MCLD-1136</t>
  </si>
  <si>
    <t>APS</t>
  </si>
  <si>
    <t>https://www.apsdata.com</t>
  </si>
  <si>
    <t>North Sydney, New South Wales, Australia</t>
  </si>
  <si>
    <t>MCLD-1137</t>
  </si>
  <si>
    <t>DataHen.com</t>
  </si>
  <si>
    <t>https://www.datahen.com</t>
  </si>
  <si>
    <t>MCLD-1138</t>
  </si>
  <si>
    <t>Portia International</t>
  </si>
  <si>
    <t>https://www.portiainternational.com</t>
  </si>
  <si>
    <t>Kanata, Ontario, Canada</t>
  </si>
  <si>
    <t>MCLD-1139</t>
  </si>
  <si>
    <t>R-Advertising</t>
  </si>
  <si>
    <t>https://www.r-advertising.com</t>
  </si>
  <si>
    <t>Mougins, Provence-Alpes-Cote d'Azur, France</t>
  </si>
  <si>
    <t>MCLD-1140</t>
  </si>
  <si>
    <t>DataFromSky</t>
  </si>
  <si>
    <t>https://www.datafromsky.com</t>
  </si>
  <si>
    <t>Brno, Jihomoravsky kraj, Czech Republic</t>
  </si>
  <si>
    <t>MCLD-1141</t>
  </si>
  <si>
    <t>Kestrel Technology Group</t>
  </si>
  <si>
    <t>https://www.kestreltechnology.com</t>
  </si>
  <si>
    <t>MCLD-1142</t>
  </si>
  <si>
    <t>Radley Corporation</t>
  </si>
  <si>
    <t>https://www.radley.com</t>
  </si>
  <si>
    <t>Southfield, Michigan, United States</t>
  </si>
  <si>
    <t>MCLD-1143</t>
  </si>
  <si>
    <t>AIO</t>
  </si>
  <si>
    <t>https://www.aio.com</t>
  </si>
  <si>
    <t>Calenzano, Toscana, Italy</t>
  </si>
  <si>
    <t>MCLD-1144</t>
  </si>
  <si>
    <t>aitronic</t>
  </si>
  <si>
    <t>https://www.aitronic.com</t>
  </si>
  <si>
    <t>Paderborn, Nordrhein-Westfalen, Germany</t>
  </si>
  <si>
    <t>MCLD-1145</t>
  </si>
  <si>
    <t>CaraFlow</t>
  </si>
  <si>
    <t>https://www.caraflow.ai</t>
  </si>
  <si>
    <t>MCLD-1146</t>
  </si>
  <si>
    <t>Lan Resources</t>
  </si>
  <si>
    <t>https://www.lanresources.com</t>
  </si>
  <si>
    <t>Saint Joseph, Missouri, United States</t>
  </si>
  <si>
    <t>MCLD-1147</t>
  </si>
  <si>
    <t>Apollo ID</t>
  </si>
  <si>
    <t>https://www.apolloid.com</t>
  </si>
  <si>
    <t>MCLD-1148</t>
  </si>
  <si>
    <t>Valyu</t>
  </si>
  <si>
    <t>https://www.valyu.ai</t>
  </si>
  <si>
    <t>MCLD-1149</t>
  </si>
  <si>
    <t>Veristar</t>
  </si>
  <si>
    <t>https://www.veristar.com</t>
  </si>
  <si>
    <t>Orland Park, Illinois, United States</t>
  </si>
  <si>
    <t>MCLD-1150</t>
  </si>
  <si>
    <t>INFOLKS</t>
  </si>
  <si>
    <t>https://www.infolks.com</t>
  </si>
  <si>
    <t>Mannarakkat, Kerala, India</t>
  </si>
  <si>
    <t>MCLD-1151</t>
  </si>
  <si>
    <t>Skysense</t>
  </si>
  <si>
    <t>https://www.skysense.ai</t>
  </si>
  <si>
    <t>Yokohama, Kanagawa, Japan</t>
  </si>
  <si>
    <t>MCLD-1152</t>
  </si>
  <si>
    <t>Novalytica</t>
  </si>
  <si>
    <t>https://www.novalytica.com</t>
  </si>
  <si>
    <t>Bern, Bern, Switzerland</t>
  </si>
  <si>
    <t>MCLD-1153</t>
  </si>
  <si>
    <t>Corteza.ai</t>
  </si>
  <si>
    <t>https://www.corteza.ai</t>
  </si>
  <si>
    <t>Puebla, Puebla, Mexico</t>
  </si>
  <si>
    <t>MCLD-1154</t>
  </si>
  <si>
    <t>Asema Electronics</t>
  </si>
  <si>
    <t>https://www.asema.com</t>
  </si>
  <si>
    <t>Espoo, Southern Finland, Finland</t>
  </si>
  <si>
    <t>MCLD-1155</t>
  </si>
  <si>
    <t>Bauer Controls</t>
  </si>
  <si>
    <t>https://www.bauercontrols.com</t>
  </si>
  <si>
    <t>Plymouth, Michigan, United States</t>
  </si>
  <si>
    <t>MCLD-1156</t>
  </si>
  <si>
    <t>3nStar</t>
  </si>
  <si>
    <t>https://www.3nstar.com</t>
  </si>
  <si>
    <t>Doral, Florida, United States</t>
  </si>
  <si>
    <t>MCLD-1157</t>
  </si>
  <si>
    <t>HealthConnex</t>
  </si>
  <si>
    <t>https://www.healthconnex.com</t>
  </si>
  <si>
    <t>MCLD-1158</t>
  </si>
  <si>
    <t>Glacier21</t>
  </si>
  <si>
    <t>https://www.glacier21.com</t>
  </si>
  <si>
    <t>MCLD-1159</t>
  </si>
  <si>
    <t>Caesar Sustainability</t>
  </si>
  <si>
    <t>https://www.caesarsustainability.com</t>
  </si>
  <si>
    <t>MCLD-1160</t>
  </si>
  <si>
    <t>Gago</t>
  </si>
  <si>
    <t>https://www.gago.io</t>
  </si>
  <si>
    <t>MCLD-1161</t>
  </si>
  <si>
    <t>AutoRoboto</t>
  </si>
  <si>
    <t>https://www.autoroboto.com</t>
  </si>
  <si>
    <t>MCLD-1162</t>
  </si>
  <si>
    <t>Appseco LLC</t>
  </si>
  <si>
    <t>https://www.appseco.com</t>
  </si>
  <si>
    <t>Lutz, Florida, United States</t>
  </si>
  <si>
    <t>MCLD-1163</t>
  </si>
  <si>
    <t>Prolific</t>
  </si>
  <si>
    <t>https://www.prolific.com</t>
  </si>
  <si>
    <t>Oxford, Oxfordshire, United Kingdom</t>
  </si>
  <si>
    <t>MCLD-1164</t>
  </si>
  <si>
    <t>Defined.ai</t>
  </si>
  <si>
    <t>https://www.defined.ai</t>
  </si>
  <si>
    <t>MCLD-1165</t>
  </si>
  <si>
    <t>Rabbitt AI</t>
  </si>
  <si>
    <t>https://www.rabbitt.ai</t>
  </si>
  <si>
    <t>MCLD-1166</t>
  </si>
  <si>
    <t>Intelliworx</t>
  </si>
  <si>
    <t>https://www.intelliworx.com</t>
  </si>
  <si>
    <t>Sterling, Virginia, United States</t>
  </si>
  <si>
    <t>MCLD-1167</t>
  </si>
  <si>
    <t>Microworkers</t>
  </si>
  <si>
    <t>https://www.microworkers.com</t>
  </si>
  <si>
    <t>MCLD-1168</t>
  </si>
  <si>
    <t>KoBoToolbox</t>
  </si>
  <si>
    <t>https://www.kobotoolbox.org</t>
  </si>
  <si>
    <t>MCLD-1169</t>
  </si>
  <si>
    <t>Rise Data Labs</t>
  </si>
  <si>
    <t>https://www.risedatalabs.com</t>
  </si>
  <si>
    <t>MCLD-1170</t>
  </si>
  <si>
    <t>Sierra Chart</t>
  </si>
  <si>
    <t>https://www.sierrachart.com</t>
  </si>
  <si>
    <t>Wellington, Wellington, New Zealand</t>
  </si>
  <si>
    <t>MCLD-1171</t>
  </si>
  <si>
    <t>Lightblocks</t>
  </si>
  <si>
    <t>https://www.lightblocks.com</t>
  </si>
  <si>
    <t>MCLD-1172</t>
  </si>
  <si>
    <t>NAYAN</t>
  </si>
  <si>
    <t>https://www.nayan.co</t>
  </si>
  <si>
    <t>MCLD-1173</t>
  </si>
  <si>
    <t>Flightwave Aerospace Systems</t>
  </si>
  <si>
    <t>https://www.flightwave.aero</t>
  </si>
  <si>
    <t>MCLD-1174</t>
  </si>
  <si>
    <t>Unitlab</t>
  </si>
  <si>
    <t>https://www.unitlab.ai</t>
  </si>
  <si>
    <t>MCLD-1175</t>
  </si>
  <si>
    <t>TouchStar Technologies supply data collection and mobile computing solutions.</t>
  </si>
  <si>
    <t>https://www.touchstar.com</t>
  </si>
  <si>
    <t>MCLD-1176</t>
  </si>
  <si>
    <t>Cvikota</t>
  </si>
  <si>
    <t>https://www.cvikota.com</t>
  </si>
  <si>
    <t>La Crosse, Wisconsin, United States</t>
  </si>
  <si>
    <t>MCLD-1177</t>
  </si>
  <si>
    <t>National Bureau of Statistics</t>
  </si>
  <si>
    <t>https://www.nbs.gov</t>
  </si>
  <si>
    <t>Abuja, Federal Capital Territory, Nigeria</t>
  </si>
  <si>
    <t>MCLD-1178</t>
  </si>
  <si>
    <t>Snapforms</t>
  </si>
  <si>
    <t>https://www.snapforms.com</t>
  </si>
  <si>
    <t>MCLD-1179</t>
  </si>
  <si>
    <t>Ofek Aerial Photography</t>
  </si>
  <si>
    <t>https://www.ofekaerial.com</t>
  </si>
  <si>
    <t>MCLD-1180</t>
  </si>
  <si>
    <t>Svastia Genetics</t>
  </si>
  <si>
    <t>https://www.svastia.com</t>
  </si>
  <si>
    <t>MCLD-1181</t>
  </si>
  <si>
    <t>DATAI</t>
  </si>
  <si>
    <t>https://www.datai.ai</t>
  </si>
  <si>
    <t>MCLD-1182</t>
  </si>
  <si>
    <t>Market Insight Corporation</t>
  </si>
  <si>
    <t>https://www.marketinsightcorp.com</t>
  </si>
  <si>
    <t>MCLD-1183</t>
  </si>
  <si>
    <t>Precise</t>
  </si>
  <si>
    <t>https://www.precise.com</t>
  </si>
  <si>
    <t>MCLD-1184</t>
  </si>
  <si>
    <t>MedTrak</t>
  </si>
  <si>
    <t>https://www.medtrak.com</t>
  </si>
  <si>
    <t>Conshohocken, Pennsylvania, United States</t>
  </si>
  <si>
    <t>MCLD-1185</t>
  </si>
  <si>
    <t>Labfront</t>
  </si>
  <si>
    <t>https://www.labfront.com</t>
  </si>
  <si>
    <t>MCLD-1186</t>
  </si>
  <si>
    <t>QuestionScout</t>
  </si>
  <si>
    <t>https://www.questionscout.com</t>
  </si>
  <si>
    <t>Ciechocinek, Kujawsko-Pomorskie, Poland</t>
  </si>
  <si>
    <t>MCLD-1187</t>
  </si>
  <si>
    <t>ET Grow</t>
  </si>
  <si>
    <t>https://www.etgrow.com</t>
  </si>
  <si>
    <t>Beamsville, Ontario, Canada</t>
  </si>
  <si>
    <t>MCLD-1188</t>
  </si>
  <si>
    <t>SunTec.AI</t>
  </si>
  <si>
    <t>https://www.suntec.ai</t>
  </si>
  <si>
    <t>Laguna Beach, California, United States</t>
  </si>
  <si>
    <t>MCLD-1189</t>
  </si>
  <si>
    <t>BetterTasks</t>
  </si>
  <si>
    <t>https://www.bettertasks.io</t>
  </si>
  <si>
    <t>Colombo, Western, Sri Lanka</t>
  </si>
  <si>
    <t>MCLD-1190</t>
  </si>
  <si>
    <t>Kadence International</t>
  </si>
  <si>
    <t>https://www.kadence.com</t>
  </si>
  <si>
    <t>MCLD-1191</t>
  </si>
  <si>
    <t>Eave Technologies</t>
  </si>
  <si>
    <t>https://www.eavetech.com</t>
  </si>
  <si>
    <t>MCLD-1192</t>
  </si>
  <si>
    <t>Jaxon.AI</t>
  </si>
  <si>
    <t>https://www.jaxon.ai</t>
  </si>
  <si>
    <t>MCLD-1193</t>
  </si>
  <si>
    <t>Soltrafego</t>
  </si>
  <si>
    <t>https://www.soltrafego.com</t>
  </si>
  <si>
    <t>Matosinhos, Porto, Portugal</t>
  </si>
  <si>
    <t>MCLD-1194</t>
  </si>
  <si>
    <t>LabelMe</t>
  </si>
  <si>
    <t>http://labelme.csail.mit.edu</t>
  </si>
  <si>
    <t>MCLD-1195</t>
  </si>
  <si>
    <t>Dats Why</t>
  </si>
  <si>
    <t>https://www.datswhy.com</t>
  </si>
  <si>
    <t>Polanco, Distrito Federal, Mexico</t>
  </si>
  <si>
    <t>MCLD-1196</t>
  </si>
  <si>
    <t>Three Palm Software</t>
  </si>
  <si>
    <t>https://www.threepalm.com</t>
  </si>
  <si>
    <t>Carmel By The Sea, California, United States</t>
  </si>
  <si>
    <t>MCLD-1197</t>
  </si>
  <si>
    <t>StrikeTru</t>
  </si>
  <si>
    <t>https://www.striketru.com</t>
  </si>
  <si>
    <t>MCLD-1198</t>
  </si>
  <si>
    <t>Doccaster</t>
  </si>
  <si>
    <t>https://www.doccaster.com</t>
  </si>
  <si>
    <t>MCLD-1199</t>
  </si>
  <si>
    <t>Research Results Inc.</t>
  </si>
  <si>
    <t>https://www.researchresults.com</t>
  </si>
  <si>
    <t>Fitchburg, Massachusetts, United States</t>
  </si>
  <si>
    <t>MCLD-1200</t>
  </si>
  <si>
    <t>voxapp</t>
  </si>
  <si>
    <t>https://www.voxapp.io</t>
  </si>
  <si>
    <t>MCLD-1201</t>
  </si>
  <si>
    <t>Trisk</t>
  </si>
  <si>
    <t>https://www.trisk.ai</t>
  </si>
  <si>
    <t>MCLD-1202</t>
  </si>
  <si>
    <t>Opinion Box</t>
  </si>
  <si>
    <t>https://www.opinionbox.com</t>
  </si>
  <si>
    <t>Belo Horizonte, Minas Gerais, Brazil</t>
  </si>
  <si>
    <t>MCLD-1203</t>
  </si>
  <si>
    <t>Zparse</t>
  </si>
  <si>
    <t>https://www.zparse.com</t>
  </si>
  <si>
    <t>Bordeaux, Aquitaine, France</t>
  </si>
  <si>
    <t>MCLD-1204</t>
  </si>
  <si>
    <t>Norstat Group</t>
  </si>
  <si>
    <t>https://www.norstatgroup.com</t>
  </si>
  <si>
    <t>MCLD-1205</t>
  </si>
  <si>
    <t>SocialScore</t>
  </si>
  <si>
    <t>https://www.socialscore.com</t>
  </si>
  <si>
    <t>MCLD-1206</t>
  </si>
  <si>
    <t>Touch GIS</t>
  </si>
  <si>
    <t>https://www.touchgis.com</t>
  </si>
  <si>
    <t>Provo, Utah, United States</t>
  </si>
  <si>
    <t>MCLD-1207</t>
  </si>
  <si>
    <t>Credamo</t>
  </si>
  <si>
    <t>https://www.credamo.com</t>
  </si>
  <si>
    <t>MCLD-1208</t>
  </si>
  <si>
    <t>Simplex</t>
  </si>
  <si>
    <t>https://www.simplex.com</t>
  </si>
  <si>
    <t>MCLD-1209</t>
  </si>
  <si>
    <t>CRG Global</t>
  </si>
  <si>
    <t>https://www.crgglobal.com</t>
  </si>
  <si>
    <t>Ormond Beach, Florida, United States</t>
  </si>
  <si>
    <t>MCLD-1210</t>
  </si>
  <si>
    <t>Mirats Insights</t>
  </si>
  <si>
    <t>https://www.miratsinsights.com</t>
  </si>
  <si>
    <t>MCLD-1211</t>
  </si>
  <si>
    <t>Bay Technical Associates</t>
  </si>
  <si>
    <t>https://www.baytechassoc.com</t>
  </si>
  <si>
    <t>Long Beach, Mississippi, United States</t>
  </si>
  <si>
    <t>MCLD-1212</t>
  </si>
  <si>
    <t>doForms, Inc.</t>
  </si>
  <si>
    <t>https://www.doforms.com</t>
  </si>
  <si>
    <t>Cranford, New Jersey, United States</t>
  </si>
  <si>
    <t>MCLD-1213</t>
  </si>
  <si>
    <t>Anaxee Digital Runners Private Limited</t>
  </si>
  <si>
    <t>https://www.anaxee.com</t>
  </si>
  <si>
    <t>MCLD-1214</t>
  </si>
  <si>
    <t>Research Connect</t>
  </si>
  <si>
    <t>https://www.researchconnect.com</t>
  </si>
  <si>
    <t>MCLD-1215</t>
  </si>
  <si>
    <t>Zerion</t>
  </si>
  <si>
    <t>https://www.zerion.io</t>
  </si>
  <si>
    <t>Herndon, Virginia, United States</t>
  </si>
  <si>
    <t>MCLD-1216</t>
  </si>
  <si>
    <t>Phyle Inventory Control Specialists</t>
  </si>
  <si>
    <t>https://www.phyle.com</t>
  </si>
  <si>
    <t>Holly, Michigan, United States</t>
  </si>
  <si>
    <t>MCLD-1217</t>
  </si>
  <si>
    <t>Medical-Note</t>
  </si>
  <si>
    <t>https://www.medical-note.com</t>
  </si>
  <si>
    <t>Pontedera, Toscana, Italy</t>
  </si>
  <si>
    <t>MCLD-1218</t>
  </si>
  <si>
    <t>Task360</t>
  </si>
  <si>
    <t>https://www.task360.com</t>
  </si>
  <si>
    <t>MCLD-1219</t>
  </si>
  <si>
    <t>Firetrol</t>
  </si>
  <si>
    <t>https://www.firetrol.net</t>
  </si>
  <si>
    <t>Apex, North Carolina, United States</t>
  </si>
  <si>
    <t>MCLD-1220</t>
  </si>
  <si>
    <t>Web scraping</t>
  </si>
  <si>
    <t>https://www.webscraping.com</t>
  </si>
  <si>
    <t>MCLD-1221</t>
  </si>
  <si>
    <t>ReconMR</t>
  </si>
  <si>
    <t>https://www.reconmr.com</t>
  </si>
  <si>
    <t>San Marcos, Texas, United States</t>
  </si>
  <si>
    <t>MCLD-1222</t>
  </si>
  <si>
    <t>Q-Metrx</t>
  </si>
  <si>
    <t>https://www.qmetrx.com</t>
  </si>
  <si>
    <t>MCLD-1223</t>
  </si>
  <si>
    <t>Scytec Consulting</t>
  </si>
  <si>
    <t>https://www.scytec.com</t>
  </si>
  <si>
    <t>Greenwood Village, Colorado, United States</t>
  </si>
  <si>
    <t>MCLD-1224</t>
  </si>
  <si>
    <t>IRIS R&amp;D Group Inc.</t>
  </si>
  <si>
    <t>https://www.irisrdgroup.com</t>
  </si>
  <si>
    <t>Burlington, Ontario, Canada</t>
  </si>
  <si>
    <t>MCLD-1225</t>
  </si>
  <si>
    <t>Factonium</t>
  </si>
  <si>
    <t>https://www.factonium.com</t>
  </si>
  <si>
    <t>MCLD-1226</t>
  </si>
  <si>
    <t>eScent</t>
  </si>
  <si>
    <t>https://www.escent.com</t>
  </si>
  <si>
    <t>MCLD-1227</t>
  </si>
  <si>
    <t>WeldQC</t>
  </si>
  <si>
    <t>https://www.weldqc.com</t>
  </si>
  <si>
    <t>Powell, Ohio, United States</t>
  </si>
  <si>
    <t>MCLD-1228</t>
  </si>
  <si>
    <t>IDS Research and Consultancy</t>
  </si>
  <si>
    <t>https://www.idsresearch.com</t>
  </si>
  <si>
    <t>Deira, Dubai, United Arab Emirates</t>
  </si>
  <si>
    <t>MCLD-1229</t>
  </si>
  <si>
    <t>All Global</t>
  </si>
  <si>
    <t>https://www.allglobal.com</t>
  </si>
  <si>
    <t>MCLD-1230</t>
  </si>
  <si>
    <t>North Valley Precision</t>
  </si>
  <si>
    <t>https://www.northvalleyprecision.com</t>
  </si>
  <si>
    <t>Oshkosh, Wisconsin, United States</t>
  </si>
  <si>
    <t>MCLD-1231</t>
  </si>
  <si>
    <t>Clevr</t>
  </si>
  <si>
    <t>https://www.clevr.ai</t>
  </si>
  <si>
    <t>Belleville, Ontario, Canada</t>
  </si>
  <si>
    <t>MCLD-1232</t>
  </si>
  <si>
    <t>Internet Research Bureau</t>
  </si>
  <si>
    <t>https://www.irbureau.com</t>
  </si>
  <si>
    <t>MCLD-1233</t>
  </si>
  <si>
    <t>Beemotion</t>
  </si>
  <si>
    <t>https://www.beemotion.ai</t>
  </si>
  <si>
    <t>Tours, Centre, France</t>
  </si>
  <si>
    <t>MCLD-1234</t>
  </si>
  <si>
    <t>Code Corporation</t>
  </si>
  <si>
    <t>https://www.codecorp.com</t>
  </si>
  <si>
    <t>MCLD-1235</t>
  </si>
  <si>
    <t>Precision Opinion</t>
  </si>
  <si>
    <t>https://www.precisionopinion.com</t>
  </si>
  <si>
    <t>MCLD-1236</t>
  </si>
  <si>
    <t>QSP Geographics</t>
  </si>
  <si>
    <t>https://www.qspgeo.com</t>
  </si>
  <si>
    <t>MCLD-1237</t>
  </si>
  <si>
    <t>Jibunu</t>
  </si>
  <si>
    <t>https://www.jibunu.com</t>
  </si>
  <si>
    <t>MCLD-1238</t>
  </si>
  <si>
    <t>Spatial Engineering</t>
  </si>
  <si>
    <t>https://www.spatialengineering.com</t>
  </si>
  <si>
    <t>Rincon, Georgia, United States</t>
  </si>
  <si>
    <t>MCLD-1239</t>
  </si>
  <si>
    <t>TableFLIX, Inc.</t>
  </si>
  <si>
    <t>https://www.tableflix.com</t>
  </si>
  <si>
    <t>MCLD-1240</t>
  </si>
  <si>
    <t>Siskon Automation</t>
  </si>
  <si>
    <t>https://www.siskonautomation.com</t>
  </si>
  <si>
    <t>Buca, Izmir, Turkey</t>
  </si>
  <si>
    <t>MCLD-1241</t>
  </si>
  <si>
    <t>Refresh Your Memory, Inc.</t>
  </si>
  <si>
    <t>https://www.ryminc.com</t>
  </si>
  <si>
    <t>Corvallis, Oregon, United States</t>
  </si>
  <si>
    <t>MCLD-1242</t>
  </si>
  <si>
    <t>Mktg, Inc</t>
  </si>
  <si>
    <t>https://www.mktg.com</t>
  </si>
  <si>
    <t>East Islip, New York, United States</t>
  </si>
  <si>
    <t>MCLD-1243</t>
  </si>
  <si>
    <t>oculai</t>
  </si>
  <si>
    <t>https://www.oculai.com</t>
  </si>
  <si>
    <t>MCLD-1244</t>
  </si>
  <si>
    <t>Lemon AI</t>
  </si>
  <si>
    <t>https://www.lemonai.com</t>
  </si>
  <si>
    <t>MCLD-1245</t>
  </si>
  <si>
    <t>TraxID</t>
  </si>
  <si>
    <t>https://www.traxid.com</t>
  </si>
  <si>
    <t>MCLD-1246</t>
  </si>
  <si>
    <t>SeaLandAire Technologies</t>
  </si>
  <si>
    <t>https://www.sealandaire.com</t>
  </si>
  <si>
    <t>Jackson, Michigan, United States</t>
  </si>
  <si>
    <t>MCLD-1247</t>
  </si>
  <si>
    <t>Galloway Research Service</t>
  </si>
  <si>
    <t>https://www.gallowayresearch.com</t>
  </si>
  <si>
    <t>MCLD-1248</t>
  </si>
  <si>
    <t>Timeco</t>
  </si>
  <si>
    <t>https://www.timeco.com</t>
  </si>
  <si>
    <t>Bradenton, Florida, United States</t>
  </si>
  <si>
    <t>MCLD-1249</t>
  </si>
  <si>
    <t>The HDF Group</t>
  </si>
  <si>
    <t>https://www.hdfgroup.org</t>
  </si>
  <si>
    <t>MCLD-1250</t>
  </si>
  <si>
    <t>Wearer Lab</t>
  </si>
  <si>
    <t>https://www.wearerlabs.com</t>
  </si>
  <si>
    <t>MCLD-1251</t>
  </si>
  <si>
    <t>Decision Point Research</t>
  </si>
  <si>
    <t>https://www.decisionpointresearch.com</t>
  </si>
  <si>
    <t>MCLD-1252</t>
  </si>
  <si>
    <t>Webankieta</t>
  </si>
  <si>
    <t>https://www.webankieta.pl</t>
  </si>
  <si>
    <t>Warszawa, Mazowieckie, Poland</t>
  </si>
  <si>
    <t>MCLD-1253</t>
  </si>
  <si>
    <t>Axonator Inc.</t>
  </si>
  <si>
    <t>https://www.axonator.com</t>
  </si>
  <si>
    <t>MCLD-1254</t>
  </si>
  <si>
    <t>Fabcom</t>
  </si>
  <si>
    <t>https://www.fabcom.com</t>
  </si>
  <si>
    <t>MCLD-1255</t>
  </si>
  <si>
    <t>Clarifai</t>
  </si>
  <si>
    <t>https://www.clarifai.com</t>
  </si>
  <si>
    <t>Fort Lee, New Jersey, United States</t>
  </si>
  <si>
    <t>MCLD-1256</t>
  </si>
  <si>
    <t>V7</t>
  </si>
  <si>
    <t>https://www.v7labs.com</t>
  </si>
  <si>
    <t>MCLD-1257</t>
  </si>
  <si>
    <t>Grathic</t>
  </si>
  <si>
    <t>https://www.grathic.com</t>
  </si>
  <si>
    <t>MCLD-1258</t>
  </si>
  <si>
    <t>Shamrock+</t>
  </si>
  <si>
    <t>https://www.shamrockplus.com</t>
  </si>
  <si>
    <t>Savannah, Georgia, United States</t>
  </si>
  <si>
    <t>MCLD-1259</t>
  </si>
  <si>
    <t>Kampo Brasil Research</t>
  </si>
  <si>
    <t>https://www.kampobrasil.com</t>
  </si>
  <si>
    <t>MCLD-1260</t>
  </si>
  <si>
    <t>Mindflow</t>
  </si>
  <si>
    <t>https://www.mindflow.ai</t>
  </si>
  <si>
    <t>Hangzhou, Zhejiang, China</t>
  </si>
  <si>
    <t>MCLD-1261</t>
  </si>
  <si>
    <t>Shop Floor Automations</t>
  </si>
  <si>
    <t>https://www.shopfloorautomations.com</t>
  </si>
  <si>
    <t>La Mesa, California, United States</t>
  </si>
  <si>
    <t>MCLD-1262</t>
  </si>
  <si>
    <t>Trust Music Distribution</t>
  </si>
  <si>
    <t>https://www.trustmusicdistribution.com</t>
  </si>
  <si>
    <t>MCLD-1263</t>
  </si>
  <si>
    <t>OpenEddi</t>
  </si>
  <si>
    <t>https://www.openeddi.com</t>
  </si>
  <si>
    <t>Lexington, Kentucky, United States</t>
  </si>
  <si>
    <t>MCLD-1264</t>
  </si>
  <si>
    <t>SXBlue</t>
  </si>
  <si>
    <t>https://www.sxblue.com</t>
  </si>
  <si>
    <t>Anjou, Quebec, Canada</t>
  </si>
  <si>
    <t>MCLD-1265</t>
  </si>
  <si>
    <t>Chainway</t>
  </si>
  <si>
    <t>https://www.chainway.net</t>
  </si>
  <si>
    <t>MCLD-1266</t>
  </si>
  <si>
    <t>Econz Wireless</t>
  </si>
  <si>
    <t>https://www.econz.com</t>
  </si>
  <si>
    <t>Tustin, California, United States</t>
  </si>
  <si>
    <t>MCLD-1267</t>
  </si>
  <si>
    <t>Adc Movil</t>
  </si>
  <si>
    <t>https://www.adcmovil.com</t>
  </si>
  <si>
    <t>San JosÃ©, San Jose, Costa Rica</t>
  </si>
  <si>
    <t>MCLD-1268</t>
  </si>
  <si>
    <t>Research Metrics</t>
  </si>
  <si>
    <t>https://www.researchmetrics.com</t>
  </si>
  <si>
    <t>Sylvania, Ohio, United States</t>
  </si>
  <si>
    <t>MCLD-1269</t>
  </si>
  <si>
    <t>Manufacturing Systems</t>
  </si>
  <si>
    <t>https://www.mfgsys.com</t>
  </si>
  <si>
    <t>Newmarket, Ontario, Canada</t>
  </si>
  <si>
    <t>MCLD-1270</t>
  </si>
  <si>
    <t>BData, Inc.</t>
  </si>
  <si>
    <t>https://www.bdata.com</t>
  </si>
  <si>
    <t>MCLD-1271</t>
  </si>
  <si>
    <t>Hedro Sistemas Inteligentes</t>
  </si>
  <si>
    <t>https://www.hedro.com.br</t>
  </si>
  <si>
    <t>Entre Rios De Minas, Minas Gerais, Brazil</t>
  </si>
  <si>
    <t>MCLD-1272</t>
  </si>
  <si>
    <t>Get Your Prospect</t>
  </si>
  <si>
    <t>https://www.getyourprospect.com</t>
  </si>
  <si>
    <t>Burhanpur, Madhya Pradesh, India</t>
  </si>
  <si>
    <t>MCLD-1273</t>
  </si>
  <si>
    <t>Affinity Global Solutions</t>
  </si>
  <si>
    <t>https://www.affinitygs.com</t>
  </si>
  <si>
    <t>Bismarck, North Dakota, United States</t>
  </si>
  <si>
    <t>MCLD-1274</t>
  </si>
  <si>
    <t>MCA LEADS</t>
  </si>
  <si>
    <t>https://www.mcaleads.com</t>
  </si>
  <si>
    <t>MCLD-1275</t>
  </si>
  <si>
    <t>Survey Analytics</t>
  </si>
  <si>
    <t>https://www.surveyanalytics.com</t>
  </si>
  <si>
    <t>MCLD-1276</t>
  </si>
  <si>
    <t>Wovu AI</t>
  </si>
  <si>
    <t>https://www.wovu.ai</t>
  </si>
  <si>
    <t>MCLD-1277</t>
  </si>
  <si>
    <t>CRS Data</t>
  </si>
  <si>
    <t>https://www.crsdata.com</t>
  </si>
  <si>
    <t>Knoxville, Tennessee, United States</t>
  </si>
  <si>
    <t>MCLD-1278</t>
  </si>
  <si>
    <t>Southern Traffic Services</t>
  </si>
  <si>
    <t>https://www.southerntrafficservices.com</t>
  </si>
  <si>
    <t>Gulf Breeze, Florida, United States</t>
  </si>
  <si>
    <t>MCLD-1279</t>
  </si>
  <si>
    <t>Zhuge</t>
  </si>
  <si>
    <t>https://www.zhuge.com</t>
  </si>
  <si>
    <t>MCLD-1280</t>
  </si>
  <si>
    <t>BlueMeta Technologies</t>
  </si>
  <si>
    <t>https://www.bluemeta.com</t>
  </si>
  <si>
    <t>MCLD-1281</t>
  </si>
  <si>
    <t>Korrel8</t>
  </si>
  <si>
    <t>https://www.korrel8.com</t>
  </si>
  <si>
    <t>MCLD-1282</t>
  </si>
  <si>
    <t>Amalthea</t>
  </si>
  <si>
    <t>https://www.amalthea-group.com</t>
  </si>
  <si>
    <t>MCLD-1283</t>
  </si>
  <si>
    <t>DataCan Services</t>
  </si>
  <si>
    <t>https://www.datacanservices.com</t>
  </si>
  <si>
    <t>Red Deer, Alberta, Canada</t>
  </si>
  <si>
    <t>MCLD-1284</t>
  </si>
  <si>
    <t>Mobula Labs</t>
  </si>
  <si>
    <t>https://www.mobulalabs.com</t>
  </si>
  <si>
    <t>MCLD-1285</t>
  </si>
  <si>
    <t>SteadySense</t>
  </si>
  <si>
    <t>https://www.steadysense.com</t>
  </si>
  <si>
    <t>Graz, Steiermark, Austria</t>
  </si>
  <si>
    <t>MCLD-1286</t>
  </si>
  <si>
    <t>Aya Data</t>
  </si>
  <si>
    <t>https://www.ayadata.ai</t>
  </si>
  <si>
    <t>MCLD-1287</t>
  </si>
  <si>
    <t>Array</t>
  </si>
  <si>
    <t>https://www.arraycorp.com</t>
  </si>
  <si>
    <t>Lewes, Delaware, United States</t>
  </si>
  <si>
    <t>MCLD-1288</t>
  </si>
  <si>
    <t>Xurveykshan</t>
  </si>
  <si>
    <t>https://www.xurveykshan.com</t>
  </si>
  <si>
    <t>MCLD-1289</t>
  </si>
  <si>
    <t>C23 Research</t>
  </si>
  <si>
    <t>https://www.c23research.com</t>
  </si>
  <si>
    <t>MCLD-1290</t>
  </si>
  <si>
    <t>Atimo Personeelstechniek</t>
  </si>
  <si>
    <t>https://www.atimo.nl</t>
  </si>
  <si>
    <t>MCLD-1291</t>
  </si>
  <si>
    <t>WriteResult</t>
  </si>
  <si>
    <t>https://www.writeresult.com</t>
  </si>
  <si>
    <t>MCLD-1292</t>
  </si>
  <si>
    <t>Syncora AI</t>
  </si>
  <si>
    <t>https://www.syncora.ai</t>
  </si>
  <si>
    <t>MCLD-1293</t>
  </si>
  <si>
    <t>Rosenthal Research</t>
  </si>
  <si>
    <t>https://www.rosenthalresearch.com</t>
  </si>
  <si>
    <t>MCLD-1294</t>
  </si>
  <si>
    <t>California Survey Research Services Inc</t>
  </si>
  <si>
    <t>https://www.californiasurveyresearch.com</t>
  </si>
  <si>
    <t>Northridge, California, United States</t>
  </si>
  <si>
    <t>MCLD-1295</t>
  </si>
  <si>
    <t>IceRobotics</t>
  </si>
  <si>
    <t>https://www.icerobotics.com</t>
  </si>
  <si>
    <t>South Queensferry, Edinburgh, City of, United Kingdom</t>
  </si>
  <si>
    <t>MCLD-1296</t>
  </si>
  <si>
    <t>Signal Engineering</t>
  </si>
  <si>
    <t>https://www.signalengineering.com</t>
  </si>
  <si>
    <t>MCLD-1297</t>
  </si>
  <si>
    <t>AMG Environmental</t>
  </si>
  <si>
    <t>https://www.amgenvironmental.com</t>
  </si>
  <si>
    <t>Concord, Ontario, Canada</t>
  </si>
  <si>
    <t>MCLD-1298</t>
  </si>
  <si>
    <t>leonardo. impact</t>
  </si>
  <si>
    <t>https://www.leonardoimpact.com</t>
  </si>
  <si>
    <t>Frankfurt, Hessen, Germany</t>
  </si>
  <si>
    <t>MCLD-1299</t>
  </si>
  <si>
    <t>CrowdAI</t>
  </si>
  <si>
    <t>https://www.crowdai.org</t>
  </si>
  <si>
    <t>MCLD-1300</t>
  </si>
  <si>
    <t>PiiGAB Process Information</t>
  </si>
  <si>
    <t>https://www.piigab.com</t>
  </si>
  <si>
    <t>MÃ¶lnlycke, Vastra Gotaland, Sweden</t>
  </si>
  <si>
    <t>MCLD-1301</t>
  </si>
  <si>
    <t>StartGuides</t>
  </si>
  <si>
    <t>https://www.startguides.com</t>
  </si>
  <si>
    <t>Alexandria, Virginia, United States</t>
  </si>
  <si>
    <t>MCLD-1302</t>
  </si>
  <si>
    <t>Diversified Technologies</t>
  </si>
  <si>
    <t>https://www.diversifiedtechnologies.com</t>
  </si>
  <si>
    <t>Victor, New York, United States</t>
  </si>
  <si>
    <t>MCLD-1303</t>
  </si>
  <si>
    <t>Halterix</t>
  </si>
  <si>
    <t>https://www.halterix.com</t>
  </si>
  <si>
    <t>MCLD-1304</t>
  </si>
  <si>
    <t>emsCharts</t>
  </si>
  <si>
    <t>https://www.emscharts.com</t>
  </si>
  <si>
    <t>MCLD-1305</t>
  </si>
  <si>
    <t>Fluentd</t>
  </si>
  <si>
    <t>https://www.fluentd.org</t>
  </si>
  <si>
    <t>MCLD-1306</t>
  </si>
  <si>
    <t>syniotec</t>
  </si>
  <si>
    <t>https://www.syniotec.com</t>
  </si>
  <si>
    <t>Bremen, Bremen, Germany</t>
  </si>
  <si>
    <t>MCLD-1307</t>
  </si>
  <si>
    <t>ROS Research</t>
  </si>
  <si>
    <t>https://www.rosresearch.com</t>
  </si>
  <si>
    <t>MCLD-1308</t>
  </si>
  <si>
    <t>Quest Sampling</t>
  </si>
  <si>
    <t>https://www.questsampling.com</t>
  </si>
  <si>
    <t>MCLD-1309</t>
  </si>
  <si>
    <t>https://www.scale.com</t>
  </si>
  <si>
    <t>MCLD-1310</t>
  </si>
  <si>
    <t>SNG Research</t>
  </si>
  <si>
    <t>https://www.sngresearch.com</t>
  </si>
  <si>
    <t>Rochester, Minnesota, United States</t>
  </si>
  <si>
    <t>MCLD-1311</t>
  </si>
  <si>
    <t>aba|tools</t>
  </si>
  <si>
    <t>https://www.abatools.com</t>
  </si>
  <si>
    <t>Spring, Texas, United States</t>
  </si>
  <si>
    <t>MCLD-1312</t>
  </si>
  <si>
    <t>Origo Group</t>
  </si>
  <si>
    <t>https://www.origogroup.com</t>
  </si>
  <si>
    <t>LinkÃ¶ping, Ostergotlands Lan, Sweden</t>
  </si>
  <si>
    <t>MCLD-1313</t>
  </si>
  <si>
    <t>Feeds</t>
  </si>
  <si>
    <t>https://www.feeds.ai</t>
  </si>
  <si>
    <t>MCLD-1314</t>
  </si>
  <si>
    <t>Argos Scientific</t>
  </si>
  <si>
    <t>https://www.argossci.com</t>
  </si>
  <si>
    <t>Camas, Washington, United States</t>
  </si>
  <si>
    <t>MCLD-1315</t>
  </si>
  <si>
    <t>Franklin Data Ventures Inc</t>
  </si>
  <si>
    <t>https://www.franklindataventures.com</t>
  </si>
  <si>
    <t>MCLD-1316</t>
  </si>
  <si>
    <t>TekWave Solutions</t>
  </si>
  <si>
    <t>https://www.tekwavesolutions.com</t>
  </si>
  <si>
    <t>Alpharetta, Georgia, United States</t>
  </si>
  <si>
    <t>MCLD-1317</t>
  </si>
  <si>
    <t>GreenBee</t>
  </si>
  <si>
    <t>https://www.greenbee.ai</t>
  </si>
  <si>
    <t>Legnano, Lombardia, Italy</t>
  </si>
  <si>
    <t>MCLD-1318</t>
  </si>
  <si>
    <t>Satra Group</t>
  </si>
  <si>
    <t>https://www.satra.com</t>
  </si>
  <si>
    <t>MCLD-1319</t>
  </si>
  <si>
    <t>Mindkosh AI</t>
  </si>
  <si>
    <t>https://www.mindkosh.ai</t>
  </si>
  <si>
    <t>MCLD-1320</t>
  </si>
  <si>
    <t>Madison Consulting Group</t>
  </si>
  <si>
    <t>https://www.madisonconsulting.com</t>
  </si>
  <si>
    <t>Madison, Georgia, United States</t>
  </si>
  <si>
    <t>MCLD-1321</t>
  </si>
  <si>
    <t>SATO Techno Lab Europe</t>
  </si>
  <si>
    <t>https://www.sato-europe.com</t>
  </si>
  <si>
    <t>Heidelberg, Baden-Wurttemberg, Germany</t>
  </si>
  <si>
    <t>MCLD-1322</t>
  </si>
  <si>
    <t>In Charge</t>
  </si>
  <si>
    <t>https://www.incharge.org</t>
  </si>
  <si>
    <t>Hamilton, Ontario, Canada</t>
  </si>
  <si>
    <t>MCLD-1323</t>
  </si>
  <si>
    <t>Advanced System Integration &amp; Control</t>
  </si>
  <si>
    <t>https://www.asicontrol.com</t>
  </si>
  <si>
    <t>Chester, Ohio, United States</t>
  </si>
  <si>
    <t>MCLD-1324</t>
  </si>
  <si>
    <t>AMR Advanced Market Research</t>
  </si>
  <si>
    <t>https://www.amrmarketresearch.com</t>
  </si>
  <si>
    <t>DÃ¼sseldorf, Nordrhein-Westfalen, Germany</t>
  </si>
  <si>
    <t>MCLD-1325</t>
  </si>
  <si>
    <t>The SMS Group</t>
  </si>
  <si>
    <t>https://www.sms-group.com</t>
  </si>
  <si>
    <t>Sidney, Ohio, United States</t>
  </si>
  <si>
    <t>MCLD-1326</t>
  </si>
  <si>
    <t>Waveform Intelligence</t>
  </si>
  <si>
    <t>https://www.waveformintelligence.com</t>
  </si>
  <si>
    <t>Pfafftown, North Carolina, United States</t>
  </si>
  <si>
    <t>MCLD-1327</t>
  </si>
  <si>
    <t>Globalme</t>
  </si>
  <si>
    <t>https://www.globalme.net</t>
  </si>
  <si>
    <t>MCLD-1328</t>
  </si>
  <si>
    <t>Mappa.ai</t>
  </si>
  <si>
    <t>https://www.mappa.ai</t>
  </si>
  <si>
    <t>MCLD-1329</t>
  </si>
  <si>
    <t>Storyline</t>
  </si>
  <si>
    <t>https://www.storyline.ai</t>
  </si>
  <si>
    <t>Malibu, California, United States</t>
  </si>
  <si>
    <t>MCLD-1330</t>
  </si>
  <si>
    <t>Zaam</t>
  </si>
  <si>
    <t>https://www.zaam.ai</t>
  </si>
  <si>
    <t>MCLD-1331</t>
  </si>
  <si>
    <t>PatchAi</t>
  </si>
  <si>
    <t>https://www.patchai.com</t>
  </si>
  <si>
    <t>Padova, Veneto, Italy</t>
  </si>
  <si>
    <t>MCLD-1332</t>
  </si>
  <si>
    <t>Ta-da</t>
  </si>
  <si>
    <t>https://www.ta-da.io</t>
  </si>
  <si>
    <t>Metz, Lorraine, France</t>
  </si>
  <si>
    <t>MCLD-1333</t>
  </si>
  <si>
    <t>RACO Industries</t>
  </si>
  <si>
    <t>https://www.racoindustries.com</t>
  </si>
  <si>
    <t>MCLD-1334</t>
  </si>
  <si>
    <t>Tanium</t>
  </si>
  <si>
    <t>https://www.tanium.com</t>
  </si>
  <si>
    <t>MCLD-1335</t>
  </si>
  <si>
    <t>Medsign International</t>
  </si>
  <si>
    <t>https://www.medsign.com</t>
  </si>
  <si>
    <t>West Palm Beach, Florida, United States</t>
  </si>
  <si>
    <t>MCLD-1336</t>
  </si>
  <si>
    <t>TrainingData.io</t>
  </si>
  <si>
    <t>https://www.trainingdata.io</t>
  </si>
  <si>
    <t>MCLD-1337</t>
  </si>
  <si>
    <t>RJ Rivera Associates</t>
  </si>
  <si>
    <t>https://www.rjrivera.com</t>
  </si>
  <si>
    <t>MCLD-1338</t>
  </si>
  <si>
    <t>Scraawl</t>
  </si>
  <si>
    <t>https://www.scraawl.com</t>
  </si>
  <si>
    <t>MCLD-1339</t>
  </si>
  <si>
    <t>Videx</t>
  </si>
  <si>
    <t>https://www.videx.com</t>
  </si>
  <si>
    <t>MCLD-1340</t>
  </si>
  <si>
    <t>Asura Technoliges ltd.</t>
  </si>
  <si>
    <t>https://www.asuratechnologies.com</t>
  </si>
  <si>
    <t>MCLD-1341</t>
  </si>
  <si>
    <t>SSL</t>
  </si>
  <si>
    <t>https://www.ssl.com</t>
  </si>
  <si>
    <t>Lancaster, Pennsylvania, United States</t>
  </si>
  <si>
    <t>MCLD-1342</t>
  </si>
  <si>
    <t>System13</t>
  </si>
  <si>
    <t>https://www.system13.com</t>
  </si>
  <si>
    <t>MCLD-1343</t>
  </si>
  <si>
    <t>Network Advertising Intiative</t>
  </si>
  <si>
    <t>https://www.networkadvertising.org</t>
  </si>
  <si>
    <t>MCLD-1344</t>
  </si>
  <si>
    <t>Brycenkorea</t>
  </si>
  <si>
    <t>https://www.brycen.co.kr</t>
  </si>
  <si>
    <t>Gunpo, Kyonggi-do, South Korea</t>
  </si>
  <si>
    <t>MCLD-1345</t>
  </si>
  <si>
    <t>NextOpt</t>
  </si>
  <si>
    <t>https://www.nextopt.com</t>
  </si>
  <si>
    <t>MCLD-1346</t>
  </si>
  <si>
    <t>Promark Research Corporation</t>
  </si>
  <si>
    <t>https://www.promarkresearch.com</t>
  </si>
  <si>
    <t>MCLD-1347</t>
  </si>
  <si>
    <t>Sensicore</t>
  </si>
  <si>
    <t>https://www.sensicore.com</t>
  </si>
  <si>
    <t>Ann Arbor, Michigan, United States</t>
  </si>
  <si>
    <t>MCLD-1348</t>
  </si>
  <si>
    <t>FanPower</t>
  </si>
  <si>
    <t>https://www.fanpower.ai</t>
  </si>
  <si>
    <t>MCLD-1349</t>
  </si>
  <si>
    <t>Laterite</t>
  </si>
  <si>
    <t>https://www.laterite.com</t>
  </si>
  <si>
    <t>Kigali, Butare, Rwanda</t>
  </si>
  <si>
    <t>MCLD-1350</t>
  </si>
  <si>
    <t>Houston Executive Consulting</t>
  </si>
  <si>
    <t>https://www.houstonexec.com</t>
  </si>
  <si>
    <t>Kampala, Kampala, Uganda</t>
  </si>
  <si>
    <t>MCLD-1351</t>
  </si>
  <si>
    <t>Dataforensics</t>
  </si>
  <si>
    <t>https://www.dataforensics.com</t>
  </si>
  <si>
    <t>MCLD-1352</t>
  </si>
  <si>
    <t>Directions in Research</t>
  </si>
  <si>
    <t>https://www.directionsinresearch.com</t>
  </si>
  <si>
    <t>MCLD-1353</t>
  </si>
  <si>
    <t>PIXORA</t>
  </si>
  <si>
    <t>https://www.pixora.ai</t>
  </si>
  <si>
    <t>Catania, Sicilia, Italy</t>
  </si>
  <si>
    <t>MCLD-1354</t>
  </si>
  <si>
    <t>Benthic</t>
  </si>
  <si>
    <t>https://www.benthic.com</t>
  </si>
  <si>
    <t>MCLD-1355</t>
  </si>
  <si>
    <t>American Infrastructure Group</t>
  </si>
  <si>
    <t>https://www.americainfrastructure.com</t>
  </si>
  <si>
    <t>MCLD-1356</t>
  </si>
  <si>
    <t>Fast Forward</t>
  </si>
  <si>
    <t>https://www.fastforward.ai</t>
  </si>
  <si>
    <t>Kearney, Nebraska, United States</t>
  </si>
  <si>
    <t>MCLD-1357</t>
  </si>
  <si>
    <t>MyC</t>
  </si>
  <si>
    <t>https://www.myc.ai</t>
  </si>
  <si>
    <t>Montreuil, Ile-de-France, France</t>
  </si>
  <si>
    <t>MCLD-1358</t>
  </si>
  <si>
    <t>Ecopaths</t>
  </si>
  <si>
    <t>https://www.ecopaths.org</t>
  </si>
  <si>
    <t>MCLD-1359</t>
  </si>
  <si>
    <t>ASA Analysis &amp; Communication</t>
  </si>
  <si>
    <t>https://www.asaresearch.com</t>
  </si>
  <si>
    <t>Marlboro, New York, United States</t>
  </si>
  <si>
    <t>MCLD-1360</t>
  </si>
  <si>
    <t>TeamHaven</t>
  </si>
  <si>
    <t>https://www.teamhaven.com</t>
  </si>
  <si>
    <t>Corsham, Wiltshire, United Kingdom</t>
  </si>
  <si>
    <t>MCLD-1361</t>
  </si>
  <si>
    <t>On The Spot Systems</t>
  </si>
  <si>
    <t>https://www.onthespotsystems.com</t>
  </si>
  <si>
    <t>MCLD-1362</t>
  </si>
  <si>
    <t>Digigraph.me</t>
  </si>
  <si>
    <t>https://www.digigraph.me</t>
  </si>
  <si>
    <t>Valley Village, California, United States</t>
  </si>
  <si>
    <t>MCLD-1363</t>
  </si>
  <si>
    <t>Peggy Malone &amp; Associates</t>
  </si>
  <si>
    <t>https://www.peggymalone.com</t>
  </si>
  <si>
    <t>Jacksonville, Florida, United States</t>
  </si>
  <si>
    <t>MCLD-1364</t>
  </si>
  <si>
    <t>Pervidi</t>
  </si>
  <si>
    <t>https://www.pervidi.com</t>
  </si>
  <si>
    <t>Markham, Ontario, Canada</t>
  </si>
  <si>
    <t>MCLD-1365</t>
  </si>
  <si>
    <t>PreAgri</t>
  </si>
  <si>
    <t>https://www.preagri.com</t>
  </si>
  <si>
    <t>MCLD-1366</t>
  </si>
  <si>
    <t>Synel Industries</t>
  </si>
  <si>
    <t>https://www.synel.com</t>
  </si>
  <si>
    <t>Wembley, Brent, United Kingdom</t>
  </si>
  <si>
    <t>MCLD-1367</t>
  </si>
  <si>
    <t>BCC Distribution</t>
  </si>
  <si>
    <t>https://www.bccdistribution.com</t>
  </si>
  <si>
    <t>Canton, Michigan, United States</t>
  </si>
  <si>
    <t>MCLD-1368</t>
  </si>
  <si>
    <t>Visionsoft</t>
  </si>
  <si>
    <t>https://www.visionsoft.com</t>
  </si>
  <si>
    <t>Leiria, Leiria, Portugal</t>
  </si>
  <si>
    <t>MCLD-1369</t>
  </si>
  <si>
    <t>GDCC</t>
  </si>
  <si>
    <t>https://www.gdcc.com</t>
  </si>
  <si>
    <t>MCLD-1370</t>
  </si>
  <si>
    <t>Kaiwang Data</t>
  </si>
  <si>
    <t>https://www.kaiwangdata.com</t>
  </si>
  <si>
    <t>MCLD-1371</t>
  </si>
  <si>
    <t>StatsHub</t>
  </si>
  <si>
    <t>https://www.statshub.com</t>
  </si>
  <si>
    <t>Timisoara, Timis, Romania</t>
  </si>
  <si>
    <t>MCLD-1372</t>
  </si>
  <si>
    <t>Utility Testing and Geographic Information Systems</t>
  </si>
  <si>
    <t>https://www.utgis.com</t>
  </si>
  <si>
    <t>Port St. Lucie, Florida, United States</t>
  </si>
  <si>
    <t>MCLD-1373</t>
  </si>
  <si>
    <t>MIMO Technologies</t>
  </si>
  <si>
    <t>https://www.mimotechnologies.com</t>
  </si>
  <si>
    <t>MCLD-1374</t>
  </si>
  <si>
    <t>Globlal Technology Solutions</t>
  </si>
  <si>
    <t>https://www.globaltechsolutions.com</t>
  </si>
  <si>
    <t>Alwar, Rajasthan, India</t>
  </si>
  <si>
    <t>MCLD-1375</t>
  </si>
  <si>
    <t>Darling Geomatics</t>
  </si>
  <si>
    <t>https://www.darlinggeomatics.com</t>
  </si>
  <si>
    <t>Tucson, Arizona, United States</t>
  </si>
  <si>
    <t>MCLD-1376</t>
  </si>
  <si>
    <t>DronaHQ</t>
  </si>
  <si>
    <t>https://www.dronahq.com</t>
  </si>
  <si>
    <t>MCLD-1377</t>
  </si>
  <si>
    <t>Phoneticall</t>
  </si>
  <si>
    <t>https://www.phoneticall.com</t>
  </si>
  <si>
    <t>MCLD-1378</t>
  </si>
  <si>
    <t>Aces Health</t>
  </si>
  <si>
    <t>https://www.aceshealth.com</t>
  </si>
  <si>
    <t>MCLD-1379</t>
  </si>
  <si>
    <t>Probe Research</t>
  </si>
  <si>
    <t>https://www.proberesearch.com</t>
  </si>
  <si>
    <t>MCLD-1380</t>
  </si>
  <si>
    <t>Automated Data Systems</t>
  </si>
  <si>
    <t>https://www.adsdata.com</t>
  </si>
  <si>
    <t>MCLD-1381</t>
  </si>
  <si>
    <t>Shepper</t>
  </si>
  <si>
    <t>https://www.shepper.com</t>
  </si>
  <si>
    <t>MCLD-1382</t>
  </si>
  <si>
    <t>Zebra</t>
  </si>
  <si>
    <t>https://www.zebra.com</t>
  </si>
  <si>
    <t>MCLD-1383</t>
  </si>
  <si>
    <t>Data V Tech</t>
  </si>
  <si>
    <t>https://www.datavtech.com</t>
  </si>
  <si>
    <t>MCLD-1384</t>
  </si>
  <si>
    <t>Hansa Research</t>
  </si>
  <si>
    <t>https://www.hansaresearch.com</t>
  </si>
  <si>
    <t>MCLD-1385</t>
  </si>
  <si>
    <t>DataQA</t>
  </si>
  <si>
    <t>https://www.dataqa.ai</t>
  </si>
  <si>
    <t>MCLD-1386</t>
  </si>
  <si>
    <t>appICE</t>
  </si>
  <si>
    <t>https://www.appice.io</t>
  </si>
  <si>
    <t>MCLD-1387</t>
  </si>
  <si>
    <t>Survox, Inc.</t>
  </si>
  <si>
    <t>https://www.survox.com</t>
  </si>
  <si>
    <t>MCLD-1388</t>
  </si>
  <si>
    <t>MRL Integrated Solutions</t>
  </si>
  <si>
    <t>https://www.mrlsolutions.com</t>
  </si>
  <si>
    <t>MCLD-1389</t>
  </si>
  <si>
    <t>Voss Scientific</t>
  </si>
  <si>
    <t>https://www.vossscientific.com</t>
  </si>
  <si>
    <t>Albuquerque, New Mexico, United States</t>
  </si>
  <si>
    <t>MCLD-1390</t>
  </si>
  <si>
    <t>HEOR</t>
  </si>
  <si>
    <t>https://www.heor.com</t>
  </si>
  <si>
    <t>Cardiff, Cardiff, United Kingdom</t>
  </si>
  <si>
    <t>MCLD-1391</t>
  </si>
  <si>
    <t>Mestec</t>
  </si>
  <si>
    <t>https://www.mestec.com</t>
  </si>
  <si>
    <t>Bracknell, Bracknell Forest, United Kingdom</t>
  </si>
  <si>
    <t>MCLD-1392</t>
  </si>
  <si>
    <t>Research Support Services</t>
  </si>
  <si>
    <t>https://www.researchsupport.com</t>
  </si>
  <si>
    <t>MCLD-1393</t>
  </si>
  <si>
    <t>YoueData</t>
  </si>
  <si>
    <t>https://www.youedata.com</t>
  </si>
  <si>
    <t>MCLD-1394</t>
  </si>
  <si>
    <t>Pythia Sports</t>
  </si>
  <si>
    <t>https://www.pythiasports.com</t>
  </si>
  <si>
    <t>MCLD-1395</t>
  </si>
  <si>
    <t>Branch Solutions</t>
  </si>
  <si>
    <t>https://www.branchsolutions.com</t>
  </si>
  <si>
    <t>Mukilteo, Washington, United States</t>
  </si>
  <si>
    <t>MCLD-1396</t>
  </si>
  <si>
    <t>OXON Epidemiology</t>
  </si>
  <si>
    <t>https://www.oxonepi.com</t>
  </si>
  <si>
    <t>MCLD-1397</t>
  </si>
  <si>
    <t>Navjoy</t>
  </si>
  <si>
    <t>https://www.navjoy.com</t>
  </si>
  <si>
    <t>MCLD-1398</t>
  </si>
  <si>
    <t>PapaProxy</t>
  </si>
  <si>
    <t>https://www.papaproxy.com</t>
  </si>
  <si>
    <t>Global</t>
  </si>
  <si>
    <t>MCLD-1399</t>
  </si>
  <si>
    <t>Optimal Monitoring</t>
  </si>
  <si>
    <t>https://www.optimalmonitoring.com</t>
  </si>
  <si>
    <t>High Wycombe, Buckinghamshire, United Kingdom</t>
  </si>
  <si>
    <t>MCLD-1400</t>
  </si>
  <si>
    <t>Inventive Software Solutions</t>
  </si>
  <si>
    <t>https://www.inventivesoftware.com</t>
  </si>
  <si>
    <t>Agra, Uttar Pradesh, India</t>
  </si>
  <si>
    <t>MCLD-1401</t>
  </si>
  <si>
    <t>Manoraz</t>
  </si>
  <si>
    <t>https://www.manoraz.com</t>
  </si>
  <si>
    <t>Holon, Tel Aviv, Israel</t>
  </si>
  <si>
    <t>MCLD-1402</t>
  </si>
  <si>
    <t>Deep Marketing</t>
  </si>
  <si>
    <t>https://www.deepmarketing.com</t>
  </si>
  <si>
    <t>France, Idaho, United States</t>
  </si>
  <si>
    <t>MCLD-1403</t>
  </si>
  <si>
    <t>BirdNest Services</t>
  </si>
  <si>
    <t>https://www.birdnestservices.com</t>
  </si>
  <si>
    <t>MCLD-1404</t>
  </si>
  <si>
    <t>PinPoint Research</t>
  </si>
  <si>
    <t>https://www.pinpointresearch.com</t>
  </si>
  <si>
    <t>MCLD-1405</t>
  </si>
  <si>
    <t>SHAFT APP</t>
  </si>
  <si>
    <t>https://www.shaftapp.com</t>
  </si>
  <si>
    <t>MCLD-1406</t>
  </si>
  <si>
    <t>Monostate</t>
  </si>
  <si>
    <t>https://www.monostate.com</t>
  </si>
  <si>
    <t>MCLD-1407</t>
  </si>
  <si>
    <t>Webtalk</t>
  </si>
  <si>
    <t>https://www.webtalk.co</t>
  </si>
  <si>
    <t>Saint Petersburg, Florida, United States</t>
  </si>
  <si>
    <t>MCLD-1408</t>
  </si>
  <si>
    <t>Beck Enterprises</t>
  </si>
  <si>
    <t>https://www.beckenterprises.com</t>
  </si>
  <si>
    <t>South Saint Paul, Minnesota, United States</t>
  </si>
  <si>
    <t>MCLD-1409</t>
  </si>
  <si>
    <t>Nerodata</t>
  </si>
  <si>
    <t>https://www.nerodata.com</t>
  </si>
  <si>
    <t>MCLD-1410</t>
  </si>
  <si>
    <t>Automaton AI</t>
  </si>
  <si>
    <t>https://www.automatonai.com</t>
  </si>
  <si>
    <t>MCLD-1411</t>
  </si>
  <si>
    <t>TKW Research Group</t>
  </si>
  <si>
    <t>https://www.tkwresearch.com</t>
  </si>
  <si>
    <t>Seaford, Victoria, Australia</t>
  </si>
  <si>
    <t>MCLD-1412</t>
  </si>
  <si>
    <t>Okapi</t>
  </si>
  <si>
    <t>https://www.okapi.ai</t>
  </si>
  <si>
    <t>MCLD-1413</t>
  </si>
  <si>
    <t>SuperAnnotate</t>
  </si>
  <si>
    <t>https://www.superannotate.com</t>
  </si>
  <si>
    <t>MCLD-1414</t>
  </si>
  <si>
    <t>EagleNXT</t>
  </si>
  <si>
    <t>https://www.eaglenxt.com</t>
  </si>
  <si>
    <t>Wichita, Kansas, United States</t>
  </si>
  <si>
    <t>MCLD-1415</t>
  </si>
  <si>
    <t>Funnel</t>
  </si>
  <si>
    <t>https://www.funnel.io</t>
  </si>
  <si>
    <t>MCLD-1416</t>
  </si>
  <si>
    <t>FormAssembly</t>
  </si>
  <si>
    <t>https://www.formassembly.com</t>
  </si>
  <si>
    <t>Bloomington, Indiana, United States</t>
  </si>
  <si>
    <t>MCLD-1417</t>
  </si>
  <si>
    <t>Labellerr</t>
  </si>
  <si>
    <t>https://www.labellerr.com</t>
  </si>
  <si>
    <t>MCLD-1418</t>
  </si>
  <si>
    <t>Jarvis - Jari Visibility</t>
  </si>
  <si>
    <t>https://www.jarvisvisibility.com</t>
  </si>
  <si>
    <t>MCLD-1419</t>
  </si>
  <si>
    <t>Crown Informatics</t>
  </si>
  <si>
    <t>https://www.crowninformatics.com</t>
  </si>
  <si>
    <t>Retford, Nottinghamshire, United Kingdom</t>
  </si>
  <si>
    <t>MCLD-1420</t>
  </si>
  <si>
    <t>Resonant Education</t>
  </si>
  <si>
    <t>https://www.resonanteducation.com</t>
  </si>
  <si>
    <t>Nashville, Tennessee, United States</t>
  </si>
  <si>
    <t>MCLD-1421</t>
  </si>
  <si>
    <t>Conservation Billing Services</t>
  </si>
  <si>
    <t>https://www.conservationbilling.com</t>
  </si>
  <si>
    <t>MCLD-1422</t>
  </si>
  <si>
    <t>RockMass Technologies</t>
  </si>
  <si>
    <t>https://www.rockmasstechnologies.com</t>
  </si>
  <si>
    <t>MCLD-1423</t>
  </si>
  <si>
    <t>Ango AI</t>
  </si>
  <si>
    <t>https://www.ango.ai</t>
  </si>
  <si>
    <t>MCLD-1424</t>
  </si>
  <si>
    <t>Technology Solutions</t>
  </si>
  <si>
    <t>https://www.technologysolutions.com</t>
  </si>
  <si>
    <t>MCLD-1425</t>
  </si>
  <si>
    <t>Pure Software</t>
  </si>
  <si>
    <t>https://www.puresoftware.com</t>
  </si>
  <si>
    <t>MCLD-1426</t>
  </si>
  <si>
    <t>Kevit Technologies</t>
  </si>
  <si>
    <t>https://www.kevit.io</t>
  </si>
  <si>
    <t>Rajkot, Gujarat, India</t>
  </si>
  <si>
    <t>MCLD-1427</t>
  </si>
  <si>
    <t>Parlando</t>
  </si>
  <si>
    <t>https://www.parlando.com</t>
  </si>
  <si>
    <t>Heeze, Noord-Brabant, The Netherlands</t>
  </si>
  <si>
    <t>MCLD-1428</t>
  </si>
  <si>
    <t>WIS International</t>
  </si>
  <si>
    <t>https://www.wisintl.com</t>
  </si>
  <si>
    <t>MCLD-1429</t>
  </si>
  <si>
    <t>Digital Digest</t>
  </si>
  <si>
    <t>https://www.digitaldigest.com</t>
  </si>
  <si>
    <t>MCLD-1430</t>
  </si>
  <si>
    <t>Banca ALBERTINI</t>
  </si>
  <si>
    <t>https://www.bancaalbertini.com</t>
  </si>
  <si>
    <t>MCLD-1431</t>
  </si>
  <si>
    <t>JoyDrone</t>
  </si>
  <si>
    <t>https://www.joydrone.com</t>
  </si>
  <si>
    <t>Daegu, Taegu-jikhalsi, South Korea</t>
  </si>
  <si>
    <t>MCLD-1432</t>
  </si>
  <si>
    <t>Dexer</t>
  </si>
  <si>
    <t>https://www.dexer.com</t>
  </si>
  <si>
    <t>Kansas City, Missouri, United States</t>
  </si>
  <si>
    <t>MCLD-1433</t>
  </si>
  <si>
    <t>Samhub.io</t>
  </si>
  <si>
    <t>https://www.samhub.io</t>
  </si>
  <si>
    <t>GÃ¶teborg, Vastra Gotaland, Sweden</t>
  </si>
  <si>
    <t>MCLD-1434</t>
  </si>
  <si>
    <t>databix</t>
  </si>
  <si>
    <t>https://www.databix.com</t>
  </si>
  <si>
    <t>AltstÃ¤tten, Sankt Gallen, Switzerland</t>
  </si>
  <si>
    <t>MCLD-1435</t>
  </si>
  <si>
    <t>Panteia</t>
  </si>
  <si>
    <t>https://www.panteia.com</t>
  </si>
  <si>
    <t>Zoetermeer, Zuid-Holland, The Netherlands</t>
  </si>
  <si>
    <t>MCLD-1436</t>
  </si>
  <si>
    <t>Imaging Automation</t>
  </si>
  <si>
    <t>https://www.imagingautomation.com</t>
  </si>
  <si>
    <t>Bedford, Massachusetts, United States</t>
  </si>
  <si>
    <t>MCLD-1437</t>
  </si>
  <si>
    <t>Sprint19</t>
  </si>
  <si>
    <t>https://www.sprint19.com</t>
  </si>
  <si>
    <t>MCLD-1438</t>
  </si>
  <si>
    <t>FundConnect</t>
  </si>
  <si>
    <t>https://www.fundconnect.com</t>
  </si>
  <si>
    <t>MCLD-1439</t>
  </si>
  <si>
    <t>isahit</t>
  </si>
  <si>
    <t>https://www.isahit.com</t>
  </si>
  <si>
    <t>MCLD-1440</t>
  </si>
  <si>
    <t>B Gaming</t>
  </si>
  <si>
    <t>https://www.bgaming.com</t>
  </si>
  <si>
    <t>MCLD-1441</t>
  </si>
  <si>
    <t>C-Teq Data Consultants</t>
  </si>
  <si>
    <t>https://www.cteq.com</t>
  </si>
  <si>
    <t>MCLD-1442</t>
  </si>
  <si>
    <t>Datamaker</t>
  </si>
  <si>
    <t>https://www.datamaker.com</t>
  </si>
  <si>
    <t>Daejeon, Taejon-jikhalsi, South Korea</t>
  </si>
  <si>
    <t>MCLD-1443</t>
  </si>
  <si>
    <t>Saudigitus</t>
  </si>
  <si>
    <t>https://www.saudigitus.com</t>
  </si>
  <si>
    <t>Maputo, Maputo, Mozambique</t>
  </si>
  <si>
    <t>MCLD-1444</t>
  </si>
  <si>
    <t>DomainCrawler</t>
  </si>
  <si>
    <t>https://www.domaincrawler.com</t>
  </si>
  <si>
    <t>MCLD-1445</t>
  </si>
  <si>
    <t>TriLynx Systems</t>
  </si>
  <si>
    <t>https://www.trilynx.com</t>
  </si>
  <si>
    <t>Fort Collins, Colorado, United States</t>
  </si>
  <si>
    <t>MCLD-1446</t>
  </si>
  <si>
    <t>CTS Engineering</t>
  </si>
  <si>
    <t>https://www.ctseng.com</t>
  </si>
  <si>
    <t>MCLD-1447</t>
  </si>
  <si>
    <t>Doxa</t>
  </si>
  <si>
    <t>https://www.doxa.com</t>
  </si>
  <si>
    <t>MCLD-1448</t>
  </si>
  <si>
    <t>Precision Research</t>
  </si>
  <si>
    <t>https://www.precisionresearch.com</t>
  </si>
  <si>
    <t>Des Plaines, Illinois, United States</t>
  </si>
  <si>
    <t>MCLD-1449</t>
  </si>
  <si>
    <t>Survey Pacific</t>
  </si>
  <si>
    <t>https://www.surveypacific.com</t>
  </si>
  <si>
    <t>Ahmedabad, Gujarat, India</t>
  </si>
  <si>
    <t>MCLD-1450</t>
  </si>
  <si>
    <t>KOTWEL</t>
  </si>
  <si>
    <t>https://www.kotwel.com</t>
  </si>
  <si>
    <t>MCLD-1451</t>
  </si>
  <si>
    <t>Limbit</t>
  </si>
  <si>
    <t>https://www.limbit.com</t>
  </si>
  <si>
    <t>Andorra La Vella, Andorra la Vella, Andorra</t>
  </si>
  <si>
    <t>MCLD-1452</t>
  </si>
  <si>
    <t>Datacorp Traffic</t>
  </si>
  <si>
    <t>https://www.datacorptraffic.com</t>
  </si>
  <si>
    <t>MCLD-1453</t>
  </si>
  <si>
    <t>All Traffic Data</t>
  </si>
  <si>
    <t>https://www.alltrafficdata.com</t>
  </si>
  <si>
    <t>Wheat Ridge, Colorado, United States</t>
  </si>
  <si>
    <t>MCLD-1454</t>
  </si>
  <si>
    <t>CyTech Services</t>
  </si>
  <si>
    <t>https://www.cytechservices.com</t>
  </si>
  <si>
    <t>Bigfork, Montana, United States</t>
  </si>
  <si>
    <t>MCLD-1455</t>
  </si>
  <si>
    <t>Morrow Consulting</t>
  </si>
  <si>
    <t>https://www.morrowconsulting.com</t>
  </si>
  <si>
    <t>Hayden, Idaho, United States</t>
  </si>
  <si>
    <t>MCLD-1456</t>
  </si>
  <si>
    <t>W. H. Leary Ltd</t>
  </si>
  <si>
    <t>https://www.whleary.com</t>
  </si>
  <si>
    <t>Tinley Park, Illinois, United States</t>
  </si>
  <si>
    <t>MCLD-1457</t>
  </si>
  <si>
    <t>Nexus Solutions</t>
  </si>
  <si>
    <t>https://www.nexussolutions.com</t>
  </si>
  <si>
    <t>London, Ontario, Canada</t>
  </si>
  <si>
    <t>MCLD-1458</t>
  </si>
  <si>
    <t>Network Research Field Services</t>
  </si>
  <si>
    <t>https://www.nrfs.com</t>
  </si>
  <si>
    <t>Pickering, Ontario, Canada</t>
  </si>
  <si>
    <t>MCLD-1459</t>
  </si>
  <si>
    <t>Rocket Enterprise Solutions</t>
  </si>
  <si>
    <t>https://www.rocketenterprisesolutions.com</t>
  </si>
  <si>
    <t>MCLD-1460</t>
  </si>
  <si>
    <t>Alpine Ocean</t>
  </si>
  <si>
    <t>https://www.alpineocean.com</t>
  </si>
  <si>
    <t>Norwood, New Jersey, United States</t>
  </si>
  <si>
    <t>MCLD-1461</t>
  </si>
  <si>
    <t>Alchemer</t>
  </si>
  <si>
    <t>https://www.alchemer.com</t>
  </si>
  <si>
    <t>MCLD-1462</t>
  </si>
  <si>
    <t>Socket Mobile</t>
  </si>
  <si>
    <t>https://www.socketmobile.com</t>
  </si>
  <si>
    <t>Newark, California, United States</t>
  </si>
  <si>
    <t>MCLD-1463</t>
  </si>
  <si>
    <t>Mohr &amp; Stade</t>
  </si>
  <si>
    <t>https://www.mohrstade.com</t>
  </si>
  <si>
    <t>MÃ¼nchen, Bayern, Germany</t>
  </si>
  <si>
    <t>MCLD-1464</t>
  </si>
  <si>
    <t>Elastic Personas</t>
  </si>
  <si>
    <t>https://www.elasticpersonas.com</t>
  </si>
  <si>
    <t>MCLD-1465</t>
  </si>
  <si>
    <t>iViu Technologies</t>
  </si>
  <si>
    <t>https://www.iviu.com</t>
  </si>
  <si>
    <t>MCLD-1466</t>
  </si>
  <si>
    <t>Aurora Market Research</t>
  </si>
  <si>
    <t>https://www.auroramr.com</t>
  </si>
  <si>
    <t>Teddington, Gloucestershire, United Kingdom</t>
  </si>
  <si>
    <t>MCLD-1467</t>
  </si>
  <si>
    <t>Vistalogic</t>
  </si>
  <si>
    <t>https://www.vistalogic.com</t>
  </si>
  <si>
    <t>MCLD-1468</t>
  </si>
  <si>
    <t>SQL Power Group</t>
  </si>
  <si>
    <t>https://www.sqlpowergroup.com</t>
  </si>
  <si>
    <t>MCLD-1469</t>
  </si>
  <si>
    <t>Bryles research</t>
  </si>
  <si>
    <t>https://www.brylesresearch.com</t>
  </si>
  <si>
    <t>MCLD-1470</t>
  </si>
  <si>
    <t>Net solving</t>
  </si>
  <si>
    <t>https://www.netsolving.com</t>
  </si>
  <si>
    <t>Croydon, Croydon, United Kingdom</t>
  </si>
  <si>
    <t>MCLD-1471</t>
  </si>
  <si>
    <t>T&amp;D</t>
  </si>
  <si>
    <t>https://www.tdworld.com</t>
  </si>
  <si>
    <t>Saratoga Springs, Utah, United States</t>
  </si>
  <si>
    <t>MCLD-1472</t>
  </si>
  <si>
    <t>Taurus</t>
  </si>
  <si>
    <t>https://www.taurus.ai</t>
  </si>
  <si>
    <t>Waldaschaff, Bayern, Germany</t>
  </si>
  <si>
    <t>MCLD-1473</t>
  </si>
  <si>
    <t>Qualifio</t>
  </si>
  <si>
    <t>https://www.qualifio.com</t>
  </si>
  <si>
    <t>Louvain-la-neuve, Vlaams-Brabant, Belgium</t>
  </si>
  <si>
    <t>MCLD-1474</t>
  </si>
  <si>
    <t>Facts and Figures</t>
  </si>
  <si>
    <t>https://www.factsandfigures.com</t>
  </si>
  <si>
    <t>Sherman Oaks, California, United States</t>
  </si>
  <si>
    <t>MCLD-1475</t>
  </si>
  <si>
    <t>Process Technologies Group Inc</t>
  </si>
  <si>
    <t>https://www.ptg.com</t>
  </si>
  <si>
    <t>Warrenville, Illinois, United States</t>
  </si>
  <si>
    <t>MCLD-1476</t>
  </si>
  <si>
    <t>QUADRAS</t>
  </si>
  <si>
    <t>https://www.quadras.com</t>
  </si>
  <si>
    <t>MCLD-1477</t>
  </si>
  <si>
    <t>BloxTech Group</t>
  </si>
  <si>
    <t>https://www.bloxtechgroup.com</t>
  </si>
  <si>
    <t>MCLD-1478</t>
  </si>
  <si>
    <t>Braun Research</t>
  </si>
  <si>
    <t>https://www.braunresearch.com</t>
  </si>
  <si>
    <t>MCLD-1479</t>
  </si>
  <si>
    <t>Altametris</t>
  </si>
  <si>
    <t>https://www.altametris.com</t>
  </si>
  <si>
    <t>La Plaine-saint-denis, Ile-de-France, France</t>
  </si>
  <si>
    <t>MCLD-1480</t>
  </si>
  <si>
    <t>Mindseye Research Group</t>
  </si>
  <si>
    <t>https://www.mindseyeresearch.com</t>
  </si>
  <si>
    <t>Wheaton, Illinois, United States</t>
  </si>
  <si>
    <t>MCLD-1481</t>
  </si>
  <si>
    <t>Telegence Corporation</t>
  </si>
  <si>
    <t>https://www.telegence.com</t>
  </si>
  <si>
    <t>Evesham, Worcestershire, United Kingdom</t>
  </si>
  <si>
    <t>MCLD-1482</t>
  </si>
  <si>
    <t>Department of Veterans Affairs, VHA/EES</t>
  </si>
  <si>
    <t>https://www.va.gov</t>
  </si>
  <si>
    <t>MCLD-1483</t>
  </si>
  <si>
    <t>Designmate India Pvt Ltd</t>
  </si>
  <si>
    <t>https://www.designmateindia.com</t>
  </si>
  <si>
    <t>MCLD-1484</t>
  </si>
  <si>
    <t>dialogEDU</t>
  </si>
  <si>
    <t>https://www.dialogedu.com</t>
  </si>
  <si>
    <t>MCLD-1485</t>
  </si>
  <si>
    <t>Diensten Tech Limited (Formerly JKT)</t>
  </si>
  <si>
    <t>https://www.dienstentech.com</t>
  </si>
  <si>
    <t>MCLD-1486</t>
  </si>
  <si>
    <t>Digiaccel Learning</t>
  </si>
  <si>
    <t>https://www.digiaccel.in</t>
  </si>
  <si>
    <t>MCLD-1487</t>
  </si>
  <si>
    <t>Digibook Technologies Pvt. Ltd</t>
  </si>
  <si>
    <t>https://www.digibooktech.com</t>
  </si>
  <si>
    <t>MCLD-1488</t>
  </si>
  <si>
    <t>Digital Book Stores Pvt. Ltd</t>
  </si>
  <si>
    <t>https://www.digitalbookstores.com</t>
  </si>
  <si>
    <t>MCLD-1489</t>
  </si>
  <si>
    <t>Digital Data Design (D^3) Institute at Harvard</t>
  </si>
  <si>
    <t>https://d3.harvard.edu</t>
  </si>
  <si>
    <t>MCLD-1490</t>
  </si>
  <si>
    <t>Digital Inquiry Group</t>
  </si>
  <si>
    <t>https://www.digireading.org</t>
  </si>
  <si>
    <t>MCLD-1491</t>
  </si>
  <si>
    <t>Digital Labs</t>
  </si>
  <si>
    <t>https://digitallabs.in</t>
  </si>
  <si>
    <t>MCLD-1492</t>
  </si>
  <si>
    <t>Digital Smart India Services Pvt. Ltd.</t>
  </si>
  <si>
    <t>https://www.digitalsmartindia.com</t>
  </si>
  <si>
    <t>MCLD-1493</t>
  </si>
  <si>
    <t>Director at Sushees Group of Companies</t>
  </si>
  <si>
    <t>https://www.sushees.com</t>
  </si>
  <si>
    <t>MCLD-1494</t>
  </si>
  <si>
    <t>Discover Melody</t>
  </si>
  <si>
    <t>https://www.discovermelody.com</t>
  </si>
  <si>
    <t>MCLD-1495</t>
  </si>
  <si>
    <t>Discovery Education</t>
  </si>
  <si>
    <t>https://www.discoveryeducation.com</t>
  </si>
  <si>
    <t>MCLD-1496</t>
  </si>
  <si>
    <t>Dorado Learning LLC</t>
  </si>
  <si>
    <t>https://www.doradolearning.com</t>
  </si>
  <si>
    <t>MCLD-1497</t>
  </si>
  <si>
    <t>DORADOART</t>
  </si>
  <si>
    <t>https://www.doradoart.com</t>
  </si>
  <si>
    <t>MCLD-1498</t>
  </si>
  <si>
    <t>DPS International, Gurgaon</t>
  </si>
  <si>
    <t>https://www.dpsiedge.edu.in</t>
  </si>
  <si>
    <t>MCLD-1499</t>
  </si>
  <si>
    <t>Dr. D.Y. Patil Biotechnology &amp; Bioinformatics Institute</t>
  </si>
  <si>
    <t>https://biotech.dypatil.edu</t>
  </si>
  <si>
    <t>MCLD-1500</t>
  </si>
  <si>
    <t>DreamBox Learning, acquired by Discovery Education</t>
  </si>
  <si>
    <t>https://www.dreambox.com</t>
  </si>
  <si>
    <t>MCLD-1501</t>
  </si>
  <si>
    <t>Droomplanet</t>
  </si>
  <si>
    <t>https://www.droomplanet.com</t>
  </si>
  <si>
    <t>MCLD-1502</t>
  </si>
  <si>
    <t>Dropout Recovery Group</t>
  </si>
  <si>
    <t>https://www.dropoutrecoverygroup.com</t>
  </si>
  <si>
    <t>MCLD-1503</t>
  </si>
  <si>
    <t>DYA Learning</t>
  </si>
  <si>
    <t>https://www.dyalearning.com</t>
  </si>
  <si>
    <t>MCLD-1504</t>
  </si>
  <si>
    <t>Dynamic Computer Education</t>
  </si>
  <si>
    <t>https://www.dynamiccomputereducation.com</t>
  </si>
  <si>
    <t>MCLD-1505</t>
  </si>
  <si>
    <t>Dynamic Digital Solutions</t>
  </si>
  <si>
    <t>https://www.dynamicdigitalsolutions.com</t>
  </si>
  <si>
    <t>MCLD-1506</t>
  </si>
  <si>
    <t>Dynamic Pixel Multimedia Solutions</t>
  </si>
  <si>
    <t>https://www.dynamicpixel.co.in</t>
  </si>
  <si>
    <t>MCLD-1507</t>
  </si>
  <si>
    <t>E Leading Solution</t>
  </si>
  <si>
    <t>https://www.eleadingsolution.com</t>
  </si>
  <si>
    <t>MCLD-1508</t>
  </si>
  <si>
    <t>e-Careers Limited</t>
  </si>
  <si>
    <t>https://www.e-careers.com</t>
  </si>
  <si>
    <t>MCLD-1509</t>
  </si>
  <si>
    <t>E-DAC</t>
  </si>
  <si>
    <t>https://www.edac.co.in</t>
  </si>
  <si>
    <t>MCLD-1510</t>
  </si>
  <si>
    <t>E-Guru Technologies LLC</t>
  </si>
  <si>
    <t>https://www.egurutech.com</t>
  </si>
  <si>
    <t>MCLD-1511</t>
  </si>
  <si>
    <t>E-Learning Center</t>
  </si>
  <si>
    <t>https://www.elearningcenter.com</t>
  </si>
  <si>
    <t>MCLD-1512</t>
  </si>
  <si>
    <t>E-Learning Consulting</t>
  </si>
  <si>
    <t>MCLD-1513</t>
  </si>
  <si>
    <t>E-Learning Start Up</t>
  </si>
  <si>
    <t>MCLD-1514</t>
  </si>
  <si>
    <t>E-SilverLinings</t>
  </si>
  <si>
    <t>https://www.esilverlinings.com</t>
  </si>
  <si>
    <t>MCLD-1515</t>
  </si>
  <si>
    <t>E-Therapy</t>
  </si>
  <si>
    <t>https://www.e-therapy.com</t>
  </si>
  <si>
    <t>MCLD-1516</t>
  </si>
  <si>
    <t>EAM Masters, LLC</t>
  </si>
  <si>
    <t>https://www.eammasters.com</t>
  </si>
  <si>
    <t>MCLD-1517</t>
  </si>
  <si>
    <t>Eanes Education Foundation</t>
  </si>
  <si>
    <t>https://www.eanesisd.net</t>
  </si>
  <si>
    <t>MCLD-1518</t>
  </si>
  <si>
    <t>Eazily - Learn with a Smile</t>
  </si>
  <si>
    <t>https://www.eazily.com</t>
  </si>
  <si>
    <t>MCLD-1519</t>
  </si>
  <si>
    <t>Ebix Smartclass</t>
  </si>
  <si>
    <t>https://www.ebixsmartclass.com</t>
  </si>
  <si>
    <t>MCLD-1520</t>
  </si>
  <si>
    <t>Eco-Vision IAS</t>
  </si>
  <si>
    <t>https://www.ecovisionias.com</t>
  </si>
  <si>
    <t>MCLD-1521</t>
  </si>
  <si>
    <t>eCornell</t>
  </si>
  <si>
    <t>https://ecornell.cornell.edu</t>
  </si>
  <si>
    <t>MCLD-1522</t>
  </si>
  <si>
    <t>Edapt Pvt Ltd</t>
  </si>
  <si>
    <t>https://www.edaptlearning.com</t>
  </si>
  <si>
    <t>MCLD-1523</t>
  </si>
  <si>
    <t>Edge Technosoft Pvt. Ltd</t>
  </si>
  <si>
    <t>https://www.edgetechnosoft.com</t>
  </si>
  <si>
    <t>MCLD-1524</t>
  </si>
  <si>
    <t>Edgenuity Inc. (now Imagine Learning)</t>
  </si>
  <si>
    <t>https://www.imaginelearning.com</t>
  </si>
  <si>
    <t>MCLD-1525</t>
  </si>
  <si>
    <t>Edmentum (formerly Apex Learning)</t>
  </si>
  <si>
    <t>https://www.edmentum.com</t>
  </si>
  <si>
    <t>MCLD-1526</t>
  </si>
  <si>
    <t>Edovate Learning Corp.</t>
  </si>
  <si>
    <t>https://www.edovatelearning.com</t>
  </si>
  <si>
    <t>MCLD-1527</t>
  </si>
  <si>
    <t>Edoxi Training Institute</t>
  </si>
  <si>
    <t>https://www.edoxi.com</t>
  </si>
  <si>
    <t>MCLD-1528</t>
  </si>
  <si>
    <t>Edrex</t>
  </si>
  <si>
    <t>MCLD-1529</t>
  </si>
  <si>
    <t>Edsara Innovations Pvt Ltd</t>
  </si>
  <si>
    <t>https://www.edsara.com</t>
  </si>
  <si>
    <t>MCLD-1530</t>
  </si>
  <si>
    <t>Edsix BrainLab Pvt Ltd (SkillAngels &amp; Magical 7 Studios)</t>
  </si>
  <si>
    <t>https://www.edsix.com</t>
  </si>
  <si>
    <t>MCLD-1531</t>
  </si>
  <si>
    <t>EdTerra Edventures Private Limited</t>
  </si>
  <si>
    <t>https://www.edterra.com</t>
  </si>
  <si>
    <t>MCLD-1532</t>
  </si>
  <si>
    <t>EDTIA</t>
  </si>
  <si>
    <t>https://www.edtia.org</t>
  </si>
  <si>
    <t>MCLD-1533</t>
  </si>
  <si>
    <t>EduBridge Learning Pvt. Ltd.</t>
  </si>
  <si>
    <t>https://www.edubridgeindia.com</t>
  </si>
  <si>
    <t>MCLD-1534</t>
  </si>
  <si>
    <t>Edubull.com</t>
  </si>
  <si>
    <t>https://www.edubull.com</t>
  </si>
  <si>
    <t>MCLD-1535</t>
  </si>
  <si>
    <t>Educart Learning &amp; Development Solutions</t>
  </si>
  <si>
    <t>https://www.educart.co</t>
  </si>
  <si>
    <t>MCLD-1536</t>
  </si>
  <si>
    <t>EducaTree Star Pvt. Ltd</t>
  </si>
  <si>
    <t>https://www.educatree.in</t>
  </si>
  <si>
    <t>MCLD-1537</t>
  </si>
  <si>
    <t>Educomp Solutions Ltd</t>
  </si>
  <si>
    <t>https://www.educomp.com</t>
  </si>
  <si>
    <t>MCLD-1538</t>
  </si>
  <si>
    <t>Educurious</t>
  </si>
  <si>
    <t>https://www.educurious.com</t>
  </si>
  <si>
    <t>MCLD-1539</t>
  </si>
  <si>
    <t>Edufic Digital</t>
  </si>
  <si>
    <t>https://www.edufic.com</t>
  </si>
  <si>
    <t>MCLD-1540</t>
  </si>
  <si>
    <t>EduGeeks</t>
  </si>
  <si>
    <t>https://www.edugeeks.in</t>
  </si>
  <si>
    <t>MCLD-1541</t>
  </si>
  <si>
    <t>EduInsip Learning LLP</t>
  </si>
  <si>
    <t>https://www.eduinsip.com</t>
  </si>
  <si>
    <t>MCLD-1542</t>
  </si>
  <si>
    <t>Eduncle</t>
  </si>
  <si>
    <t>https://www.eduncle.com</t>
  </si>
  <si>
    <t>MCLD-1543</t>
  </si>
  <si>
    <t>Eduonix Learning Solutions Pvt Ltd</t>
  </si>
  <si>
    <t>https://www.eduonix.com</t>
  </si>
  <si>
    <t>MCLD-1544</t>
  </si>
  <si>
    <t>Edupixels</t>
  </si>
  <si>
    <t>https://www.edupixels.com</t>
  </si>
  <si>
    <t>MCLD-1545</t>
  </si>
  <si>
    <t>Edupotion elearning Services Pvt. Ltd.</t>
  </si>
  <si>
    <t>https://www.edupotion.com</t>
  </si>
  <si>
    <t>MCLD-1546</t>
  </si>
  <si>
    <t>Eduservex Solutions Pvt Ltd</t>
  </si>
  <si>
    <t>https://www.eduservex.com</t>
  </si>
  <si>
    <t>MCLD-1547</t>
  </si>
  <si>
    <t>EduSmart</t>
  </si>
  <si>
    <t>https://www.edusmart.com</t>
  </si>
  <si>
    <t>MCLD-1548</t>
  </si>
  <si>
    <t>Edusuite Solutions Pvt Limited</t>
  </si>
  <si>
    <t>https://www.edusuite.in</t>
  </si>
  <si>
    <t>MCLD-1549</t>
  </si>
  <si>
    <t>Edutech Educational Services Pvt. Ltd.</t>
  </si>
  <si>
    <t>https://www.edutechservices.com</t>
  </si>
  <si>
    <t>MCLD-1550</t>
  </si>
  <si>
    <t>Edutech India</t>
  </si>
  <si>
    <t>https://www.edutechindia.com</t>
  </si>
  <si>
    <t>MCLD-1551</t>
  </si>
  <si>
    <t>EDUTEST SOLUTIONS</t>
  </si>
  <si>
    <t>https://www.edutestsolutions.com</t>
  </si>
  <si>
    <t>MCLD-1552</t>
  </si>
  <si>
    <t>eduVyne</t>
  </si>
  <si>
    <t>https://www.eduvyne.com</t>
  </si>
  <si>
    <t>MCLD-1553</t>
  </si>
  <si>
    <t>Eduway India</t>
  </si>
  <si>
    <t>https://www.eduwayindia.com</t>
  </si>
  <si>
    <t>MCLD-1554</t>
  </si>
  <si>
    <t>Eduzphere - India</t>
  </si>
  <si>
    <t>https://www.eduzphere.com</t>
  </si>
  <si>
    <t>MCLD-1555</t>
  </si>
  <si>
    <t>Edvantech Solutions Pvt. Ltd.</t>
  </si>
  <si>
    <t>https://www.edvantech.com</t>
  </si>
  <si>
    <t>MCLD-1556</t>
  </si>
  <si>
    <t>edX</t>
  </si>
  <si>
    <t>https://www.edx.org</t>
  </si>
  <si>
    <t>MCLD-1557</t>
  </si>
  <si>
    <t>eDynamic Learning</t>
  </si>
  <si>
    <t>https://www.edynamiclearning.com</t>
  </si>
  <si>
    <t>MCLD-1558</t>
  </si>
  <si>
    <t>Edywood Learning</t>
  </si>
  <si>
    <t>https://www.edywood.com</t>
  </si>
  <si>
    <t>MCLD-1559</t>
  </si>
  <si>
    <t>eFACTS Solutions Private Limited</t>
  </si>
  <si>
    <t>https://www.efactssolutions.com</t>
  </si>
  <si>
    <t>MCLD-1560</t>
  </si>
  <si>
    <t>Egencia, an Amex GBT Company</t>
  </si>
  <si>
    <t>https://www.egencia.com</t>
  </si>
  <si>
    <t>MCLD-1561</t>
  </si>
  <si>
    <t>Eggs-N-Stuf.com</t>
  </si>
  <si>
    <t>https://www.eggsnstuf.com</t>
  </si>
  <si>
    <t>MCLD-1562</t>
  </si>
  <si>
    <t>eGravity Solutions Private Limited</t>
  </si>
  <si>
    <t>https://www.egravitysolutions.com</t>
  </si>
  <si>
    <t>MCLD-1563</t>
  </si>
  <si>
    <t>EI</t>
  </si>
  <si>
    <t>https://www.ei-india.com</t>
  </si>
  <si>
    <t>MCLD-1564</t>
  </si>
  <si>
    <t>EISML</t>
  </si>
  <si>
    <t>https://www.eisml.org</t>
  </si>
  <si>
    <t>MCLD-1565</t>
  </si>
  <si>
    <t>ELB Learning</t>
  </si>
  <si>
    <t>https://www.elblearning.com</t>
  </si>
  <si>
    <t>MCLD-1566</t>
  </si>
  <si>
    <t>eLearning</t>
  </si>
  <si>
    <t>https://www.elearning.com</t>
  </si>
  <si>
    <t>MCLD-1567</t>
  </si>
  <si>
    <t>eLearning Academy</t>
  </si>
  <si>
    <t>https://www.elearningacademy.io</t>
  </si>
  <si>
    <t>MCLD-1568</t>
  </si>
  <si>
    <t>Elearning! Media Group</t>
  </si>
  <si>
    <t>https://www.elearningmedia.com</t>
  </si>
  <si>
    <t>MCLD-1569</t>
  </si>
  <si>
    <t>Electude</t>
  </si>
  <si>
    <t>https://www.electude.com</t>
  </si>
  <si>
    <t>MCLD-1570</t>
  </si>
  <si>
    <t>Eleutian Technology</t>
  </si>
  <si>
    <t>https://www.eleutian.com</t>
  </si>
  <si>
    <t>MCLD-1571</t>
  </si>
  <si>
    <t>Elevo Learning</t>
  </si>
  <si>
    <t>https://www.elevolearning.com</t>
  </si>
  <si>
    <t>MCLD-1572</t>
  </si>
  <si>
    <t>Elgin Community College</t>
  </si>
  <si>
    <t>https://www.elgin.edu</t>
  </si>
  <si>
    <t>MCLD-1573</t>
  </si>
  <si>
    <t>Elite Services Productions, LLC</t>
  </si>
  <si>
    <t>https://www.eliteservicesproductions.com</t>
  </si>
  <si>
    <t>MCLD-1574</t>
  </si>
  <si>
    <t>Ellucian</t>
  </si>
  <si>
    <t>https://www.ellucian.com</t>
  </si>
  <si>
    <t>MCLD-1575</t>
  </si>
  <si>
    <t>Emeritus India</t>
  </si>
  <si>
    <t>https://emeritus.org</t>
  </si>
  <si>
    <t>MCLD-1576</t>
  </si>
  <si>
    <t>Eminence Inc.</t>
  </si>
  <si>
    <t>https://www.eminencelearning.com</t>
  </si>
  <si>
    <t>MCLD-1577</t>
  </si>
  <si>
    <t>Emperind Education Pvt Ltd</t>
  </si>
  <si>
    <t>https://www.emperind.com</t>
  </si>
  <si>
    <t>MCLD-1578</t>
  </si>
  <si>
    <t>Empowering People to Change Their Lives.</t>
  </si>
  <si>
    <t>MCLD-1579</t>
  </si>
  <si>
    <t>EmpowerU Education</t>
  </si>
  <si>
    <t>https://www.empoweru.education</t>
  </si>
  <si>
    <t>MCLD-1580</t>
  </si>
  <si>
    <t>ENABLING DIMENSIONS</t>
  </si>
  <si>
    <t>https://www.enablingdimensions.com</t>
  </si>
  <si>
    <t>MCLD-1581</t>
  </si>
  <si>
    <t>Encora Inc.</t>
  </si>
  <si>
    <t>https://www.encora.com</t>
  </si>
  <si>
    <t>MCLD-1582</t>
  </si>
  <si>
    <t>Enhance Systems Pvt Ltd</t>
  </si>
  <si>
    <t>https://www.enhancesys.com</t>
  </si>
  <si>
    <t>MCLD-1583</t>
  </si>
  <si>
    <t>Enqurious (formerly Mentorskool)</t>
  </si>
  <si>
    <t>https://www.enqurious.com</t>
  </si>
  <si>
    <t>MCLD-1584</t>
  </si>
  <si>
    <t>ENTRE Institute</t>
  </si>
  <si>
    <t>https://www.entreinstitute.com</t>
  </si>
  <si>
    <t>MCLD-1585</t>
  </si>
  <si>
    <t>Entri</t>
  </si>
  <si>
    <t>https://entri.app</t>
  </si>
  <si>
    <t>MCLD-1586</t>
  </si>
  <si>
    <t>eNyota Learning Pvt. Ltd.</t>
  </si>
  <si>
    <t>https://www.enyotalearning.com</t>
  </si>
  <si>
    <t>MCLD-1587</t>
  </si>
  <si>
    <t>Equalearning</t>
  </si>
  <si>
    <t>https://www.equalearning.com</t>
  </si>
  <si>
    <t>MCLD-1588</t>
  </si>
  <si>
    <t>Er. Aniket Sood's Mathematics Classes (ASMC)</t>
  </si>
  <si>
    <t>MCLD-1589</t>
  </si>
  <si>
    <t>Erudex Private Limited</t>
  </si>
  <si>
    <t>https://www.erudex.com</t>
  </si>
  <si>
    <t>MCLD-1590</t>
  </si>
  <si>
    <t>eSaral Ventures Private Limited</t>
  </si>
  <si>
    <t>https://www.esaral.com</t>
  </si>
  <si>
    <t>MCLD-1591</t>
  </si>
  <si>
    <t>Essential Education</t>
  </si>
  <si>
    <t>https://www.essentialed.com</t>
  </si>
  <si>
    <t>MCLD-1592</t>
  </si>
  <si>
    <t>eStrategy Solutions, Inc</t>
  </si>
  <si>
    <t>https://www.estrategysolutions.com</t>
  </si>
  <si>
    <t>MCLD-1593</t>
  </si>
  <si>
    <t>etheoreal</t>
  </si>
  <si>
    <t>MCLD-1594</t>
  </si>
  <si>
    <t>Ethereal Eduversity</t>
  </si>
  <si>
    <t>https://www.etherealeduversity.com</t>
  </si>
  <si>
    <t>MCLD-1595</t>
  </si>
  <si>
    <t>eTrain etc</t>
  </si>
  <si>
    <t>https://www.etrainetc.com</t>
  </si>
  <si>
    <t>MCLD-1596</t>
  </si>
  <si>
    <t>ETS</t>
  </si>
  <si>
    <t>https://www.ets.org</t>
  </si>
  <si>
    <t>MCLD-1597</t>
  </si>
  <si>
    <t>Evalueserve</t>
  </si>
  <si>
    <t>https://www.evalueserve.com</t>
  </si>
  <si>
    <t>MCLD-1598</t>
  </si>
  <si>
    <t>Evelyn Learning Systems Pvt. Ltd.</t>
  </si>
  <si>
    <t>https://www.evelynlearning.com</t>
  </si>
  <si>
    <t>MCLD-1599</t>
  </si>
  <si>
    <t>Evivve</t>
  </si>
  <si>
    <t>https://www.evivve.com</t>
  </si>
  <si>
    <t>MCLD-1600</t>
  </si>
  <si>
    <t>Evolution Accessibility</t>
  </si>
  <si>
    <t>https://www.evolutionaccessibility.com</t>
  </si>
  <si>
    <t>MCLD-1601</t>
  </si>
  <si>
    <t>eWorkz</t>
  </si>
  <si>
    <t>https://www.eworkz.com</t>
  </si>
  <si>
    <t>MCLD-1602</t>
  </si>
  <si>
    <t>ExamFactor</t>
  </si>
  <si>
    <t>https://www.examfactor.com</t>
  </si>
  <si>
    <t>MCLD-1603</t>
  </si>
  <si>
    <t>Excelsoft Technologies Pvt. Ltd.</t>
  </si>
  <si>
    <t>https://www.excelsoftcorp.com</t>
  </si>
  <si>
    <t>MCLD-1604</t>
  </si>
  <si>
    <t>Exit Planning LLC</t>
  </si>
  <si>
    <t>https://www.exitplanning.com</t>
  </si>
  <si>
    <t>MCLD-1605</t>
  </si>
  <si>
    <t>Expand My Business</t>
  </si>
  <si>
    <t>https://www.expandmybusiness.com</t>
  </si>
  <si>
    <t>MCLD-1606</t>
  </si>
  <si>
    <t>ExpertRating Solutions</t>
  </si>
  <si>
    <t>https://www.expertrating.com</t>
  </si>
  <si>
    <t>MCLD-1607</t>
  </si>
  <si>
    <t>ExploreLearning</t>
  </si>
  <si>
    <t>https://www.explorelearning.com</t>
  </si>
  <si>
    <t>MCLD-1608</t>
  </si>
  <si>
    <t>Exploring Your PotentialÃ¢Â„Â¢</t>
  </si>
  <si>
    <t>MCLD-1609</t>
  </si>
  <si>
    <t>Expograde Academy Private Limited</t>
  </si>
  <si>
    <t>https://www.expograde.com</t>
  </si>
  <si>
    <t>MCLD-1610</t>
  </si>
  <si>
    <t>Extramarks Education India Pvt. Ltd.</t>
  </si>
  <si>
    <t>https://www.extramarks.com</t>
  </si>
  <si>
    <t>MCLD-1611</t>
  </si>
  <si>
    <t>EY</t>
  </si>
  <si>
    <t>https://www.ey.com</t>
  </si>
  <si>
    <t>MCLD-1612</t>
  </si>
  <si>
    <t>FCS Software Solutions</t>
  </si>
  <si>
    <t>https://www.fcsltd.com</t>
  </si>
  <si>
    <t>MCLD-1613</t>
  </si>
  <si>
    <t>fhconline.in</t>
  </si>
  <si>
    <t>https://fhconline.in</t>
  </si>
  <si>
    <t>MCLD-1614</t>
  </si>
  <si>
    <t>Fiesta Designs</t>
  </si>
  <si>
    <t>https://www.fiestadesigns.com</t>
  </si>
  <si>
    <t>MCLD-1615</t>
  </si>
  <si>
    <t>Find A Science Tutor</t>
  </si>
  <si>
    <t>https://www.findasciencetutor.com</t>
  </si>
  <si>
    <t>MCLD-1616</t>
  </si>
  <si>
    <t>FIRST IN MATH INDIA PRIVATE LIMITED</t>
  </si>
  <si>
    <t>https://www.firstinmath.com</t>
  </si>
  <si>
    <t>MCLD-1617</t>
  </si>
  <si>
    <t>Firstsource</t>
  </si>
  <si>
    <t>https://www.firstsource.com</t>
  </si>
  <si>
    <t>MCLD-1618</t>
  </si>
  <si>
    <t>Fiserv</t>
  </si>
  <si>
    <t>https://www.fiserv.com</t>
  </si>
  <si>
    <t>MCLD-1619</t>
  </si>
  <si>
    <t>Flipick</t>
  </si>
  <si>
    <t>https://www.flipick.com</t>
  </si>
  <si>
    <t>MCLD-1620</t>
  </si>
  <si>
    <t>Fliplearn Education Pvt. Ltd.</t>
  </si>
  <si>
    <t>https://www.fliplearn.com</t>
  </si>
  <si>
    <t>MCLD-1621</t>
  </si>
  <si>
    <t>Flowerpixels Learning Technologies</t>
  </si>
  <si>
    <t>https://www.flowerpixels.com</t>
  </si>
  <si>
    <t>MCLD-1622</t>
  </si>
  <si>
    <t>Focus Edumatics Pvt Ltd</t>
  </si>
  <si>
    <t>https://www.focusedumatics.com</t>
  </si>
  <si>
    <t>MCLD-1623</t>
  </si>
  <si>
    <t>Focus Realm</t>
  </si>
  <si>
    <t>https://www.focusrealm.com</t>
  </si>
  <si>
    <t>MCLD-1624</t>
  </si>
  <si>
    <t>FOONA</t>
  </si>
  <si>
    <t>MCLD-1625</t>
  </si>
  <si>
    <t>Footsteps2Brilliance, Inc.</t>
  </si>
  <si>
    <t>https://www.footsteps2brilliance.com</t>
  </si>
  <si>
    <t>MCLD-1626</t>
  </si>
  <si>
    <t>Forbes Business Council</t>
  </si>
  <si>
    <t>https://councils.forbes.com</t>
  </si>
  <si>
    <t>MCLD-1627</t>
  </si>
  <si>
    <t>Formue Management Consultancies</t>
  </si>
  <si>
    <t>https://www.formueindia.com</t>
  </si>
  <si>
    <t>MCLD-1628</t>
  </si>
  <si>
    <t>Fort Bend ISD</t>
  </si>
  <si>
    <t>https://www.fortbendisd.com</t>
  </si>
  <si>
    <t>MCLD-1629</t>
  </si>
  <si>
    <t>FortunaPIX</t>
  </si>
  <si>
    <t>https://www.fortunapix.com</t>
  </si>
  <si>
    <t>MCLD-1630</t>
  </si>
  <si>
    <t>Foundig Director, Hindi Guru Language Institute</t>
  </si>
  <si>
    <t>MCLD-1631</t>
  </si>
  <si>
    <t>FPA Edutech</t>
  </si>
  <si>
    <t>https://www.fpaedutech.com</t>
  </si>
  <si>
    <t>MCLD-1632</t>
  </si>
  <si>
    <t>Frankfinn Aviation Services Pvt. Limited</t>
  </si>
  <si>
    <t>https://www.frankfinn.com</t>
  </si>
  <si>
    <t>MCLD-1633</t>
  </si>
  <si>
    <t>Freckle by Renaissance</t>
  </si>
  <si>
    <t>https://www.renaissance.com</t>
  </si>
  <si>
    <t>MCLD-1634</t>
  </si>
  <si>
    <t>Functional Medicine Coaching Academy Inc.</t>
  </si>
  <si>
    <t>https://www.functionalmedicinecoaching.org</t>
  </si>
  <si>
    <t>MCLD-1635</t>
  </si>
  <si>
    <t>Fundabox</t>
  </si>
  <si>
    <t>https://www.fundabox.com</t>
  </si>
  <si>
    <t>MCLD-1636</t>
  </si>
  <si>
    <t>Funshiksha Classes</t>
  </si>
  <si>
    <t>MCLD-1637</t>
  </si>
  <si>
    <t>FurtherLearning LLC</t>
  </si>
  <si>
    <t>https://www.furtherlearning.com</t>
  </si>
  <si>
    <t>MCLD-1638</t>
  </si>
  <si>
    <t>Future Minds</t>
  </si>
  <si>
    <t>https://www.futuremindslearning.com</t>
  </si>
  <si>
    <t>MCLD-1639</t>
  </si>
  <si>
    <t>Gakuen Technologies Private L</t>
  </si>
  <si>
    <t>https://www.gakuen.com</t>
  </si>
  <si>
    <t>MCLD-1640</t>
  </si>
  <si>
    <t>Gallopade International</t>
  </si>
  <si>
    <t>https://www.gallopade.com</t>
  </si>
  <si>
    <t>MCLD-1641</t>
  </si>
  <si>
    <t>GCube</t>
  </si>
  <si>
    <t>https://www.gcube.com</t>
  </si>
  <si>
    <t>MCLD-1642</t>
  </si>
  <si>
    <t>GEDU Global Education</t>
  </si>
  <si>
    <t>https://www.gedu.global</t>
  </si>
  <si>
    <t>MCLD-1643</t>
  </si>
  <si>
    <t>GeeksforGeeks</t>
  </si>
  <si>
    <t>https://www.geeksforgeeks.org</t>
  </si>
  <si>
    <t>MCLD-1644</t>
  </si>
  <si>
    <t>General Assembly</t>
  </si>
  <si>
    <t>https://generalassemb.ly</t>
  </si>
  <si>
    <t>MCLD-1645</t>
  </si>
  <si>
    <t>Georgia Cyber Academy</t>
  </si>
  <si>
    <t>https://www.georgiacyber.org</t>
  </si>
  <si>
    <t>MCLD-1646</t>
  </si>
  <si>
    <t>Georgia Head Start Association</t>
  </si>
  <si>
    <t>https://www.ghsa.net</t>
  </si>
  <si>
    <t>MCLD-1647</t>
  </si>
  <si>
    <t>GetLittnow</t>
  </si>
  <si>
    <t>https://www.getlittnow.com</t>
  </si>
  <si>
    <t>MCLD-1648</t>
  </si>
  <si>
    <t>Giant Campus, Inc.</t>
  </si>
  <si>
    <t>https://www.giantcampus.com</t>
  </si>
  <si>
    <t>MCLD-1649</t>
  </si>
  <si>
    <t>GmPly, Inc.</t>
  </si>
  <si>
    <t>https://www.gmply.com</t>
  </si>
  <si>
    <t>MCLD-1650</t>
  </si>
  <si>
    <t>Gold Standard Certifications</t>
  </si>
  <si>
    <t>https://www.goldstandardcertifications.com</t>
  </si>
  <si>
    <t>MCLD-1651</t>
  </si>
  <si>
    <t>GOLSIL</t>
  </si>
  <si>
    <t>https://www.golsil.com</t>
  </si>
  <si>
    <t>MCLD-1652</t>
  </si>
  <si>
    <t>Graduation Alliance</t>
  </si>
  <si>
    <t>https://www.graduationalliance.com</t>
  </si>
  <si>
    <t>MCLD-1653</t>
  </si>
  <si>
    <t>Great Minds</t>
  </si>
  <si>
    <t>https://greatminds.org</t>
  </si>
  <si>
    <t>MCLD-1654</t>
  </si>
  <si>
    <t>Greenwich Academy</t>
  </si>
  <si>
    <t>https://www.greenwichacademy.org</t>
  </si>
  <si>
    <t>MCLD-1655</t>
  </si>
  <si>
    <t>Grownmind Educational Services Pvt Ltd</t>
  </si>
  <si>
    <t>https://www.grownmind.in</t>
  </si>
  <si>
    <t>MCLD-1656</t>
  </si>
  <si>
    <t>GrowthSchool</t>
  </si>
  <si>
    <t>https://www.growthschool.io</t>
  </si>
  <si>
    <t>MCLD-1657</t>
  </si>
  <si>
    <t>Growthstream.io</t>
  </si>
  <si>
    <t>https://www.growthstream.io</t>
  </si>
  <si>
    <t>MCLD-1658</t>
  </si>
  <si>
    <t>Guidaentor</t>
  </si>
  <si>
    <t>https://www.guidaentor.com</t>
  </si>
  <si>
    <t>MCLD-1659</t>
  </si>
  <si>
    <t>GURUKUL VIDYAPEETH</t>
  </si>
  <si>
    <t>https://www.gurukulvidyapeeth.org</t>
  </si>
  <si>
    <t>MCLD-1660</t>
  </si>
  <si>
    <t>Gurusiksha</t>
  </si>
  <si>
    <t>https://www.gurusiksha.com</t>
  </si>
  <si>
    <t>MCLD-1661</t>
  </si>
  <si>
    <t>GUS Education India</t>
  </si>
  <si>
    <t>https://www.guseducation.com</t>
  </si>
  <si>
    <t>MCLD-1662</t>
  </si>
  <si>
    <t>GUS Global Services India Pvt. Ltd.</t>
  </si>
  <si>
    <t>https://www.gusglobals.com</t>
  </si>
  <si>
    <t>MCLD-1663</t>
  </si>
  <si>
    <t>GW</t>
  </si>
  <si>
    <t>https://www.gwu.edu</t>
  </si>
  <si>
    <t>MCLD-1664</t>
  </si>
  <si>
    <t>GY CAD &amp; DIGITAL SOLUTIONS PVT LTD</t>
  </si>
  <si>
    <t>https://www.gycad.com</t>
  </si>
  <si>
    <t>MCLD-1665</t>
  </si>
  <si>
    <t>Helios Educore Pvt. Ltd.</t>
  </si>
  <si>
    <t>https://www.helioseducore.com</t>
  </si>
  <si>
    <t>MCLD-1666</t>
  </si>
  <si>
    <t>HelpWithAssignment.com</t>
  </si>
  <si>
    <t>https://www.helpwithassignment.com</t>
  </si>
  <si>
    <t>MCLD-1667</t>
  </si>
  <si>
    <t>Heron Virtual Academy of South Carolina</t>
  </si>
  <si>
    <t>https://www.heronvirtualacademy.org</t>
  </si>
  <si>
    <t>MCLD-1668</t>
  </si>
  <si>
    <t>HexaLearn Solutions Private Limited</t>
  </si>
  <si>
    <t>https://www.hexalearn.com</t>
  </si>
  <si>
    <t>MCLD-1669</t>
  </si>
  <si>
    <t>HeyMath!</t>
  </si>
  <si>
    <t>https://www.heymath.com</t>
  </si>
  <si>
    <t>MCLD-1670</t>
  </si>
  <si>
    <t>High Definition Books</t>
  </si>
  <si>
    <t>https://www.hdbooks.com</t>
  </si>
  <si>
    <t>MCLD-1671</t>
  </si>
  <si>
    <t>Higher Colleges of Technology</t>
  </si>
  <si>
    <t>https://www.hct.ac.ae</t>
  </si>
  <si>
    <t>MCLD-1672</t>
  </si>
  <si>
    <t>Himeesh Madaan YouTube Channel</t>
  </si>
  <si>
    <t>https://www.youtube.com/@HimeeshMadaan</t>
  </si>
  <si>
    <t>MCLD-1673</t>
  </si>
  <si>
    <t>Hindiguru</t>
  </si>
  <si>
    <t>https://www.hindiguru.com</t>
  </si>
  <si>
    <t>MCLD-1674</t>
  </si>
  <si>
    <t>Hiztory Bookz, LLC</t>
  </si>
  <si>
    <t>https://www.hiztorybookz.com</t>
  </si>
  <si>
    <t>MCLD-1675</t>
  </si>
  <si>
    <t>Home Assignments</t>
  </si>
  <si>
    <t>https://www.homeassignments.com</t>
  </si>
  <si>
    <t>MCLD-1676</t>
  </si>
  <si>
    <t>https://mysmartschool.com/</t>
  </si>
  <si>
    <t>https://mysmartschool.com</t>
  </si>
  <si>
    <t>MCLD-1677</t>
  </si>
  <si>
    <t>Huerus Education Technology</t>
  </si>
  <si>
    <t>https://www.huerus.com</t>
  </si>
  <si>
    <t>MCLD-1678</t>
  </si>
  <si>
    <t>Hughes Global Education</t>
  </si>
  <si>
    <t>https://www.hugheseducation.com</t>
  </si>
  <si>
    <t>MCLD-1679</t>
  </si>
  <si>
    <t>Huntington Learning Center</t>
  </si>
  <si>
    <t>https://www.huntingtonhelps.com</t>
  </si>
  <si>
    <t>MCLD-1680</t>
  </si>
  <si>
    <t>https://www.hurix.com</t>
  </si>
  <si>
    <t>MCLD-1681</t>
  </si>
  <si>
    <t>i4Excellence</t>
  </si>
  <si>
    <t>https://www.i4excellence.com</t>
  </si>
  <si>
    <t>MCLD-1682</t>
  </si>
  <si>
    <t>iCademy Middle East</t>
  </si>
  <si>
    <t>https://www.icademymiddleeast.com</t>
  </si>
  <si>
    <t>MCLD-1683</t>
  </si>
  <si>
    <t>iDream Education</t>
  </si>
  <si>
    <t>https://www.idreameducation.org</t>
  </si>
  <si>
    <t>MCLD-1684</t>
  </si>
  <si>
    <t>igmGuru</t>
  </si>
  <si>
    <t>https://www.igmguru.com</t>
  </si>
  <si>
    <t>MCLD-1685</t>
  </si>
  <si>
    <t>Ignite Learning Academy</t>
  </si>
  <si>
    <t>https://www.ignitelearningacademy.com</t>
  </si>
  <si>
    <t>MCLD-1686</t>
  </si>
  <si>
    <t>IIC Lakshya Online</t>
  </si>
  <si>
    <t>MCLD-1687</t>
  </si>
  <si>
    <t>Illumina Interactive</t>
  </si>
  <si>
    <t>https://www.illuminainteractive.com</t>
  </si>
  <si>
    <t>MCLD-1688</t>
  </si>
  <si>
    <t>Imarticus Learning</t>
  </si>
  <si>
    <t>https://www.imarticus.org</t>
  </si>
  <si>
    <t>MCLD-1689</t>
  </si>
  <si>
    <t>Immunization Academy</t>
  </si>
  <si>
    <t>https://www.immunizationacademy.com</t>
  </si>
  <si>
    <t>MCLD-1690</t>
  </si>
  <si>
    <t>Imperium Edutech Pvt. Ltd.</t>
  </si>
  <si>
    <t>https://www.imperiumedutech.com</t>
  </si>
  <si>
    <t>MCLD-1691</t>
  </si>
  <si>
    <t>IMS Learning Resources Pvt. Ltd.</t>
  </si>
  <si>
    <t>https://www.imsindia.com</t>
  </si>
  <si>
    <t>MCLD-1692</t>
  </si>
  <si>
    <t>Infinity Learn</t>
  </si>
  <si>
    <t>https://www.infinitylearn.com</t>
  </si>
  <si>
    <t>MCLD-1693</t>
  </si>
  <si>
    <t>Infopro Learning, Inc</t>
  </si>
  <si>
    <t>https://www.infoprolearning.com</t>
  </si>
  <si>
    <t>MCLD-1694</t>
  </si>
  <si>
    <t>InGenius Prep</t>
  </si>
  <si>
    <t>https://www.ingeniusprep.com</t>
  </si>
  <si>
    <t>MCLD-1695</t>
  </si>
  <si>
    <t>InKNOWvative Edge Inc. Training Ã¢Â€Â¢ Design Ã¢Â€Â¢ Development</t>
  </si>
  <si>
    <t>https://www.iknowvativeedge.com</t>
  </si>
  <si>
    <t>MCLD-1696</t>
  </si>
  <si>
    <t>Innova Edu</t>
  </si>
  <si>
    <t>MCLD-1697</t>
  </si>
  <si>
    <t>Innovative Learning's College of Applied Human Services</t>
  </si>
  <si>
    <t>https://innovativelearning.com</t>
  </si>
  <si>
    <t>MCLD-1698</t>
  </si>
  <si>
    <t>Institute of Applied Research in Integral Studies</t>
  </si>
  <si>
    <t>MCLD-1699</t>
  </si>
  <si>
    <t>Interative Achievement</t>
  </si>
  <si>
    <t>MCLD-1700</t>
  </si>
  <si>
    <t>iNurture Education Solutions Pvt. Ltd.</t>
  </si>
  <si>
    <t>https://www.inurture.co.in</t>
  </si>
  <si>
    <t>MCLD-1701</t>
  </si>
  <si>
    <t>Inventant Education</t>
  </si>
  <si>
    <t>MCLD-1702</t>
  </si>
  <si>
    <t>Invince (formerly UpsideLMS)</t>
  </si>
  <si>
    <t>https://www.invince.com</t>
  </si>
  <si>
    <t>MCLD-1703</t>
  </si>
  <si>
    <t>iSaksham India Private Limited</t>
  </si>
  <si>
    <t>https://www.isaksham.in</t>
  </si>
  <si>
    <t>MCLD-1704</t>
  </si>
  <si>
    <t>iSpring Solutions</t>
  </si>
  <si>
    <t>https://www.ispringsolutions.com</t>
  </si>
  <si>
    <t>MCLD-1705</t>
  </si>
  <si>
    <t>ITCT Learning Systems Private Limited</t>
  </si>
  <si>
    <t>https://www.itct.in</t>
  </si>
  <si>
    <t>MCLD-1706</t>
  </si>
  <si>
    <t>iteach</t>
  </si>
  <si>
    <t>https://www.iteach.net</t>
  </si>
  <si>
    <t>MCLD-1707</t>
  </si>
  <si>
    <t>ITU Online</t>
  </si>
  <si>
    <t>https://www.ituonline.com</t>
  </si>
  <si>
    <t>MCLD-1708</t>
  </si>
  <si>
    <t>iTutorGroup</t>
  </si>
  <si>
    <t>https://www.itutorgroup.com</t>
  </si>
  <si>
    <t>MCLD-1709</t>
  </si>
  <si>
    <t>ixamBee.com</t>
  </si>
  <si>
    <t>https://www.ixambee.com</t>
  </si>
  <si>
    <t>MCLD-1710</t>
  </si>
  <si>
    <t>Jackrabbit Learning Experience, LLC</t>
  </si>
  <si>
    <t>https://www.jackrabbitlearningexperience.com</t>
  </si>
  <si>
    <t>MCLD-1711</t>
  </si>
  <si>
    <t>Jadoon ias</t>
  </si>
  <si>
    <t>https://www.jadoonias.com</t>
  </si>
  <si>
    <t>MCLD-1712</t>
  </si>
  <si>
    <t>JAG Global Learning</t>
  </si>
  <si>
    <t>https://www.jaggloballearning.com</t>
  </si>
  <si>
    <t>MCLD-1713</t>
  </si>
  <si>
    <t>Jaypee Brothers Medical Publishers Pvt. Ltd.</t>
  </si>
  <si>
    <t>https://www.jaypeebrothers.com</t>
  </si>
  <si>
    <t>MCLD-1714</t>
  </si>
  <si>
    <t>JDM ONE SOURCE PVT LTD</t>
  </si>
  <si>
    <t>https://www.jdmonesource.com</t>
  </si>
  <si>
    <t>MCLD-1715</t>
  </si>
  <si>
    <t>JoshGuru</t>
  </si>
  <si>
    <t>https://www.joshguru.com</t>
  </si>
  <si>
    <t>MCLD-1716</t>
  </si>
  <si>
    <t>JoVE</t>
  </si>
  <si>
    <t>https://www.jove.com</t>
  </si>
  <si>
    <t>MCLD-1717</t>
  </si>
  <si>
    <t>Jubillant Creative Solutions Private Limited</t>
  </si>
  <si>
    <t>https://www.jubillant.com</t>
  </si>
  <si>
    <t>MCLD-1718</t>
  </si>
  <si>
    <t>K-12 Content Solutions</t>
  </si>
  <si>
    <t>MCLD-1719</t>
  </si>
  <si>
    <t>K12</t>
  </si>
  <si>
    <t>https://www.k12.com</t>
  </si>
  <si>
    <t>MCLD-1720</t>
  </si>
  <si>
    <t>K12 ACTIVITY ACADEMY PRIVATE LIMITED</t>
  </si>
  <si>
    <t>MCLD-1721</t>
  </si>
  <si>
    <t>K12 Techno Services Pvt. Ltd.</t>
  </si>
  <si>
    <t>https://www.k12techno.com</t>
  </si>
  <si>
    <t>MCLD-1722</t>
  </si>
  <si>
    <t>KALPAKOSH SOFTWARE SOLUTIONS PRIVATE LIMITED</t>
  </si>
  <si>
    <t>https://www.kalpakosh.com</t>
  </si>
  <si>
    <t>MCLD-1723</t>
  </si>
  <si>
    <t>Clayful</t>
  </si>
  <si>
    <t>https://www.clayful.com</t>
  </si>
  <si>
    <t>Davie, Florida, United States</t>
  </si>
  <si>
    <t>MCLD-1724</t>
  </si>
  <si>
    <t>Pathstream</t>
  </si>
  <si>
    <t>https://www.pathstream.com</t>
  </si>
  <si>
    <t>MCLD-1725</t>
  </si>
  <si>
    <t>GrowthSpace</t>
  </si>
  <si>
    <t>https://www.growthspace.com</t>
  </si>
  <si>
    <t>MCLD-1726</t>
  </si>
  <si>
    <t>FrontlineIQ</t>
  </si>
  <si>
    <t>https://www.frontlineiq.com</t>
  </si>
  <si>
    <t>MCLD-1727</t>
  </si>
  <si>
    <t>Spokn</t>
  </si>
  <si>
    <t>https://www.spokn.com</t>
  </si>
  <si>
    <t>MCLD-1728</t>
  </si>
  <si>
    <t>QuickStart Inc.</t>
  </si>
  <si>
    <t>https://www.quickstart.com</t>
  </si>
  <si>
    <t>MCLD-1729</t>
  </si>
  <si>
    <t>Expressable</t>
  </si>
  <si>
    <t>https://www.expressable.com</t>
  </si>
  <si>
    <t>MCLD-1730</t>
  </si>
  <si>
    <t>Welcome to the Jungle</t>
  </si>
  <si>
    <t>https://www.welcometothejungle.com</t>
  </si>
  <si>
    <t>MCLD-1731</t>
  </si>
  <si>
    <t>SkillCycle</t>
  </si>
  <si>
    <t>https://www.skillcycle.com</t>
  </si>
  <si>
    <t>MCLD-1732</t>
  </si>
  <si>
    <t>Sketchy</t>
  </si>
  <si>
    <t>https://www.sketchy.com</t>
  </si>
  <si>
    <t>MCLD-1733</t>
  </si>
  <si>
    <t>Continuum</t>
  </si>
  <si>
    <t>https://www.continuum.com</t>
  </si>
  <si>
    <t>MCLD-1734</t>
  </si>
  <si>
    <t>Kodland</t>
  </si>
  <si>
    <t>https://www.kodland.org</t>
  </si>
  <si>
    <t>MCLD-1735</t>
  </si>
  <si>
    <t>SoloLearn</t>
  </si>
  <si>
    <t>https://www.sololearn.com</t>
  </si>
  <si>
    <t>MCLD-1736</t>
  </si>
  <si>
    <t>Engageli</t>
  </si>
  <si>
    <t>https://www.engageli.com</t>
  </si>
  <si>
    <t>MCLD-1737</t>
  </si>
  <si>
    <t>Reforge</t>
  </si>
  <si>
    <t>https://www.reforge.com</t>
  </si>
  <si>
    <t>MCLD-1738</t>
  </si>
  <si>
    <t>Doinstruct</t>
  </si>
  <si>
    <t>https://www.doinstruct.com</t>
  </si>
  <si>
    <t>OsnabrÃ¼ck, Niedersachsen, Germany</t>
  </si>
  <si>
    <t>MCLD-1739</t>
  </si>
  <si>
    <t>Sounding Board, Inc</t>
  </si>
  <si>
    <t>https://www.soundingboardinc.com</t>
  </si>
  <si>
    <t>Aliso Viejo, California, United States</t>
  </si>
  <si>
    <t>MCLD-1740</t>
  </si>
  <si>
    <t>TeleTeachers</t>
  </si>
  <si>
    <t>https://www.teleteachers.org</t>
  </si>
  <si>
    <t>MCLD-1741</t>
  </si>
  <si>
    <t>Modal.io</t>
  </si>
  <si>
    <t>https://www.modal.io</t>
  </si>
  <si>
    <t>MCLD-1742</t>
  </si>
  <si>
    <t>Intuition</t>
  </si>
  <si>
    <t>https://www.intuition.com</t>
  </si>
  <si>
    <t>Sarasota, Florida, United States</t>
  </si>
  <si>
    <t>MCLD-1743</t>
  </si>
  <si>
    <t>Force Therapeutics</t>
  </si>
  <si>
    <t>https://www.forcetherapeutics.com</t>
  </si>
  <si>
    <t>MCLD-1744</t>
  </si>
  <si>
    <t>Ethos Systems</t>
  </si>
  <si>
    <t>https://www.ethossystems.com</t>
  </si>
  <si>
    <t>MCLD-1745</t>
  </si>
  <si>
    <t>Ziplines Education</t>
  </si>
  <si>
    <t>https://www.ziplineseducation.com</t>
  </si>
  <si>
    <t>San Carlos, California, United States</t>
  </si>
  <si>
    <t>MCLD-1746</t>
  </si>
  <si>
    <t>Vyond</t>
  </si>
  <si>
    <t>https://www.vyond.com</t>
  </si>
  <si>
    <t>MCLD-1747</t>
  </si>
  <si>
    <t>Honor Education</t>
  </si>
  <si>
    <t>https://www.honoreducation.com</t>
  </si>
  <si>
    <t>MCLD-1748</t>
  </si>
  <si>
    <t>CYPHER Learning</t>
  </si>
  <si>
    <t>https://www.cypherlearning.com</t>
  </si>
  <si>
    <t>MCLD-1749</t>
  </si>
  <si>
    <t>Sales Impact Academy</t>
  </si>
  <si>
    <t>https://www.salesimpactacademy.com</t>
  </si>
  <si>
    <t>MCLD-1750</t>
  </si>
  <si>
    <t>Jaro Education</t>
  </si>
  <si>
    <t>https://www.jaroeducation.com</t>
  </si>
  <si>
    <t>MCLD-1751</t>
  </si>
  <si>
    <t>Teacherâ€™s Buddy</t>
  </si>
  <si>
    <t>https://www.teachersbuddy.com</t>
  </si>
  <si>
    <t>MCLD-1752</t>
  </si>
  <si>
    <t>Kai XR</t>
  </si>
  <si>
    <t>https://www.kaixr.com</t>
  </si>
  <si>
    <t>MCLD-1753</t>
  </si>
  <si>
    <t>Domestika</t>
  </si>
  <si>
    <t>https://www.domestika.org</t>
  </si>
  <si>
    <t>MCLD-1754</t>
  </si>
  <si>
    <t>Prof Jim</t>
  </si>
  <si>
    <t>https://www.profjim.com</t>
  </si>
  <si>
    <t>MCLD-1755</t>
  </si>
  <si>
    <t>Edumentors</t>
  </si>
  <si>
    <t>https://www.edumentors.co.uk</t>
  </si>
  <si>
    <t>MCLD-1756</t>
  </si>
  <si>
    <t>Toucan</t>
  </si>
  <si>
    <t>https://www.toucan.ai</t>
  </si>
  <si>
    <t>MCLD-1757</t>
  </si>
  <si>
    <t>Forage</t>
  </si>
  <si>
    <t>https://www.theforage.com</t>
  </si>
  <si>
    <t>MCLD-1758</t>
  </si>
  <si>
    <t>Cognota</t>
  </si>
  <si>
    <t>https://www.cognota.com</t>
  </si>
  <si>
    <t>MCLD-1759</t>
  </si>
  <si>
    <t>UpBrainery Technologies</t>
  </si>
  <si>
    <t>https://www.upbrainery.com</t>
  </si>
  <si>
    <t>MCLD-1760</t>
  </si>
  <si>
    <t>TIDWIT</t>
  </si>
  <si>
    <t>https://www.tidwit.com</t>
  </si>
  <si>
    <t>MCLD-1761</t>
  </si>
  <si>
    <t>Ornikar</t>
  </si>
  <si>
    <t>https://www.ornikar.com</t>
  </si>
  <si>
    <t>MCLD-1762</t>
  </si>
  <si>
    <t>Beable</t>
  </si>
  <si>
    <t>https://www.beable.com</t>
  </si>
  <si>
    <t>Lakewood, New Jersey, United States</t>
  </si>
  <si>
    <t>MCLD-1763</t>
  </si>
  <si>
    <t>SkillBank</t>
  </si>
  <si>
    <t>https://www.skillbank.co</t>
  </si>
  <si>
    <t>MCLD-1764</t>
  </si>
  <si>
    <t>inquirED</t>
  </si>
  <si>
    <t>https://www.inquired.org</t>
  </si>
  <si>
    <t>MCLD-1765</t>
  </si>
  <si>
    <t>Thurgood Marshall College Fund</t>
  </si>
  <si>
    <t>https://www.tmcf.org</t>
  </si>
  <si>
    <t>MCLD-1766</t>
  </si>
  <si>
    <t>Modern Classrooms Project</t>
  </si>
  <si>
    <t>https://www.modernclassrooms.org</t>
  </si>
  <si>
    <t>MCLD-1767</t>
  </si>
  <si>
    <t>Futura</t>
  </si>
  <si>
    <t>https://www.futura-sciences.com</t>
  </si>
  <si>
    <t>MCLD-1768</t>
  </si>
  <si>
    <t>BookClub</t>
  </si>
  <si>
    <t>https://www.bookclub.com</t>
  </si>
  <si>
    <t>MCLD-1769</t>
  </si>
  <si>
    <t>Superpeer</t>
  </si>
  <si>
    <t>https://www.superpeer.com</t>
  </si>
  <si>
    <t>MCLD-1770</t>
  </si>
  <si>
    <t>Almentor</t>
  </si>
  <si>
    <t>https://www.almentor.net</t>
  </si>
  <si>
    <t>MCLD-1771</t>
  </si>
  <si>
    <t>Enuma</t>
  </si>
  <si>
    <t>https://www.enuma.com</t>
  </si>
  <si>
    <t>MCLD-1772</t>
  </si>
  <si>
    <t>MetaAll.AI</t>
  </si>
  <si>
    <t>https://www.metaall.ai</t>
  </si>
  <si>
    <t>MCLD-1773</t>
  </si>
  <si>
    <t>Hello World</t>
  </si>
  <si>
    <t>https://www.helloworldcs.org</t>
  </si>
  <si>
    <t>MCLD-1774</t>
  </si>
  <si>
    <t>YaizY</t>
  </si>
  <si>
    <t>https://www.yaizy.com</t>
  </si>
  <si>
    <t>MCLD-1775</t>
  </si>
  <si>
    <t>Rali</t>
  </si>
  <si>
    <t>https://www.rali.io</t>
  </si>
  <si>
    <t>MCLD-1776</t>
  </si>
  <si>
    <t>Upword</t>
  </si>
  <si>
    <t>https://www.upword.ai</t>
  </si>
  <si>
    <t>MCLD-1777</t>
  </si>
  <si>
    <t>NoRedInk</t>
  </si>
  <si>
    <t>https://www.noredink.com</t>
  </si>
  <si>
    <t>MCLD-1778</t>
  </si>
  <si>
    <t>Enrich.ly</t>
  </si>
  <si>
    <t>https://www.enrich.ly</t>
  </si>
  <si>
    <t>MCLD-1779</t>
  </si>
  <si>
    <t>Esme Learning Solutions</t>
  </si>
  <si>
    <t>https://www.esmelearning.com</t>
  </si>
  <si>
    <t>MCLD-1780</t>
  </si>
  <si>
    <t>The Millennium Alliance</t>
  </si>
  <si>
    <t>https://www.mill-all.com</t>
  </si>
  <si>
    <t>MCLD-1781</t>
  </si>
  <si>
    <t>Veranda Learning</t>
  </si>
  <si>
    <t>https://www.verandalearning.com</t>
  </si>
  <si>
    <t>MCLD-1782</t>
  </si>
  <si>
    <t>Yousician</t>
  </si>
  <si>
    <t>https://www.yousician.com</t>
  </si>
  <si>
    <t>MCLD-1783</t>
  </si>
  <si>
    <t>Huddle Up</t>
  </si>
  <si>
    <t>https://www.huddleup.ai</t>
  </si>
  <si>
    <t>Madison, Wisconsin, United States</t>
  </si>
  <si>
    <t>MCLD-1784</t>
  </si>
  <si>
    <t>Quantified</t>
  </si>
  <si>
    <t>https://www.quantified.ai</t>
  </si>
  <si>
    <t>MCLD-1785</t>
  </si>
  <si>
    <t>SimCare AI</t>
  </si>
  <si>
    <t>https://www.simcare.ai</t>
  </si>
  <si>
    <t>MCLD-1786</t>
  </si>
  <si>
    <t>Metafy</t>
  </si>
  <si>
    <t>https://www.metafy.gg</t>
  </si>
  <si>
    <t>MCLD-1787</t>
  </si>
  <si>
    <t>Cornerstone OnDemand</t>
  </si>
  <si>
    <t>https://www.cornerstoneondemand.com</t>
  </si>
  <si>
    <t>MCLD-1788</t>
  </si>
  <si>
    <t>LearnUpon</t>
  </si>
  <si>
    <t>https://www.learnupon.com</t>
  </si>
  <si>
    <t>MCLD-1789</t>
  </si>
  <si>
    <t>ExoDexa</t>
  </si>
  <si>
    <t>https://www.exodexa.com</t>
  </si>
  <si>
    <t>MCLD-1790</t>
  </si>
  <si>
    <t>Educative</t>
  </si>
  <si>
    <t>https://www.educative.io</t>
  </si>
  <si>
    <t>MCLD-1791</t>
  </si>
  <si>
    <t>Manabie</t>
  </si>
  <si>
    <t>https://www.manabie.com</t>
  </si>
  <si>
    <t>MCLD-1792</t>
  </si>
  <si>
    <t>Phoenix Education Partners</t>
  </si>
  <si>
    <t>https://www.phoenixep.com</t>
  </si>
  <si>
    <t>MCLD-1793</t>
  </si>
  <si>
    <t>Elucidat</t>
  </si>
  <si>
    <t>https://www.elucidat.com</t>
  </si>
  <si>
    <t>Brighton, East Sussex, United Kingdom</t>
  </si>
  <si>
    <t>MCLD-1794</t>
  </si>
  <si>
    <t>RapL</t>
  </si>
  <si>
    <t>https://www.rapl.com</t>
  </si>
  <si>
    <t>MCLD-1795</t>
  </si>
  <si>
    <t>Didask</t>
  </si>
  <si>
    <t>https://www.didask.com</t>
  </si>
  <si>
    <t>Bagnolet, Ile-de-France, France</t>
  </si>
  <si>
    <t>MCLD-1796</t>
  </si>
  <si>
    <t>Wiz Learning</t>
  </si>
  <si>
    <t>https://www.wizlearning.com</t>
  </si>
  <si>
    <t>MCLD-1797</t>
  </si>
  <si>
    <t>Oasis Learning AI</t>
  </si>
  <si>
    <t>https://www.oasislearning.ai</t>
  </si>
  <si>
    <t>MCLD-1798</t>
  </si>
  <si>
    <t>CommonLit</t>
  </si>
  <si>
    <t>https://www.commonlit.org</t>
  </si>
  <si>
    <t>MCLD-1799</t>
  </si>
  <si>
    <t>BeConfident</t>
  </si>
  <si>
    <t>https://www.beconfident.com</t>
  </si>
  <si>
    <t>MCLD-1800</t>
  </si>
  <si>
    <t>Retorio</t>
  </si>
  <si>
    <t>https://www.retorio.com</t>
  </si>
  <si>
    <t>MCLD-1801</t>
  </si>
  <si>
    <t>Innovamat</t>
  </si>
  <si>
    <t>https://www.innovamat.com</t>
  </si>
  <si>
    <t>MCLD-1802</t>
  </si>
  <si>
    <t>BC.Game</t>
  </si>
  <si>
    <t>https://www.bc.game</t>
  </si>
  <si>
    <t>Willemstad, Noord-Brabant, The Netherlands</t>
  </si>
  <si>
    <t>MCLD-1803</t>
  </si>
  <si>
    <t>Education Journey</t>
  </si>
  <si>
    <t>https://www.educationjourney.com</t>
  </si>
  <si>
    <t>Menlo Park, California, United States</t>
  </si>
  <si>
    <t>MCLD-1804</t>
  </si>
  <si>
    <t>Ubimaster</t>
  </si>
  <si>
    <t>https://www.ubimaster.com</t>
  </si>
  <si>
    <t>Baierbrunn, Bayern, Germany</t>
  </si>
  <si>
    <t>MCLD-1805</t>
  </si>
  <si>
    <t>leadership.NET</t>
  </si>
  <si>
    <t>https://www.leadership.net</t>
  </si>
  <si>
    <t>MCLD-1806</t>
  </si>
  <si>
    <t>Augment</t>
  </si>
  <si>
    <t>https://www.augment.com</t>
  </si>
  <si>
    <t>MCLD-1807</t>
  </si>
  <si>
    <t>TeachFX</t>
  </si>
  <si>
    <t>https://www.teachfx.com</t>
  </si>
  <si>
    <t>MCLD-1808</t>
  </si>
  <si>
    <t>Masterplan.com</t>
  </si>
  <si>
    <t>https://www.masterplan.com</t>
  </si>
  <si>
    <t>Bochum, Nordrhein-Westfalen, Germany</t>
  </si>
  <si>
    <t>MCLD-1809</t>
  </si>
  <si>
    <t>Taskbase</t>
  </si>
  <si>
    <t>https://www.taskbase.com</t>
  </si>
  <si>
    <t>MCLD-1810</t>
  </si>
  <si>
    <t>Lumen Learning</t>
  </si>
  <si>
    <t>https://www.lumenlearning.com</t>
  </si>
  <si>
    <t>MCLD-1811</t>
  </si>
  <si>
    <t>Darsel</t>
  </si>
  <si>
    <t>https://www.darsel.ai</t>
  </si>
  <si>
    <t>MCLD-1812</t>
  </si>
  <si>
    <t>The RockED Company</t>
  </si>
  <si>
    <t>https://www.rocked.us</t>
  </si>
  <si>
    <t>MCLD-1813</t>
  </si>
  <si>
    <t>Outlier</t>
  </si>
  <si>
    <t>https://www.outlier.org</t>
  </si>
  <si>
    <t>MCLD-1814</t>
  </si>
  <si>
    <t>Fluency Academy</t>
  </si>
  <si>
    <t>https://www.fluency.academy</t>
  </si>
  <si>
    <t>MCLD-1815</t>
  </si>
  <si>
    <t>Ellevation</t>
  </si>
  <si>
    <t>https://www.ellevationeducation.com</t>
  </si>
  <si>
    <t>MCLD-1816</t>
  </si>
  <si>
    <t>Momentum</t>
  </si>
  <si>
    <t>https://www.momentumlearning.com</t>
  </si>
  <si>
    <t>MCLD-1817</t>
  </si>
  <si>
    <t>Trala</t>
  </si>
  <si>
    <t>https://www.trala.com</t>
  </si>
  <si>
    <t>MCLD-1818</t>
  </si>
  <si>
    <t>Hodoo English</t>
  </si>
  <si>
    <t>https://www.hodoo.com</t>
  </si>
  <si>
    <t>Gwangju, Kwangju-jikhalsi, South Korea</t>
  </si>
  <si>
    <t>MCLD-1819</t>
  </si>
  <si>
    <t>Kinjo</t>
  </si>
  <si>
    <t>https://www.kinjo.io</t>
  </si>
  <si>
    <t>MCLD-1820</t>
  </si>
  <si>
    <t>MyTutor</t>
  </si>
  <si>
    <t>https://www.mytutor.co.uk</t>
  </si>
  <si>
    <t>MCLD-1821</t>
  </si>
  <si>
    <t>Polemos</t>
  </si>
  <si>
    <t>https://www.polemos.com</t>
  </si>
  <si>
    <t>MCLD-1822</t>
  </si>
  <si>
    <t>Juno Journey</t>
  </si>
  <si>
    <t>https://www.junojourney.com</t>
  </si>
  <si>
    <t>Herzliya, Tel Aviv, Israel</t>
  </si>
  <si>
    <t>MCLD-1823</t>
  </si>
  <si>
    <t>Rise Up</t>
  </si>
  <si>
    <t>https://www.riseup.ai</t>
  </si>
  <si>
    <t>MCLD-1824</t>
  </si>
  <si>
    <t>VIPThink</t>
  </si>
  <si>
    <t>https://www.vipthink.com</t>
  </si>
  <si>
    <t>Guangzhou, Guangdong, China</t>
  </si>
  <si>
    <t>MCLD-1825</t>
  </si>
  <si>
    <t>Administrate</t>
  </si>
  <si>
    <t>https://www.getadministrate.com</t>
  </si>
  <si>
    <t>Bozeman, Montana, United States</t>
  </si>
  <si>
    <t>MCLD-1826</t>
  </si>
  <si>
    <t>Supernova AI</t>
  </si>
  <si>
    <t>https://www.supernova.ai</t>
  </si>
  <si>
    <t>MCLD-1827</t>
  </si>
  <si>
    <t>Orlando Science Center</t>
  </si>
  <si>
    <t>https://www.osc.org</t>
  </si>
  <si>
    <t>MCLD-1828</t>
  </si>
  <si>
    <t>Yuno</t>
  </si>
  <si>
    <t>https://www.yunolearning.com</t>
  </si>
  <si>
    <t>MCLD-1829</t>
  </si>
  <si>
    <t>Learnfully</t>
  </si>
  <si>
    <t>https://www.learnfully.com</t>
  </si>
  <si>
    <t>MCLD-1830</t>
  </si>
  <si>
    <t>Kindred</t>
  </si>
  <si>
    <t>https://www.kindred.com</t>
  </si>
  <si>
    <t>MCLD-1831</t>
  </si>
  <si>
    <t>Hectic</t>
  </si>
  <si>
    <t>https://www.hecticapp.com</t>
  </si>
  <si>
    <t>MCLD-1832</t>
  </si>
  <si>
    <t>iLearningEngines</t>
  </si>
  <si>
    <t>https://www.ilearningengines.com</t>
  </si>
  <si>
    <t>Bethesda, Maryland, United States</t>
  </si>
  <si>
    <t>MCLD-1833</t>
  </si>
  <si>
    <t>NeuroNest AI</t>
  </si>
  <si>
    <t>https://www.neuronest.ai</t>
  </si>
  <si>
    <t>MCLD-1834</t>
  </si>
  <si>
    <t>The Wealth Factory</t>
  </si>
  <si>
    <t>https://www.thewealthfactory.com</t>
  </si>
  <si>
    <t>MCLD-1835</t>
  </si>
  <si>
    <t>Batelle</t>
  </si>
  <si>
    <t>https://www.battelle.org</t>
  </si>
  <si>
    <t>MCLD-1836</t>
  </si>
  <si>
    <t>Spelman College</t>
  </si>
  <si>
    <t>https://www.spelman.edu</t>
  </si>
  <si>
    <t>MCLD-1837</t>
  </si>
  <si>
    <t>Pacific Science Center</t>
  </si>
  <si>
    <t>https://www.pacificsciencecenter.org</t>
  </si>
  <si>
    <t>MCLD-1838</t>
  </si>
  <si>
    <t>Village Nanny</t>
  </si>
  <si>
    <t>https://www.villagenanny.com</t>
  </si>
  <si>
    <t>MCLD-1839</t>
  </si>
  <si>
    <t>Play Piper</t>
  </si>
  <si>
    <t>https://www.playpiper.com</t>
  </si>
  <si>
    <t>MCLD-1840</t>
  </si>
  <si>
    <t>BloomTech</t>
  </si>
  <si>
    <t>https://www.bloomtech.com</t>
  </si>
  <si>
    <t>MCLD-1841</t>
  </si>
  <si>
    <t>Yeti Confetti Kids</t>
  </si>
  <si>
    <t>https://www.yeticonfettikids.com</t>
  </si>
  <si>
    <t>MCLD-1842</t>
  </si>
  <si>
    <t>StudyStream</t>
  </si>
  <si>
    <t>https://www.studystream.live</t>
  </si>
  <si>
    <t>MCLD-1843</t>
  </si>
  <si>
    <t>SgharToon</t>
  </si>
  <si>
    <t>https://www.sghartoon.com</t>
  </si>
  <si>
    <t>MCLD-1844</t>
  </si>
  <si>
    <t>Lessonly</t>
  </si>
  <si>
    <t>https://www.lessonly.com</t>
  </si>
  <si>
    <t>MCLD-1845</t>
  </si>
  <si>
    <t>Passion.io</t>
  </si>
  <si>
    <t>https://www.passion.io</t>
  </si>
  <si>
    <t>MCLD-1846</t>
  </si>
  <si>
    <t>Learn.xyz</t>
  </si>
  <si>
    <t>https://www.learn.xyz</t>
  </si>
  <si>
    <t>MCLD-1847</t>
  </si>
  <si>
    <t>FUTURELY</t>
  </si>
  <si>
    <t>https://www.futurely.in</t>
  </si>
  <si>
    <t>MCLD-1848</t>
  </si>
  <si>
    <t>5Mins</t>
  </si>
  <si>
    <t>https://www.5mins.ai</t>
  </si>
  <si>
    <t>MCLD-1849</t>
  </si>
  <si>
    <t>HeyKiddo</t>
  </si>
  <si>
    <t>https://www.heykiddo.com</t>
  </si>
  <si>
    <t>MCLD-1850</t>
  </si>
  <si>
    <t>buildspace</t>
  </si>
  <si>
    <t>https://www.buildspace.so</t>
  </si>
  <si>
    <t>MCLD-1851</t>
  </si>
  <si>
    <t>Moodle</t>
  </si>
  <si>
    <t>https://www.moodle.org</t>
  </si>
  <si>
    <t>MCLD-1852</t>
  </si>
  <si>
    <t>eduBITES</t>
  </si>
  <si>
    <t>https://www.edubites.com</t>
  </si>
  <si>
    <t>MCLD-1853</t>
  </si>
  <si>
    <t>Epopsoft</t>
  </si>
  <si>
    <t>https://www.epopsoft.com</t>
  </si>
  <si>
    <t>MCLD-1854</t>
  </si>
  <si>
    <t>Kahilla</t>
  </si>
  <si>
    <t>https://www.kahilla.com</t>
  </si>
  <si>
    <t>Ketchum, Idaho, United States</t>
  </si>
  <si>
    <t>MCLD-1855</t>
  </si>
  <si>
    <t>Turnitin</t>
  </si>
  <si>
    <t>https://www.turnitin.com</t>
  </si>
  <si>
    <t>MCLD-1856</t>
  </si>
  <si>
    <t>Sunstone Education</t>
  </si>
  <si>
    <t>https://www.sunstone.edu.in</t>
  </si>
  <si>
    <t>MCLD-1857</t>
  </si>
  <si>
    <t>SmartLab</t>
  </si>
  <si>
    <t>https://www.smartlablearning.com</t>
  </si>
  <si>
    <t>Longmont, Colorado, United States</t>
  </si>
  <si>
    <t>MCLD-1858</t>
  </si>
  <si>
    <t>Camp K12</t>
  </si>
  <si>
    <t>https://www.campk12.com</t>
  </si>
  <si>
    <t>MCLD-1859</t>
  </si>
  <si>
    <t>Voxy EnGen</t>
  </si>
  <si>
    <t>https://www.voxy.com</t>
  </si>
  <si>
    <t>MCLD-1860</t>
  </si>
  <si>
    <t>Spriggy</t>
  </si>
  <si>
    <t>https://www.spriggy.com.au</t>
  </si>
  <si>
    <t>MCLD-1861</t>
  </si>
  <si>
    <t>Partners for Rural Impact</t>
  </si>
  <si>
    <t>https://www.prichard.org</t>
  </si>
  <si>
    <t>Kentucky, New South Wales, Australia</t>
  </si>
  <si>
    <t>MCLD-1862</t>
  </si>
  <si>
    <t>OpenCode</t>
  </si>
  <si>
    <t>https://www.opencodes.com</t>
  </si>
  <si>
    <t>MCLD-1863</t>
  </si>
  <si>
    <t>SAM Labs</t>
  </si>
  <si>
    <t>https://www.samlabs.com</t>
  </si>
  <si>
    <t>MCLD-1864</t>
  </si>
  <si>
    <t>Elice</t>
  </si>
  <si>
    <t>https://www.elice.io</t>
  </si>
  <si>
    <t>Gangneung, Kangwon-do, South Korea</t>
  </si>
  <si>
    <t>MCLD-1865</t>
  </si>
  <si>
    <t>BeeSpeaker</t>
  </si>
  <si>
    <t>https://www.beespeaker.com</t>
  </si>
  <si>
    <t>MCLD-1866</t>
  </si>
  <si>
    <t>uLesson</t>
  </si>
  <si>
    <t>https://www.ulesson.com</t>
  </si>
  <si>
    <t>Jos, Plateau, Nigeria</t>
  </si>
  <si>
    <t>MCLD-1867</t>
  </si>
  <si>
    <t>MathBRIX</t>
  </si>
  <si>
    <t>https://www.mathbrix.com</t>
  </si>
  <si>
    <t>MCLD-1868</t>
  </si>
  <si>
    <t>Jumpspeak</t>
  </si>
  <si>
    <t>https://www.jumpspeak.com</t>
  </si>
  <si>
    <t>MCLD-1869</t>
  </si>
  <si>
    <t>Optima</t>
  </si>
  <si>
    <t>https://www.optimatraining.com</t>
  </si>
  <si>
    <t>MCLD-1870</t>
  </si>
  <si>
    <t>RePlayce</t>
  </si>
  <si>
    <t>https://www.replayce.com</t>
  </si>
  <si>
    <t>MCLD-1871</t>
  </si>
  <si>
    <t>eloomi</t>
  </si>
  <si>
    <t>https://www.eloomi.com</t>
  </si>
  <si>
    <t>MCLD-1872</t>
  </si>
  <si>
    <t>i-Scream Media</t>
  </si>
  <si>
    <t>https://www.iscreammedia.com</t>
  </si>
  <si>
    <t>Bundangdong, Kyonggi-do, South Korea</t>
  </si>
  <si>
    <t>MCLD-1873</t>
  </si>
  <si>
    <t>MOJO-CX</t>
  </si>
  <si>
    <t>https://www.mojo-cx.com</t>
  </si>
  <si>
    <t>MCLD-1874</t>
  </si>
  <si>
    <t>MasteryPrep</t>
  </si>
  <si>
    <t>https://www.masteryprep.com</t>
  </si>
  <si>
    <t>Baton Rouge, Louisiana, United States</t>
  </si>
  <si>
    <t>MCLD-1875</t>
  </si>
  <si>
    <t>Authoritive</t>
  </si>
  <si>
    <t>https://www.authoritive.com</t>
  </si>
  <si>
    <t>MCLD-1876</t>
  </si>
  <si>
    <t>Raven360</t>
  </si>
  <si>
    <t>https://www.raven360.com</t>
  </si>
  <si>
    <t>MCLD-1877</t>
  </si>
  <si>
    <t>Meishubao</t>
  </si>
  <si>
    <t>https://www.meishubao.com</t>
  </si>
  <si>
    <t>MCLD-1878</t>
  </si>
  <si>
    <t>ConveGenius</t>
  </si>
  <si>
    <t>https://www.convegenius.ai</t>
  </si>
  <si>
    <t>MCLD-1879</t>
  </si>
  <si>
    <t>Acadeum</t>
  </si>
  <si>
    <t>https://www.acadeum.com</t>
  </si>
  <si>
    <t>MCLD-1880</t>
  </si>
  <si>
    <t>Inspired Education</t>
  </si>
  <si>
    <t>https://www.inspirededu.com</t>
  </si>
  <si>
    <t>Woolooware, New South Wales, Australia</t>
  </si>
  <si>
    <t>MCLD-1881</t>
  </si>
  <si>
    <t>Sown To Grow</t>
  </si>
  <si>
    <t>https://www.sowntogrow.com</t>
  </si>
  <si>
    <t>MCLD-1882</t>
  </si>
  <si>
    <t>A Cloud Guru</t>
  </si>
  <si>
    <t>https://www.pluralsight.com/cloud-guru</t>
  </si>
  <si>
    <t>MCLD-1883</t>
  </si>
  <si>
    <t>Klara</t>
  </si>
  <si>
    <t>https://www.klara.com</t>
  </si>
  <si>
    <t>MCLD-1884</t>
  </si>
  <si>
    <t>SkillUp Online</t>
  </si>
  <si>
    <t>https://www.skillup.online</t>
  </si>
  <si>
    <t>MCLD-1885</t>
  </si>
  <si>
    <t>MobieTrain</t>
  </si>
  <si>
    <t>https://www.mobietrain.com</t>
  </si>
  <si>
    <t>Genk, Limburg, Belgium</t>
  </si>
  <si>
    <t>MCLD-1886</t>
  </si>
  <si>
    <t>Art of Problem Solving</t>
  </si>
  <si>
    <t>https://www.aops.com</t>
  </si>
  <si>
    <t>MCLD-1887</t>
  </si>
  <si>
    <t>Hilokal</t>
  </si>
  <si>
    <t>https://www.hilokal.com</t>
  </si>
  <si>
    <t>MCLD-1888</t>
  </si>
  <si>
    <t>NOLEJ</t>
  </si>
  <si>
    <t>https://www.nolej.io</t>
  </si>
  <si>
    <t>Lille, Nord-Pas-de-Calais, France</t>
  </si>
  <si>
    <t>MCLD-1889</t>
  </si>
  <si>
    <t>STEM</t>
  </si>
  <si>
    <t>https://www.stem.org</t>
  </si>
  <si>
    <t>MCLD-1890</t>
  </si>
  <si>
    <t>PINTAR</t>
  </si>
  <si>
    <t>https://www.pintar.co</t>
  </si>
  <si>
    <t>Jakarta Pusat, Jakarta Raya, Indonesia</t>
  </si>
  <si>
    <t>MCLD-1891</t>
  </si>
  <si>
    <t>Dewey</t>
  </si>
  <si>
    <t>https://www.deweylearning.com</t>
  </si>
  <si>
    <t>Yarmouth, Maine, United States</t>
  </si>
  <si>
    <t>MCLD-1892</t>
  </si>
  <si>
    <t>MentorShow</t>
  </si>
  <si>
    <t>https://www.mentorshow.com</t>
  </si>
  <si>
    <t>MCLD-1893</t>
  </si>
  <si>
    <t>Artium Academy</t>
  </si>
  <si>
    <t>https://www.artiumacademy.com</t>
  </si>
  <si>
    <t>MCLD-1894</t>
  </si>
  <si>
    <t>Filtered</t>
  </si>
  <si>
    <t>https://www.filtered.com</t>
  </si>
  <si>
    <t>MCLD-1895</t>
  </si>
  <si>
    <t>UNPACKING</t>
  </si>
  <si>
    <t>https://www.unpacking.org</t>
  </si>
  <si>
    <t>MCLD-1896</t>
  </si>
  <si>
    <t>Rocket Learning</t>
  </si>
  <si>
    <t>https://www.rocketlearning.org</t>
  </si>
  <si>
    <t>MCLD-1897</t>
  </si>
  <si>
    <t>Tallo</t>
  </si>
  <si>
    <t>https://www.tallo.com</t>
  </si>
  <si>
    <t>Mt Pleasant, South Carolina, United States</t>
  </si>
  <si>
    <t>MCLD-1898</t>
  </si>
  <si>
    <t>Beelinguapp</t>
  </si>
  <si>
    <t>https://www.beelinguapp.com</t>
  </si>
  <si>
    <t>MCLD-1899</t>
  </si>
  <si>
    <t>LumiQ</t>
  </si>
  <si>
    <t>https://www.lumiq.ai</t>
  </si>
  <si>
    <t>MCLD-1900</t>
  </si>
  <si>
    <t>Hellosaurus</t>
  </si>
  <si>
    <t>https://www.hellosaurus.com</t>
  </si>
  <si>
    <t>MCLD-1901</t>
  </si>
  <si>
    <t>iPondr</t>
  </si>
  <si>
    <t>https://www.ipondr.com</t>
  </si>
  <si>
    <t>MCLD-1902</t>
  </si>
  <si>
    <t>hiitide</t>
  </si>
  <si>
    <t>https://www.hiitide.com</t>
  </si>
  <si>
    <t>MCLD-1903</t>
  </si>
  <si>
    <t>Pandai</t>
  </si>
  <si>
    <t>https://www.pand.ai</t>
  </si>
  <si>
    <t>Kuala Lumpur, Kuala Lumpur, Malaysia</t>
  </si>
  <si>
    <t>MCLD-1904</t>
  </si>
  <si>
    <t>eLearning Brothers</t>
  </si>
  <si>
    <t>https://www.elearningbrothers.com</t>
  </si>
  <si>
    <t>American Fork, Utah, United States</t>
  </si>
  <si>
    <t>MCLD-1905</t>
  </si>
  <si>
    <t>Monark</t>
  </si>
  <si>
    <t>https://www.monark.ai</t>
  </si>
  <si>
    <t>MCLD-1906</t>
  </si>
  <si>
    <t>a2zebra</t>
  </si>
  <si>
    <t>https://www.a2zebra.com</t>
  </si>
  <si>
    <t>MCLD-1907</t>
  </si>
  <si>
    <t>AllRight.com</t>
  </si>
  <si>
    <t>https://www.allright.com</t>
  </si>
  <si>
    <t>MCLD-1908</t>
  </si>
  <si>
    <t>Twenix</t>
  </si>
  <si>
    <t>https://www.twenix.com</t>
  </si>
  <si>
    <t>MCLD-1909</t>
  </si>
  <si>
    <t>Pamoja</t>
  </si>
  <si>
    <t>https://www.pamojaeducation.com</t>
  </si>
  <si>
    <t>Kidlington, Oxfordshire, United Kingdom</t>
  </si>
  <si>
    <t>MCLD-1910</t>
  </si>
  <si>
    <t>MathDash</t>
  </si>
  <si>
    <t>https://www.mathdash.com</t>
  </si>
  <si>
    <t>MCLD-1911</t>
  </si>
  <si>
    <t>VIPKID</t>
  </si>
  <si>
    <t>https://www.vipkid.com</t>
  </si>
  <si>
    <t>MCLD-1912</t>
  </si>
  <si>
    <t>Create &amp; Learn</t>
  </si>
  <si>
    <t>https://www.create-learn.us</t>
  </si>
  <si>
    <t>MCLD-1913</t>
  </si>
  <si>
    <t>Oxford Medical Simulation</t>
  </si>
  <si>
    <t>https://www.oxfordmedicalsimulation.com</t>
  </si>
  <si>
    <t>MCLD-1914</t>
  </si>
  <si>
    <t>LIT Videobooks</t>
  </si>
  <si>
    <t>https://www.litvideobooks.com</t>
  </si>
  <si>
    <t>MCLD-1915</t>
  </si>
  <si>
    <t>Skill Struck</t>
  </si>
  <si>
    <t>https://www.skillstruck.com</t>
  </si>
  <si>
    <t>MCLD-1916</t>
  </si>
  <si>
    <t>Rocky</t>
  </si>
  <si>
    <t>https://www.myrocky.ca</t>
  </si>
  <si>
    <t>Preston, Lancashire, United Kingdom</t>
  </si>
  <si>
    <t>MCLD-1917</t>
  </si>
  <si>
    <t>Third Space Learning</t>
  </si>
  <si>
    <t>https://www.thirdspacelearning.com</t>
  </si>
  <si>
    <t>MCLD-1918</t>
  </si>
  <si>
    <t>Careervira</t>
  </si>
  <si>
    <t>https://www.careervira.com</t>
  </si>
  <si>
    <t>MCLD-1919</t>
  </si>
  <si>
    <t>EBAC Online</t>
  </si>
  <si>
    <t>https://www.ebaconline.com.br</t>
  </si>
  <si>
    <t>MCLD-1920</t>
  </si>
  <si>
    <t>Edukoya</t>
  </si>
  <si>
    <t>https://www.edukoya.com</t>
  </si>
  <si>
    <t>MCLD-1921</t>
  </si>
  <si>
    <t>uDocz</t>
  </si>
  <si>
    <t>https://www.udocz.com</t>
  </si>
  <si>
    <t>MCLD-1922</t>
  </si>
  <si>
    <t>Letrus</t>
  </si>
  <si>
    <t>https://www.letrus.com.br</t>
  </si>
  <si>
    <t>MCLD-1923</t>
  </si>
  <si>
    <t>Sparx</t>
  </si>
  <si>
    <t>https://www.sparx.co.uk</t>
  </si>
  <si>
    <t>Devon, Pennsylvania, United States</t>
  </si>
  <si>
    <t>MCLD-1924</t>
  </si>
  <si>
    <t>Virtanza</t>
  </si>
  <si>
    <t>https://www.virtanza.com</t>
  </si>
  <si>
    <t>Laguna Niguel, California, United States</t>
  </si>
  <si>
    <t>MCLD-1925</t>
  </si>
  <si>
    <t>Pair AI</t>
  </si>
  <si>
    <t>https://www.pair.ai</t>
  </si>
  <si>
    <t>MCLD-1926</t>
  </si>
  <si>
    <t>Avallain</t>
  </si>
  <si>
    <t>https://www.avallain.com</t>
  </si>
  <si>
    <t>Sankt Gallen, Sankt Gallen, Switzerland</t>
  </si>
  <si>
    <t>MCLD-1927</t>
  </si>
  <si>
    <t>OpenStax</t>
  </si>
  <si>
    <t>https://www.openstax.org</t>
  </si>
  <si>
    <t>MCLD-1928</t>
  </si>
  <si>
    <t>Incision</t>
  </si>
  <si>
    <t>https://www.incision.care</t>
  </si>
  <si>
    <t>MCLD-1929</t>
  </si>
  <si>
    <t>Grasp</t>
  </si>
  <si>
    <t>https://www.grasp.education</t>
  </si>
  <si>
    <t>MCLD-1930</t>
  </si>
  <si>
    <t>Mimo</t>
  </si>
  <si>
    <t>https://www.getmimo.com</t>
  </si>
  <si>
    <t>MCLD-1931</t>
  </si>
  <si>
    <t>Strive Education</t>
  </si>
  <si>
    <t>https://www.striveeducation.org</t>
  </si>
  <si>
    <t>MCLD-1932</t>
  </si>
  <si>
    <t>Cognitive ToyBox</t>
  </si>
  <si>
    <t>https://www.cognitivetoybox.com</t>
  </si>
  <si>
    <t>MCLD-1933</t>
  </si>
  <si>
    <t>Edupia</t>
  </si>
  <si>
    <t>https://www.edupia.vn</t>
  </si>
  <si>
    <t>MCLD-1934</t>
  </si>
  <si>
    <t>Kidzovo</t>
  </si>
  <si>
    <t>https://www.kidzovo.com</t>
  </si>
  <si>
    <t>MCLD-1935</t>
  </si>
  <si>
    <t>Coassemble</t>
  </si>
  <si>
    <t>https://www.coassemble.com</t>
  </si>
  <si>
    <t>Newcastle, New South Wales, Australia</t>
  </si>
  <si>
    <t>MCLD-1936</t>
  </si>
  <si>
    <t>Avanoo</t>
  </si>
  <si>
    <t>https://www.avanoo.com</t>
  </si>
  <si>
    <t>MCLD-1937</t>
  </si>
  <si>
    <t>Lead Inclusively</t>
  </si>
  <si>
    <t>https://www.leadinclusively.com</t>
  </si>
  <si>
    <t>MCLD-1938</t>
  </si>
  <si>
    <t>PlusPlus</t>
  </si>
  <si>
    <t>https://www.plus-plus.com</t>
  </si>
  <si>
    <t>MCLD-1939</t>
  </si>
  <si>
    <t>Zoog</t>
  </si>
  <si>
    <t>https://www.zoog.ai</t>
  </si>
  <si>
    <t>MCLD-1940</t>
  </si>
  <si>
    <t>Bethink</t>
  </si>
  <si>
    <t>https://www.bethink.org</t>
  </si>
  <si>
    <t>Poznan, Wielkopolskie, Poland</t>
  </si>
  <si>
    <t>MCLD-1941</t>
  </si>
  <si>
    <t>Vygo</t>
  </si>
  <si>
    <t>https://www.vygoapp.com</t>
  </si>
  <si>
    <t>MCLD-1942</t>
  </si>
  <si>
    <t>FoondaMate</t>
  </si>
  <si>
    <t>https://www.foondamate.com</t>
  </si>
  <si>
    <t>MCLD-1943</t>
  </si>
  <si>
    <t>Kara Technologies</t>
  </si>
  <si>
    <t>https://www.karatechnologies.com</t>
  </si>
  <si>
    <t>MCLD-1944</t>
  </si>
  <si>
    <t>Sageful AI</t>
  </si>
  <si>
    <t>https://www.sageful.ai</t>
  </si>
  <si>
    <t>MCLD-1945</t>
  </si>
  <si>
    <t>Alchemie Solutions</t>
  </si>
  <si>
    <t>https://www.alchemiesolutions.com</t>
  </si>
  <si>
    <t>Troy, Michigan, United States</t>
  </si>
  <si>
    <t>MCLD-1946</t>
  </si>
  <si>
    <t>BibliU</t>
  </si>
  <si>
    <t>https://www.bibliu.com</t>
  </si>
  <si>
    <t>MCLD-1947</t>
  </si>
  <si>
    <t>ArtMaster</t>
  </si>
  <si>
    <t>https://www.artmaster.com</t>
  </si>
  <si>
    <t>MCLD-1948</t>
  </si>
  <si>
    <t>DeepSkill</t>
  </si>
  <si>
    <t>https://www.deepskill.com</t>
  </si>
  <si>
    <t>KÃ¶ln, Nordrhein-Westfalen, Germany</t>
  </si>
  <si>
    <t>MCLD-1949</t>
  </si>
  <si>
    <t>AViD</t>
  </si>
  <si>
    <t>https://www.avid.org</t>
  </si>
  <si>
    <t>MCLD-1950</t>
  </si>
  <si>
    <t>Mentessa</t>
  </si>
  <si>
    <t>https://www.mentessa.com</t>
  </si>
  <si>
    <t>MCLD-1951</t>
  </si>
  <si>
    <t>Uchi.ru</t>
  </si>
  <si>
    <t>https://www.uchi.ru</t>
  </si>
  <si>
    <t>MCLD-1952</t>
  </si>
  <si>
    <t>SolBe Learning</t>
  </si>
  <si>
    <t>https://www.solbelearning.com</t>
  </si>
  <si>
    <t>MCLD-1953</t>
  </si>
  <si>
    <t>Mimeo</t>
  </si>
  <si>
    <t>https://www.mimeo.com</t>
  </si>
  <si>
    <t>MCLD-1954</t>
  </si>
  <si>
    <t>The Corporate Governance Institute</t>
  </si>
  <si>
    <t>https://www.thecorporategovernanceinstitute.com</t>
  </si>
  <si>
    <t>MCLD-1955</t>
  </si>
  <si>
    <t>Alongside</t>
  </si>
  <si>
    <t>https://www.alongside.care</t>
  </si>
  <si>
    <t>MCLD-1956</t>
  </si>
  <si>
    <t>TechCurators</t>
  </si>
  <si>
    <t>https://www.techcurators.com</t>
  </si>
  <si>
    <t>MCLD-1957</t>
  </si>
  <si>
    <t>The Shift Network</t>
  </si>
  <si>
    <t>https://www.theshiftnetwork.com</t>
  </si>
  <si>
    <t>San Rafael, California, United States</t>
  </si>
  <si>
    <t>MCLD-1958</t>
  </si>
  <si>
    <t>myskillcamp</t>
  </si>
  <si>
    <t>https://www.myskillcamp.com</t>
  </si>
  <si>
    <t>Tournai, Hainaut, Belgium</t>
  </si>
  <si>
    <t>MCLD-1959</t>
  </si>
  <si>
    <t>Shoelace Learning</t>
  </si>
  <si>
    <t>https://www.shoelacelearning.com</t>
  </si>
  <si>
    <t>MCLD-1960</t>
  </si>
  <si>
    <t>Edunoor</t>
  </si>
  <si>
    <t>https://www.edunoor.com</t>
  </si>
  <si>
    <t>Westminster, California, United States</t>
  </si>
  <si>
    <t>MCLD-1961</t>
  </si>
  <si>
    <t>Fluent Forever</t>
  </si>
  <si>
    <t>https://www.fluent-forever.com</t>
  </si>
  <si>
    <t>MCLD-1962</t>
  </si>
  <si>
    <t>Elai.io</t>
  </si>
  <si>
    <t>https://www.elai.io</t>
  </si>
  <si>
    <t>MCLD-1963</t>
  </si>
  <si>
    <t>Huikedu Group</t>
  </si>
  <si>
    <t>https://www.huikedu.com</t>
  </si>
  <si>
    <t>MCLD-1964</t>
  </si>
  <si>
    <t>Jigsaw</t>
  </si>
  <si>
    <t>https://www.jigsawlearning.com</t>
  </si>
  <si>
    <t>Gainesville, Georgia, United States</t>
  </si>
  <si>
    <t>MCLD-1965</t>
  </si>
  <si>
    <t>Impelsys</t>
  </si>
  <si>
    <t>https://www.impelsys.com</t>
  </si>
  <si>
    <t>MCLD-1966</t>
  </si>
  <si>
    <t>Arty</t>
  </si>
  <si>
    <t>https://www.arty.co</t>
  </si>
  <si>
    <t>MCLD-1967</t>
  </si>
  <si>
    <t>Gaosi Education Group</t>
  </si>
  <si>
    <t>https://www.gaosi.com</t>
  </si>
  <si>
    <t>MCLD-1968</t>
  </si>
  <si>
    <t>Skoove</t>
  </si>
  <si>
    <t>https://www.skoove.com</t>
  </si>
  <si>
    <t>MCLD-1969</t>
  </si>
  <si>
    <t>Up Learn</t>
  </si>
  <si>
    <t>https://www.up-learn.co.uk</t>
  </si>
  <si>
    <t>MCLD-1970</t>
  </si>
  <si>
    <t>DaDa</t>
  </si>
  <si>
    <t>https://www.dadaenglish.com</t>
  </si>
  <si>
    <t>MCLD-1971</t>
  </si>
  <si>
    <t>Chatterbox</t>
  </si>
  <si>
    <t>https://www.chatterbox.org</t>
  </si>
  <si>
    <t>MCLD-1972</t>
  </si>
  <si>
    <t>Maqsad</t>
  </si>
  <si>
    <t>https://www.maqsad.io</t>
  </si>
  <si>
    <t>Karachi, Sindh, Pakistan</t>
  </si>
  <si>
    <t>MCLD-1973</t>
  </si>
  <si>
    <t>Reflection Sciences</t>
  </si>
  <si>
    <t>https://www.reflectionsciences.com</t>
  </si>
  <si>
    <t>MCLD-1974</t>
  </si>
  <si>
    <t>Yes Collective</t>
  </si>
  <si>
    <t>https://www.yescollective.com</t>
  </si>
  <si>
    <t>MCLD-1975</t>
  </si>
  <si>
    <t>PlayPosit</t>
  </si>
  <si>
    <t>https://www.playposit.com</t>
  </si>
  <si>
    <t>MCLD-1976</t>
  </si>
  <si>
    <t>NextWork</t>
  </si>
  <si>
    <t>https://www.nextwork.org</t>
  </si>
  <si>
    <t>MCLD-1977</t>
  </si>
  <si>
    <t>Zookal</t>
  </si>
  <si>
    <t>https://www.zookal.com</t>
  </si>
  <si>
    <t>MCLD-1978</t>
  </si>
  <si>
    <t>Virtually</t>
  </si>
  <si>
    <t>https://www.virtuallylearning.com</t>
  </si>
  <si>
    <t>MCLD-1979</t>
  </si>
  <si>
    <t>Clypp</t>
  </si>
  <si>
    <t>https://www.clypp.com</t>
  </si>
  <si>
    <t>MCLD-1980</t>
  </si>
  <si>
    <t>HerKey (formerly JobsForHer)</t>
  </si>
  <si>
    <t>https://www.herkey.com</t>
  </si>
  <si>
    <t>MCLD-1981</t>
  </si>
  <si>
    <t>ZolTrain</t>
  </si>
  <si>
    <t>https://www.zoltrain.com</t>
  </si>
  <si>
    <t>MCLD-1982</t>
  </si>
  <si>
    <t>Simbel</t>
  </si>
  <si>
    <t>https://www.simbel.com</t>
  </si>
  <si>
    <t>MCLD-1983</t>
  </si>
  <si>
    <t>Nao Now</t>
  </si>
  <si>
    <t>https://www.naonow.com</t>
  </si>
  <si>
    <t>MCLD-1984</t>
  </si>
  <si>
    <t>OpenDoor</t>
  </si>
  <si>
    <t>https://www.opendoorlearning.com</t>
  </si>
  <si>
    <t>MCLD-1985</t>
  </si>
  <si>
    <t>Attensi</t>
  </si>
  <si>
    <t>https://www.attensi.com</t>
  </si>
  <si>
    <t>MCLD-1986</t>
  </si>
  <si>
    <t>XiaoMa.Wang</t>
  </si>
  <si>
    <t>https://www.xiaomawang.com</t>
  </si>
  <si>
    <t>MCLD-1987</t>
  </si>
  <si>
    <t>Whales English Elite Education</t>
  </si>
  <si>
    <t>https://www.whalesenglish.com</t>
  </si>
  <si>
    <t>MCLD-1988</t>
  </si>
  <si>
    <t>EvidenceB</t>
  </si>
  <si>
    <t>https://www.evidenceb.com</t>
  </si>
  <si>
    <t>MCLD-1989</t>
  </si>
  <si>
    <t>Imprint</t>
  </si>
  <si>
    <t>https://www.imprint.co</t>
  </si>
  <si>
    <t>MCLD-1990</t>
  </si>
  <si>
    <t>zyBooks</t>
  </si>
  <si>
    <t>https://www.zybooks.com</t>
  </si>
  <si>
    <t>MCLD-1991</t>
  </si>
  <si>
    <t>Questt</t>
  </si>
  <si>
    <t>https://www.questt.com</t>
  </si>
  <si>
    <t>MCLD-1992</t>
  </si>
  <si>
    <t>Solo Music</t>
  </si>
  <si>
    <t>https://www.solomusic.com</t>
  </si>
  <si>
    <t>Chongqing, Heilongjiang, China</t>
  </si>
  <si>
    <t>MCLD-1993</t>
  </si>
  <si>
    <t>Amplifire</t>
  </si>
  <si>
    <t>https://www.amplifire.com</t>
  </si>
  <si>
    <t>MCLD-1994</t>
  </si>
  <si>
    <t>Hello Genius</t>
  </si>
  <si>
    <t>https://www.hellogenius.com</t>
  </si>
  <si>
    <t>MCLD-1995</t>
  </si>
  <si>
    <t>Fluence</t>
  </si>
  <si>
    <t>https://www.fluencelearning.com</t>
  </si>
  <si>
    <t>MCLD-1996</t>
  </si>
  <si>
    <t>Trivie</t>
  </si>
  <si>
    <t>https://www.trivie.com</t>
  </si>
  <si>
    <t>MCLD-1997</t>
  </si>
  <si>
    <t>Koru</t>
  </si>
  <si>
    <t>https://www.koru.com</t>
  </si>
  <si>
    <t>MCLD-1998</t>
  </si>
  <si>
    <t>Scalers</t>
  </si>
  <si>
    <t>https://www.scalers.ai</t>
  </si>
  <si>
    <t>MCLD-1999</t>
  </si>
  <si>
    <t>Yanadoo</t>
  </si>
  <si>
    <t>https://www.yanadoo.com</t>
  </si>
  <si>
    <t>MCLD-2000</t>
  </si>
  <si>
    <t>Noevo.io</t>
  </si>
  <si>
    <t>https://www.noevo.io</t>
  </si>
  <si>
    <t>MCLD-2001</t>
  </si>
  <si>
    <t>YOURIKA</t>
  </si>
  <si>
    <t>https://www.yourika.com</t>
  </si>
  <si>
    <t>MCLD-2002</t>
  </si>
  <si>
    <t>Edureka</t>
  </si>
  <si>
    <t>https://www.edureka.co</t>
  </si>
  <si>
    <t>MCLD-2003</t>
  </si>
  <si>
    <t>lapzo</t>
  </si>
  <si>
    <t>https://www.lapzo.com</t>
  </si>
  <si>
    <t>San Pedro, Nuevo Leon, Mexico</t>
  </si>
  <si>
    <t>MCLD-2004</t>
  </si>
  <si>
    <t>gyde</t>
  </si>
  <si>
    <t>https://www.gyde.ai</t>
  </si>
  <si>
    <t>Stuttgart, Baden-Wurttemberg, Germany</t>
  </si>
  <si>
    <t>MCLD-2005</t>
  </si>
  <si>
    <t>Xigua City</t>
  </si>
  <si>
    <t>https://www.xiguacity.cn</t>
  </si>
  <si>
    <t>MCLD-2006</t>
  </si>
  <si>
    <t>Create Academy</t>
  </si>
  <si>
    <t>https://www.createacademy.com</t>
  </si>
  <si>
    <t>MCLD-2007</t>
  </si>
  <si>
    <t>Aspireship</t>
  </si>
  <si>
    <t>https://www.aspireship.com</t>
  </si>
  <si>
    <t>MCLD-2008</t>
  </si>
  <si>
    <t>Tailor-ED</t>
  </si>
  <si>
    <t>https://www.tailor-ed.com</t>
  </si>
  <si>
    <t>MCLD-2009</t>
  </si>
  <si>
    <t>Skillcast</t>
  </si>
  <si>
    <t>https://www.skillcast.com</t>
  </si>
  <si>
    <t>MCLD-2010</t>
  </si>
  <si>
    <t>Zeraki</t>
  </si>
  <si>
    <t>https://www.zeraki.co.ke</t>
  </si>
  <si>
    <t>MCLD-2011</t>
  </si>
  <si>
    <t>CollPoll</t>
  </si>
  <si>
    <t>https://www.collpoll.com</t>
  </si>
  <si>
    <t>MCLD-2012</t>
  </si>
  <si>
    <t>Blue Sky eLearn</t>
  </si>
  <si>
    <t>https://www.blueskyelearn.com</t>
  </si>
  <si>
    <t>MCLD-2013</t>
  </si>
  <si>
    <t>Englease</t>
  </si>
  <si>
    <t>https://www.englease.com</t>
  </si>
  <si>
    <t>MCLD-2014</t>
  </si>
  <si>
    <t>Freedom Learning Group</t>
  </si>
  <si>
    <t>https://www.freedomlearninggroup.com</t>
  </si>
  <si>
    <t>Lake Mary, Florida, United States</t>
  </si>
  <si>
    <t>MCLD-2015</t>
  </si>
  <si>
    <t>Konversai Inc.</t>
  </si>
  <si>
    <t>https://www.konversai.com</t>
  </si>
  <si>
    <t>MCLD-2016</t>
  </si>
  <si>
    <t>WorkRamp</t>
  </si>
  <si>
    <t>https://www.workramp.com</t>
  </si>
  <si>
    <t>MCLD-2017</t>
  </si>
  <si>
    <t>Inq-ITS</t>
  </si>
  <si>
    <t>https://www.inq-its.com</t>
  </si>
  <si>
    <t>Worcester, Massachusetts, United States</t>
  </si>
  <si>
    <t>MCLD-2018</t>
  </si>
  <si>
    <t>Coachbit</t>
  </si>
  <si>
    <t>https://www.coachbit.com</t>
  </si>
  <si>
    <t>MCLD-2019</t>
  </si>
  <si>
    <t>BlaBla Edtech</t>
  </si>
  <si>
    <t>https://www.blablaedtech.com</t>
  </si>
  <si>
    <t>MCLD-2020</t>
  </si>
  <si>
    <t>WeAce</t>
  </si>
  <si>
    <t>https://www.weace.io</t>
  </si>
  <si>
    <t>MCLD-2021</t>
  </si>
  <si>
    <t>Konfetti</t>
  </si>
  <si>
    <t>https://www.konfetti.com</t>
  </si>
  <si>
    <t>MCLD-2022</t>
  </si>
  <si>
    <t>JNCTN</t>
  </si>
  <si>
    <t>https://www.jnctn.com</t>
  </si>
  <si>
    <t>MCLD-2023</t>
  </si>
  <si>
    <t>tonestro</t>
  </si>
  <si>
    <t>https://www.tonestro.com</t>
  </si>
  <si>
    <t>Hagenberg, Oberosterreich, Austria</t>
  </si>
  <si>
    <t>MCLD-2024</t>
  </si>
  <si>
    <t>Quality Online Education Group</t>
  </si>
  <si>
    <t>https://www.qoeg.com</t>
  </si>
  <si>
    <t>MCLD-2025</t>
  </si>
  <si>
    <t>Shatterbox</t>
  </si>
  <si>
    <t>https://www.shatterbox.com</t>
  </si>
  <si>
    <t>MCLD-2026</t>
  </si>
  <si>
    <t>ZuAI</t>
  </si>
  <si>
    <t>https://www.zu.ai</t>
  </si>
  <si>
    <t>MCLD-2027</t>
  </si>
  <si>
    <t>Athena AI</t>
  </si>
  <si>
    <t>https://www.athena.ai</t>
  </si>
  <si>
    <t>MCLD-2028</t>
  </si>
  <si>
    <t>Memorang</t>
  </si>
  <si>
    <t>https://www.memorang.com</t>
  </si>
  <si>
    <t>MCLD-2029</t>
  </si>
  <si>
    <t>iStoria</t>
  </si>
  <si>
    <t>https://www.istoria.io</t>
  </si>
  <si>
    <t>MCLD-2030</t>
  </si>
  <si>
    <t>Niyyah</t>
  </si>
  <si>
    <t>https://www.niyyah.com</t>
  </si>
  <si>
    <t>MCLD-2031</t>
  </si>
  <si>
    <t>Tribe XR</t>
  </si>
  <si>
    <t>https://www.tribexr.com</t>
  </si>
  <si>
    <t>MCLD-2032</t>
  </si>
  <si>
    <t>Early Steps Academy</t>
  </si>
  <si>
    <t>https://www.earlystepsacademy.com</t>
  </si>
  <si>
    <t>MCLD-2033</t>
  </si>
  <si>
    <t>Scrimba</t>
  </si>
  <si>
    <t>https://www.scrimba.com</t>
  </si>
  <si>
    <t>MCLD-2034</t>
  </si>
  <si>
    <t>Wellness Coaches USA</t>
  </si>
  <si>
    <t>https://www.wellnesscoachesusa.com</t>
  </si>
  <si>
    <t>Blue Bell, Pennsylvania, United States</t>
  </si>
  <si>
    <t>MCLD-2035</t>
  </si>
  <si>
    <t>Kouncel</t>
  </si>
  <si>
    <t>https://www.kouncel.com</t>
  </si>
  <si>
    <t>MCLD-2036</t>
  </si>
  <si>
    <t>SP Robotic Works</t>
  </si>
  <si>
    <t>https://www.sproboticworks.com</t>
  </si>
  <si>
    <t>MCLD-2037</t>
  </si>
  <si>
    <t>Peakperformer</t>
  </si>
  <si>
    <t>https://www.peakperformer.io</t>
  </si>
  <si>
    <t>MCLD-2038</t>
  </si>
  <si>
    <t>KidariStudio</t>
  </si>
  <si>
    <t>https://www.kidaristudio.com</t>
  </si>
  <si>
    <t>Mapo, Seoul-t'ukpyolsi, South Korea</t>
  </si>
  <si>
    <t>MCLD-2039</t>
  </si>
  <si>
    <t>Crack The Code</t>
  </si>
  <si>
    <t>https://www.crackthecode.in</t>
  </si>
  <si>
    <t>MCLD-2040</t>
  </si>
  <si>
    <t>Lernx</t>
  </si>
  <si>
    <t>https://www.lernx.com</t>
  </si>
  <si>
    <t>MCLD-2041</t>
  </si>
  <si>
    <t>Marketing Artificial Intelligence Institute</t>
  </si>
  <si>
    <t>https://www.marie.ai</t>
  </si>
  <si>
    <t>MCLD-2042</t>
  </si>
  <si>
    <t>VAINO APP LTD</t>
  </si>
  <si>
    <t>https://www.vaino.app</t>
  </si>
  <si>
    <t>Asaba, Delta, Nigeria</t>
  </si>
  <si>
    <t>MCLD-2043</t>
  </si>
  <si>
    <t>Cubos Academy</t>
  </si>
  <si>
    <t>https://www.cubos.academy</t>
  </si>
  <si>
    <t>Salvador, Sao Paulo, Brazil</t>
  </si>
  <si>
    <t>MCLD-2044</t>
  </si>
  <si>
    <t>WeSchool</t>
  </si>
  <si>
    <t>https://www.weschool.com</t>
  </si>
  <si>
    <t>MCLD-2045</t>
  </si>
  <si>
    <t>ProctorFree</t>
  </si>
  <si>
    <t>https://www.proctorfree.com</t>
  </si>
  <si>
    <t>Huntersville, North Carolina, United States</t>
  </si>
  <si>
    <t>MCLD-2046</t>
  </si>
  <si>
    <t>Skillset</t>
  </si>
  <si>
    <t>https://www.skillset.com</t>
  </si>
  <si>
    <t>MCLD-2047</t>
  </si>
  <si>
    <t>Wonderwall</t>
  </si>
  <si>
    <t>https://www.wonderwall.com</t>
  </si>
  <si>
    <t>Yeoksamdong, Seoul-t'ukpyolsi, South Korea</t>
  </si>
  <si>
    <t>MCLD-2048</t>
  </si>
  <si>
    <t>Your Juno</t>
  </si>
  <si>
    <t>https://www.yourjuno.com</t>
  </si>
  <si>
    <t>MCLD-2049</t>
  </si>
  <si>
    <t>Jump Start Tutoring</t>
  </si>
  <si>
    <t>https://www.jumpstarttutoring.com</t>
  </si>
  <si>
    <t>Pembroke Pines, Florida, United States</t>
  </si>
  <si>
    <t>MCLD-2050</t>
  </si>
  <si>
    <t>Disprz</t>
  </si>
  <si>
    <t>https://www.disprz.ai</t>
  </si>
  <si>
    <t>MCLD-2051</t>
  </si>
  <si>
    <t>Ms.Engineer</t>
  </si>
  <si>
    <t>https://www.msengineer.org</t>
  </si>
  <si>
    <t>MCLD-2052</t>
  </si>
  <si>
    <t>99math</t>
  </si>
  <si>
    <t>https://www.99math.com</t>
  </si>
  <si>
    <t>MCLD-2053</t>
  </si>
  <si>
    <t>Pakistan</t>
  </si>
  <si>
    <t>https://www.pakistan.gov.pk</t>
  </si>
  <si>
    <t>MCLD-2054</t>
  </si>
  <si>
    <t>Cake</t>
  </si>
  <si>
    <t>https://www.cake.me</t>
  </si>
  <si>
    <t>MCLD-2055</t>
  </si>
  <si>
    <t>Zoomi</t>
  </si>
  <si>
    <t>https://www.zoomi.ai</t>
  </si>
  <si>
    <t>MCLD-2056</t>
  </si>
  <si>
    <t>CCRPS</t>
  </si>
  <si>
    <t>https://www.ccrps.org</t>
  </si>
  <si>
    <t>MCLD-2057</t>
  </si>
  <si>
    <t>Claro Wellbeing</t>
  </si>
  <si>
    <t>https://www.clarowellbeing.com</t>
  </si>
  <si>
    <t>MCLD-2058</t>
  </si>
  <si>
    <t>Enparadigm</t>
  </si>
  <si>
    <t>https://www.enparadigm.com</t>
  </si>
  <si>
    <t>MCLD-2059</t>
  </si>
  <si>
    <t>HCM Deck</t>
  </si>
  <si>
    <t>https://www.hcmdeck.com</t>
  </si>
  <si>
    <t>Cracow, Malopolskie, Poland</t>
  </si>
  <si>
    <t>MCLD-2060</t>
  </si>
  <si>
    <t>Expertrons</t>
  </si>
  <si>
    <t>https://www.expertrons.com</t>
  </si>
  <si>
    <t>MCLD-2061</t>
  </si>
  <si>
    <t>Smartivity</t>
  </si>
  <si>
    <t>https://www.smartivity.in</t>
  </si>
  <si>
    <t>MCLD-2062</t>
  </si>
  <si>
    <t>Kidato</t>
  </si>
  <si>
    <t>https://www.kidato.com</t>
  </si>
  <si>
    <t>MCLD-2063</t>
  </si>
  <si>
    <t>WordDive</t>
  </si>
  <si>
    <t>https://www.worddive.com</t>
  </si>
  <si>
    <t>Tampere, Western Finland, Finland</t>
  </si>
  <si>
    <t>MCLD-2064</t>
  </si>
  <si>
    <t>Invact Metaversity</t>
  </si>
  <si>
    <t>https://www.invact.com</t>
  </si>
  <si>
    <t>MCLD-2065</t>
  </si>
  <si>
    <t>niikiis</t>
  </si>
  <si>
    <t>https://www.niikiis.com</t>
  </si>
  <si>
    <t>MCLD-2066</t>
  </si>
  <si>
    <t>Sylvan Learning</t>
  </si>
  <si>
    <t>https://www.sylvanlearning.com</t>
  </si>
  <si>
    <t>Hunt Valley, Maryland, United States</t>
  </si>
  <si>
    <t>MCLD-2067</t>
  </si>
  <si>
    <t>Monarch Teaching Technologies</t>
  </si>
  <si>
    <t>https://www.monarchteachtech.com</t>
  </si>
  <si>
    <t>MCLD-2068</t>
  </si>
  <si>
    <t>AlgoUniversity</t>
  </si>
  <si>
    <t>https://www.algouniversity.com</t>
  </si>
  <si>
    <t>Raipur, Chhattisgarh, India</t>
  </si>
  <si>
    <t>MCLD-2069</t>
  </si>
  <si>
    <t>Taling</t>
  </si>
  <si>
    <t>https://www.taling.co</t>
  </si>
  <si>
    <t>MCLD-2070</t>
  </si>
  <si>
    <t>Easiware</t>
  </si>
  <si>
    <t>https://www.easiware.com</t>
  </si>
  <si>
    <t>MCLD-2071</t>
  </si>
  <si>
    <t>TEUIDA</t>
  </si>
  <si>
    <t>https://www.teuida.net</t>
  </si>
  <si>
    <t>Seongnam, Kyonggi-do, South Korea</t>
  </si>
  <si>
    <t>MCLD-2072</t>
  </si>
  <si>
    <t>Valenture Institute</t>
  </si>
  <si>
    <t>https://www.valenture.institute</t>
  </si>
  <si>
    <t>MCLD-2073</t>
  </si>
  <si>
    <t>NexusEdge</t>
  </si>
  <si>
    <t>https://www.nexusedge.co</t>
  </si>
  <si>
    <t>MCLD-2074</t>
  </si>
  <si>
    <t>Netex</t>
  </si>
  <si>
    <t>https://www.netexlearning.com</t>
  </si>
  <si>
    <t>Oleiros, Galicia, Spain</t>
  </si>
  <si>
    <t>MCLD-2075</t>
  </si>
  <si>
    <t>Skillable</t>
  </si>
  <si>
    <t>https://www.skillable.com</t>
  </si>
  <si>
    <t>New Port Richey, Florida, United States</t>
  </si>
  <si>
    <t>MCLD-2076</t>
  </si>
  <si>
    <t>Gooroo</t>
  </si>
  <si>
    <t>https://www.gooroo.com</t>
  </si>
  <si>
    <t>MCLD-2077</t>
  </si>
  <si>
    <t>Robo Co-op</t>
  </si>
  <si>
    <t>https://www.roboco-op.com</t>
  </si>
  <si>
    <t>MCLD-2078</t>
  </si>
  <si>
    <t>Itza</t>
  </si>
  <si>
    <t>https://www.itzatutor.com</t>
  </si>
  <si>
    <t>Hackney, Hackney, United Kingdom</t>
  </si>
  <si>
    <t>MCLD-2079</t>
  </si>
  <si>
    <t>Four Minute Medicine</t>
  </si>
  <si>
    <t>https://www.fourminutemedicine.com</t>
  </si>
  <si>
    <t>MCLD-2080</t>
  </si>
  <si>
    <t>Ascend Now</t>
  </si>
  <si>
    <t>https://www.ascendnow.com</t>
  </si>
  <si>
    <t>MCLD-2081</t>
  </si>
  <si>
    <t>SenpAI.GG</t>
  </si>
  <si>
    <t>https://www.senpai.gg</t>
  </si>
  <si>
    <t>MCLD-2082</t>
  </si>
  <si>
    <t>Aula Education</t>
  </si>
  <si>
    <t>https://www.aula.education</t>
  </si>
  <si>
    <t>Coventry, Coventry, United Kingdom</t>
  </si>
  <si>
    <t>MCLD-2083</t>
  </si>
  <si>
    <t>Education Perfect</t>
  </si>
  <si>
    <t>https://www.educationperfect.com</t>
  </si>
  <si>
    <t>Dunedin, Otago, New Zealand</t>
  </si>
  <si>
    <t>MCLD-2084</t>
  </si>
  <si>
    <t>Episoden</t>
  </si>
  <si>
    <t>https://www.episoden.com</t>
  </si>
  <si>
    <t>MCLD-2085</t>
  </si>
  <si>
    <t>Talstack</t>
  </si>
  <si>
    <t>https://www.talstack.com</t>
  </si>
  <si>
    <t>MCLD-2086</t>
  </si>
  <si>
    <t>BBC Maestro</t>
  </si>
  <si>
    <t>https://www.bbcmaestro.com</t>
  </si>
  <si>
    <t>Marlborough, Wiltshire, United Kingdom</t>
  </si>
  <si>
    <t>MCLD-2087</t>
  </si>
  <si>
    <t>Coursewise</t>
  </si>
  <si>
    <t>https://www.coursewise.com</t>
  </si>
  <si>
    <t>MCLD-2088</t>
  </si>
  <si>
    <t>Syllog AI</t>
  </si>
  <si>
    <t>https://www.syllog.ai</t>
  </si>
  <si>
    <t>Prato, Liguria, Italy</t>
  </si>
  <si>
    <t>MCLD-2089</t>
  </si>
  <si>
    <t>TutorABC</t>
  </si>
  <si>
    <t>https://www.tutorabc.com</t>
  </si>
  <si>
    <t>MCLD-2090</t>
  </si>
  <si>
    <t>Studeo AI</t>
  </si>
  <si>
    <t>https://www.studeo.ai</t>
  </si>
  <si>
    <t>MCLD-2091</t>
  </si>
  <si>
    <t>TalentLMS</t>
  </si>
  <si>
    <t>https://www.talentlms.com</t>
  </si>
  <si>
    <t>MCLD-2092</t>
  </si>
  <si>
    <t>Trainn</t>
  </si>
  <si>
    <t>https://www.trainn.co</t>
  </si>
  <si>
    <t>MCLD-2093</t>
  </si>
  <si>
    <t>Rocket Tutor</t>
  </si>
  <si>
    <t>https://www.rockettutor.com</t>
  </si>
  <si>
    <t>MCLD-2094</t>
  </si>
  <si>
    <t>Sertifier</t>
  </si>
  <si>
    <t>https://www.sertifier.com</t>
  </si>
  <si>
    <t>MCLD-2095</t>
  </si>
  <si>
    <t>Quill</t>
  </si>
  <si>
    <t>https://www.quill.org</t>
  </si>
  <si>
    <t>MCLD-2096</t>
  </si>
  <si>
    <t>ArcheMedX</t>
  </si>
  <si>
    <t>https://www.archemedx.com</t>
  </si>
  <si>
    <t>MCLD-2097</t>
  </si>
  <si>
    <t>Syntrio</t>
  </si>
  <si>
    <t>https://www.syntrio.com</t>
  </si>
  <si>
    <t>Deerfield, Illinois, United States</t>
  </si>
  <si>
    <t>MCLD-2098</t>
  </si>
  <si>
    <t>TutorEva</t>
  </si>
  <si>
    <t>https://www.tutoreva.com</t>
  </si>
  <si>
    <t>MCLD-2099</t>
  </si>
  <si>
    <t>Get</t>
  </si>
  <si>
    <t>https://www.getlearnworlds.com</t>
  </si>
  <si>
    <t>MCLD-2100</t>
  </si>
  <si>
    <t>Green Flower</t>
  </si>
  <si>
    <t>https://www.green-flower.com</t>
  </si>
  <si>
    <t>Ventura, California, United States</t>
  </si>
  <si>
    <t>MCLD-2101</t>
  </si>
  <si>
    <t>STEMedu</t>
  </si>
  <si>
    <t>https://www.stemedu.com</t>
  </si>
  <si>
    <t>MCLD-2102</t>
  </si>
  <si>
    <t>Tera</t>
  </si>
  <si>
    <t>https://www.tera.ai</t>
  </si>
  <si>
    <t>MCLD-2103</t>
  </si>
  <si>
    <t>Founderz</t>
  </si>
  <si>
    <t>https://www.founderz.com</t>
  </si>
  <si>
    <t>MCLD-2104</t>
  </si>
  <si>
    <t>InFlearn</t>
  </si>
  <si>
    <t>https://www.inflearn.com</t>
  </si>
  <si>
    <t>MCLD-2105</t>
  </si>
  <si>
    <t>Lele Ketang</t>
  </si>
  <si>
    <t>https://www.leleketang.com</t>
  </si>
  <si>
    <t>MCLD-2106</t>
  </si>
  <si>
    <t>TAP</t>
  </si>
  <si>
    <t>https://www.tapseries.com</t>
  </si>
  <si>
    <t>MCLD-2107</t>
  </si>
  <si>
    <t>National Academy Foundation</t>
  </si>
  <si>
    <t>https://www.naf.org</t>
  </si>
  <si>
    <t>MCLD-2108</t>
  </si>
  <si>
    <t>Yard</t>
  </si>
  <si>
    <t>https://www.yard.co</t>
  </si>
  <si>
    <t>MCLD-2109</t>
  </si>
  <si>
    <t>LanguifyAI</t>
  </si>
  <si>
    <t>https://www.languify.ai</t>
  </si>
  <si>
    <t>Bhopal, Madhya Pradesh, India</t>
  </si>
  <si>
    <t>MCLD-2110</t>
  </si>
  <si>
    <t>Snapplify</t>
  </si>
  <si>
    <t>https://www.snapplify.com</t>
  </si>
  <si>
    <t>MCLD-2111</t>
  </si>
  <si>
    <t>Codecraft Works</t>
  </si>
  <si>
    <t>https://www.codecraftworks.com</t>
  </si>
  <si>
    <t>Melbourne, Florida, United States</t>
  </si>
  <si>
    <t>MCLD-2112</t>
  </si>
  <si>
    <t>Creator Now</t>
  </si>
  <si>
    <t>https://www.creatornow.club</t>
  </si>
  <si>
    <t>MCLD-2113</t>
  </si>
  <si>
    <t>Rozzy Learning Company</t>
  </si>
  <si>
    <t>https://www.rozzylearning.com</t>
  </si>
  <si>
    <t>MCLD-2114</t>
  </si>
  <si>
    <t>Fretello</t>
  </si>
  <si>
    <t>https://www.fretello.com</t>
  </si>
  <si>
    <t>Linz, Oberosterreich, Austria</t>
  </si>
  <si>
    <t>MCLD-2115</t>
  </si>
  <si>
    <t>Teesas</t>
  </si>
  <si>
    <t>https://www.teesas.com</t>
  </si>
  <si>
    <t>Ikeja, Lagos, Nigeria</t>
  </si>
  <si>
    <t>MCLD-2116</t>
  </si>
  <si>
    <t>VirtualJobShadow</t>
  </si>
  <si>
    <t>https://www.virtualjobshadow.com</t>
  </si>
  <si>
    <t>Asheville, North Carolina, United States</t>
  </si>
  <si>
    <t>MCLD-2117</t>
  </si>
  <si>
    <t>Generation Genius</t>
  </si>
  <si>
    <t>https://www.generationgenius.com</t>
  </si>
  <si>
    <t>MCLD-2118</t>
  </si>
  <si>
    <t>BRIO</t>
  </si>
  <si>
    <t>https://www.briolearning.com</t>
  </si>
  <si>
    <t>MCLD-2119</t>
  </si>
  <si>
    <t>MRI Online</t>
  </si>
  <si>
    <t>https://www.mrionline.com</t>
  </si>
  <si>
    <t>MCLD-2120</t>
  </si>
  <si>
    <t>On3</t>
  </si>
  <si>
    <t>https://www.on3.com</t>
  </si>
  <si>
    <t>MCLD-2121</t>
  </si>
  <si>
    <t>Education Analytics</t>
  </si>
  <si>
    <t>https://www.edanalytics.org</t>
  </si>
  <si>
    <t>MCLD-2122</t>
  </si>
  <si>
    <t>Doyobi</t>
  </si>
  <si>
    <t>https://www.doyobi.com</t>
  </si>
  <si>
    <t>MCLD-2123</t>
  </si>
  <si>
    <t>Stellar Labs</t>
  </si>
  <si>
    <t>https://www.stellarlabs.ai</t>
  </si>
  <si>
    <t>Antwerp, Antwerpen, Belgium</t>
  </si>
  <si>
    <t>MCLD-2124</t>
  </si>
  <si>
    <t>CoGrammar</t>
  </si>
  <si>
    <t>https://www.cogrammar.com</t>
  </si>
  <si>
    <t>MCLD-2125</t>
  </si>
  <si>
    <t>FrontRow</t>
  </si>
  <si>
    <t>https://www.frontroweducation.com</t>
  </si>
  <si>
    <t>MCLD-2126</t>
  </si>
  <si>
    <t>Creative Futures Collective</t>
  </si>
  <si>
    <t>https://www.creativefuturescollective.com</t>
  </si>
  <si>
    <t>MCLD-2127</t>
  </si>
  <si>
    <t>Fluentbe</t>
  </si>
  <si>
    <t>https://www.fluentbe.com</t>
  </si>
  <si>
    <t>MCLD-2128</t>
  </si>
  <si>
    <t>STHRIVE.ai</t>
  </si>
  <si>
    <t>https://www.sthrive.ai</t>
  </si>
  <si>
    <t>MCLD-2129</t>
  </si>
  <si>
    <t>GloCoach</t>
  </si>
  <si>
    <t>https://www.glocoach.com</t>
  </si>
  <si>
    <t>MCLD-2130</t>
  </si>
  <si>
    <t>StayQrious</t>
  </si>
  <si>
    <t>https://www.stayqrious.com</t>
  </si>
  <si>
    <t>MCLD-2131</t>
  </si>
  <si>
    <t>T-Lab</t>
  </si>
  <si>
    <t>https://www.t-lablearning.com</t>
  </si>
  <si>
    <t>MCLD-2132</t>
  </si>
  <si>
    <t>Saarthi Pedagogy</t>
  </si>
  <si>
    <t>https://www.saarthipedagogy.com</t>
  </si>
  <si>
    <t>MCLD-2133</t>
  </si>
  <si>
    <t>Developing Experts</t>
  </si>
  <si>
    <t>https://www.developingexperts.com</t>
  </si>
  <si>
    <t>Norwich, Norfolk, United Kingdom</t>
  </si>
  <si>
    <t>MCLD-2134</t>
  </si>
  <si>
    <t>Schoo</t>
  </si>
  <si>
    <t>https://www.schoo.jp</t>
  </si>
  <si>
    <t>MCLD-2135</t>
  </si>
  <si>
    <t>Cinematic Health Education</t>
  </si>
  <si>
    <t>https://www.cinematichealtheducation.com</t>
  </si>
  <si>
    <t>New Jersey, Saint Patrick, Trinidad and Tobago</t>
  </si>
  <si>
    <t>MCLD-2136</t>
  </si>
  <si>
    <t>FreshGrade</t>
  </si>
  <si>
    <t>https://www.freshgrade.com</t>
  </si>
  <si>
    <t>Kelowna, British Columbia, Canada</t>
  </si>
  <si>
    <t>MCLD-2137</t>
  </si>
  <si>
    <t>LearnCoach</t>
  </si>
  <si>
    <t>https://www.learncoach.com</t>
  </si>
  <si>
    <t>MCLD-2138</t>
  </si>
  <si>
    <t>StockEdge</t>
  </si>
  <si>
    <t>https://www.stockedge.com</t>
  </si>
  <si>
    <t>Kolkata, West Bengal, India</t>
  </si>
  <si>
    <t>MCLD-2139</t>
  </si>
  <si>
    <t>Edugo.AI</t>
  </si>
  <si>
    <t>https://www.edugo.ai</t>
  </si>
  <si>
    <t>Wan Chai, Hong Kong Island, Hong Kong</t>
  </si>
  <si>
    <t>MCLD-2140</t>
  </si>
  <si>
    <t>Presentr</t>
  </si>
  <si>
    <t>https://www.presentr.io</t>
  </si>
  <si>
    <t>MCLD-2141</t>
  </si>
  <si>
    <t>Coconala</t>
  </si>
  <si>
    <t>https://www.coconala.com</t>
  </si>
  <si>
    <t>Shibuya, Kanagawa, Japan</t>
  </si>
  <si>
    <t>MCLD-2142</t>
  </si>
  <si>
    <t>Learning Explorer</t>
  </si>
  <si>
    <t>https://www.learningexplorer.ai</t>
  </si>
  <si>
    <t>MCLD-2143</t>
  </si>
  <si>
    <t>Griky</t>
  </si>
  <si>
    <t>https://www.griky.com</t>
  </si>
  <si>
    <t>BogotÃ¡, Distrito Especial, Colombia</t>
  </si>
  <si>
    <t>MCLD-2144</t>
  </si>
  <si>
    <t>Volume</t>
  </si>
  <si>
    <t>https://www.volumelearning.com</t>
  </si>
  <si>
    <t>Wokingham, Wokingham, United Kingdom</t>
  </si>
  <si>
    <t>MCLD-2145</t>
  </si>
  <si>
    <t>Serious Labs</t>
  </si>
  <si>
    <t>https://www.seriouslabs.co</t>
  </si>
  <si>
    <t>MCLD-2146</t>
  </si>
  <si>
    <t>InnovateUS</t>
  </si>
  <si>
    <t>https://www.innovateus.gov</t>
  </si>
  <si>
    <t>MCLD-2147</t>
  </si>
  <si>
    <t>Professorbob.ai</t>
  </si>
  <si>
    <t>https://www.professorbob.ai</t>
  </si>
  <si>
    <t>MCLD-2148</t>
  </si>
  <si>
    <t>Skills Union</t>
  </si>
  <si>
    <t>https://www.skillsunion.com</t>
  </si>
  <si>
    <t>MCLD-2149</t>
  </si>
  <si>
    <t>WriteLab</t>
  </si>
  <si>
    <t>https://www.writelab.com</t>
  </si>
  <si>
    <t>MCLD-2150</t>
  </si>
  <si>
    <t>Dugga</t>
  </si>
  <si>
    <t>https://www.dugga.com</t>
  </si>
  <si>
    <t>MCLD-2151</t>
  </si>
  <si>
    <t>ReadAskChat</t>
  </si>
  <si>
    <t>https://www.readaskchat.com</t>
  </si>
  <si>
    <t>MCLD-2152</t>
  </si>
  <si>
    <t>Krenovator</t>
  </si>
  <si>
    <t>https://www.krenovator.com</t>
  </si>
  <si>
    <t>Selangor, Selangor, Malaysia</t>
  </si>
  <si>
    <t>MCLD-2153</t>
  </si>
  <si>
    <t>HowToo</t>
  </si>
  <si>
    <t>https://www.howtoo.com</t>
  </si>
  <si>
    <t>MCLD-2154</t>
  </si>
  <si>
    <t>Edu101</t>
  </si>
  <si>
    <t>https://www.edu101.com</t>
  </si>
  <si>
    <t>MCLD-2155</t>
  </si>
  <si>
    <t>DreamShaper</t>
  </si>
  <si>
    <t>https://www.dreamshaper.ai</t>
  </si>
  <si>
    <t>Lisbon, Lisboa, Portugal</t>
  </si>
  <si>
    <t>MCLD-2156</t>
  </si>
  <si>
    <t>InLustro</t>
  </si>
  <si>
    <t>https://www.inlustro.com</t>
  </si>
  <si>
    <t>MCLD-2157</t>
  </si>
  <si>
    <t>Mentza</t>
  </si>
  <si>
    <t>https://www.mentza.com</t>
  </si>
  <si>
    <t>MCLD-2158</t>
  </si>
  <si>
    <t>Aviotron Aerospace</t>
  </si>
  <si>
    <t>https://www.aviotron.com</t>
  </si>
  <si>
    <t>MCLD-2159</t>
  </si>
  <si>
    <t>MagniLearn</t>
  </si>
  <si>
    <t>https://www.magnilearn.com</t>
  </si>
  <si>
    <t>Jerusalem, Yerushalayim, Israel</t>
  </si>
  <si>
    <t>MCLD-2160</t>
  </si>
  <si>
    <t>ForClassmates</t>
  </si>
  <si>
    <t>https://www.forclassmates.com</t>
  </si>
  <si>
    <t>MCLD-2161</t>
  </si>
  <si>
    <t>Game Plan</t>
  </si>
  <si>
    <t>https://www.gameplanlearning.com</t>
  </si>
  <si>
    <t>Greenville, North Carolina, United States</t>
  </si>
  <si>
    <t>MCLD-2162</t>
  </si>
  <si>
    <t>Neoscholar Education Group</t>
  </si>
  <si>
    <t>https://www.neoscholars.com</t>
  </si>
  <si>
    <t>MCLD-2163</t>
  </si>
  <si>
    <t>Native English Institute</t>
  </si>
  <si>
    <t>https://www.nativeenglishinstitute.com</t>
  </si>
  <si>
    <t>Kobe, Kyoto, Japan</t>
  </si>
  <si>
    <t>MCLD-2164</t>
  </si>
  <si>
    <t>BitClass</t>
  </si>
  <si>
    <t>https://www.bitclass.live</t>
  </si>
  <si>
    <t>MCLD-2165</t>
  </si>
  <si>
    <t>InnoJin</t>
  </si>
  <si>
    <t>https://www.innojin.ai</t>
  </si>
  <si>
    <t>MCLD-2166</t>
  </si>
  <si>
    <t>Coleap</t>
  </si>
  <si>
    <t>https://www.coleap.com</t>
  </si>
  <si>
    <t>MCLD-2167</t>
  </si>
  <si>
    <t>Human</t>
  </si>
  <si>
    <t>https://www.human.co</t>
  </si>
  <si>
    <t>MCLD-2168</t>
  </si>
  <si>
    <t>Tutorac</t>
  </si>
  <si>
    <t>https://www.tutorac.com</t>
  </si>
  <si>
    <t>MCLD-2169</t>
  </si>
  <si>
    <t>Coinmarketpedia</t>
  </si>
  <si>
    <t>https://www.coinmarketpedia.com</t>
  </si>
  <si>
    <t>MCLD-2170</t>
  </si>
  <si>
    <t>Gururo</t>
  </si>
  <si>
    <t>https://www.gururo.com</t>
  </si>
  <si>
    <t>MCLD-2171</t>
  </si>
  <si>
    <t>Edvisor</t>
  </si>
  <si>
    <t>https://www.edvisor.io</t>
  </si>
  <si>
    <t>France</t>
  </si>
  <si>
    <t>MCLD-2172</t>
  </si>
  <si>
    <t>Zulama</t>
  </si>
  <si>
    <t>https://www.zulama.com</t>
  </si>
  <si>
    <t>MCLD-2173</t>
  </si>
  <si>
    <t>Nulinga</t>
  </si>
  <si>
    <t>https://www.nulinga.com</t>
  </si>
  <si>
    <t>JunÃ­n, Mendoza, Argentina</t>
  </si>
  <si>
    <t>MCLD-2174</t>
  </si>
  <si>
    <t>Study.com</t>
  </si>
  <si>
    <t>https://www.study.com</t>
  </si>
  <si>
    <t>MCLD-2175</t>
  </si>
  <si>
    <t>Appy</t>
  </si>
  <si>
    <t>https://www.appy.com</t>
  </si>
  <si>
    <t>MCLD-2176</t>
  </si>
  <si>
    <t>Stones2Milestones</t>
  </si>
  <si>
    <t>https://www.stones2milestones.com</t>
  </si>
  <si>
    <t>MCLD-2177</t>
  </si>
  <si>
    <t>Cybint</t>
  </si>
  <si>
    <t>https://www.cybintsolutions.com</t>
  </si>
  <si>
    <t>MCLD-2178</t>
  </si>
  <si>
    <t>Koala Reading</t>
  </si>
  <si>
    <t>https://www.koalareading.com</t>
  </si>
  <si>
    <t>MCLD-2179</t>
  </si>
  <si>
    <t>Xiaoyang Edu</t>
  </si>
  <si>
    <t>https://www.xiaoyangedu.com</t>
  </si>
  <si>
    <t>MCLD-2180</t>
  </si>
  <si>
    <t>Memby</t>
  </si>
  <si>
    <t>https://www.memby.com</t>
  </si>
  <si>
    <t>MCLD-2181</t>
  </si>
  <si>
    <t>Framework</t>
  </si>
  <si>
    <t>https://www.frameworkeducation.com</t>
  </si>
  <si>
    <t>MCLD-2182</t>
  </si>
  <si>
    <t>STOPit Solutions</t>
  </si>
  <si>
    <t>https://www.stopitsolutions.com</t>
  </si>
  <si>
    <t>Holmdel, New Jersey, United States</t>
  </si>
  <si>
    <t>MCLD-2183</t>
  </si>
  <si>
    <t>Cogs</t>
  </si>
  <si>
    <t>https://www.cogslearning.com</t>
  </si>
  <si>
    <t>MCLD-2184</t>
  </si>
  <si>
    <t>Tuteria</t>
  </si>
  <si>
    <t>https://www.tuteria.com</t>
  </si>
  <si>
    <t>MCLD-2185</t>
  </si>
  <si>
    <t>DIV</t>
  </si>
  <si>
    <t>https://www.divacademy.com</t>
  </si>
  <si>
    <t>MCLD-2186</t>
  </si>
  <si>
    <t>GoKoan</t>
  </si>
  <si>
    <t>https://www.gokoan.com</t>
  </si>
  <si>
    <t>Valencia, Comunidad Valenciana, Spain</t>
  </si>
  <si>
    <t>MCLD-2187</t>
  </si>
  <si>
    <t>Genius Teacher</t>
  </si>
  <si>
    <t>https://www.geniusteacher.com</t>
  </si>
  <si>
    <t>MCLD-2188</t>
  </si>
  <si>
    <t>Code States</t>
  </si>
  <si>
    <t>https://www.codestates.com</t>
  </si>
  <si>
    <t>MCLD-2189</t>
  </si>
  <si>
    <t>SaigolEd</t>
  </si>
  <si>
    <t>https://www.saigoled.com</t>
  </si>
  <si>
    <t>MCLD-2190</t>
  </si>
  <si>
    <t>GEC Academy</t>
  </si>
  <si>
    <t>https://www.gecacademy.com</t>
  </si>
  <si>
    <t>MCLD-2191</t>
  </si>
  <si>
    <t>Driven Education</t>
  </si>
  <si>
    <t>https://www.driveneducation.com</t>
  </si>
  <si>
    <t>MCLD-2192</t>
  </si>
  <si>
    <t>OKTAV</t>
  </si>
  <si>
    <t>https://www.oktav.com</t>
  </si>
  <si>
    <t>MCLD-2193</t>
  </si>
  <si>
    <t>Studio</t>
  </si>
  <si>
    <t>https://www.studioedu.com</t>
  </si>
  <si>
    <t>MCLD-2194</t>
  </si>
  <si>
    <t>Amref Health Africa</t>
  </si>
  <si>
    <t>https://www.amref.org</t>
  </si>
  <si>
    <t>MCLD-2195</t>
  </si>
  <si>
    <t>Avatao</t>
  </si>
  <si>
    <t>https://www.avatao.com</t>
  </si>
  <si>
    <t>MCLD-2196</t>
  </si>
  <si>
    <t>Cookable</t>
  </si>
  <si>
    <t>https://www.cookable.com</t>
  </si>
  <si>
    <t>MCLD-2197</t>
  </si>
  <si>
    <t>Kinteract</t>
  </si>
  <si>
    <t>https://www.kinteract.com</t>
  </si>
  <si>
    <t>MCLD-2198</t>
  </si>
  <si>
    <t>Hexiaoxiang</t>
  </si>
  <si>
    <t>https://www.hexiaoxiang.com</t>
  </si>
  <si>
    <t>MCLD-2199</t>
  </si>
  <si>
    <t>Duia</t>
  </si>
  <si>
    <t>https://www.duia.com</t>
  </si>
  <si>
    <t>MCLD-2200</t>
  </si>
  <si>
    <t>DTP Education Solutions</t>
  </si>
  <si>
    <t>https://www.dtpedu.com</t>
  </si>
  <si>
    <t>MCLD-2201</t>
  </si>
  <si>
    <t>KÃœDZOO</t>
  </si>
  <si>
    <t>https://www.kudzoo.com</t>
  </si>
  <si>
    <t>MCLD-2202</t>
  </si>
  <si>
    <t>ReSkills</t>
  </si>
  <si>
    <t>https://www.reskills.org</t>
  </si>
  <si>
    <t>MCLD-2203</t>
  </si>
  <si>
    <t>Gamestry</t>
  </si>
  <si>
    <t>https://www.gamestry.com</t>
  </si>
  <si>
    <t>MCLD-2204</t>
  </si>
  <si>
    <t>360training</t>
  </si>
  <si>
    <t>https://www.360training.com</t>
  </si>
  <si>
    <t>MCLD-2205</t>
  </si>
  <si>
    <t>BodhiAI</t>
  </si>
  <si>
    <t>https://www.bodhi.ai</t>
  </si>
  <si>
    <t>MCLD-2206</t>
  </si>
  <si>
    <t>MightyOwl, Inc.</t>
  </si>
  <si>
    <t>https://www.mightyowl.com</t>
  </si>
  <si>
    <t>MCLD-2207</t>
  </si>
  <si>
    <t>Great Learning</t>
  </si>
  <si>
    <t>https://www.greatlearning.in</t>
  </si>
  <si>
    <t>MCLD-2208</t>
  </si>
  <si>
    <t>Nurture</t>
  </si>
  <si>
    <t>https://www.nurture.ai</t>
  </si>
  <si>
    <t>Limerick, Limerick, Ireland</t>
  </si>
  <si>
    <t>MCLD-2209</t>
  </si>
  <si>
    <t>Edge Early Learning</t>
  </si>
  <si>
    <t>https://www.edgeearlylearning.com.au</t>
  </si>
  <si>
    <t>MCLD-2210</t>
  </si>
  <si>
    <t>Oreegami</t>
  </si>
  <si>
    <t>https://www.oreegami.com</t>
  </si>
  <si>
    <t>MCLD-2211</t>
  </si>
  <si>
    <t>Clinician Nexus</t>
  </si>
  <si>
    <t>https://www.cliniciannexus.com</t>
  </si>
  <si>
    <t>MCLD-2212</t>
  </si>
  <si>
    <t>clickto.</t>
  </si>
  <si>
    <t>https://www.clickto.com</t>
  </si>
  <si>
    <t>MCLD-2213</t>
  </si>
  <si>
    <t>Storypie</t>
  </si>
  <si>
    <t>https://www.storypie.io</t>
  </si>
  <si>
    <t>MCLD-2214</t>
  </si>
  <si>
    <t>O'clock</t>
  </si>
  <si>
    <t>https://www.oclock.io</t>
  </si>
  <si>
    <t>MCLD-2215</t>
  </si>
  <si>
    <t>Qualson</t>
  </si>
  <si>
    <t>https://www.qualson.com</t>
  </si>
  <si>
    <t>MCLD-2216</t>
  </si>
  <si>
    <t>Rootwurks</t>
  </si>
  <si>
    <t>https://www.rootwurks.com</t>
  </si>
  <si>
    <t>MCLD-2217</t>
  </si>
  <si>
    <t>Tonic Music</t>
  </si>
  <si>
    <t>https://www.tonicmusic.com</t>
  </si>
  <si>
    <t>MCLD-2218</t>
  </si>
  <si>
    <t>Learning Equality</t>
  </si>
  <si>
    <t>https://www.learningequality.org</t>
  </si>
  <si>
    <t>La Jolla, California, United States</t>
  </si>
  <si>
    <t>MCLD-2219</t>
  </si>
  <si>
    <t>Fuel Learning</t>
  </si>
  <si>
    <t>https://www.fuellearning.com</t>
  </si>
  <si>
    <t>MCLD-2220</t>
  </si>
  <si>
    <t>Pagecall</t>
  </si>
  <si>
    <t>https://www.pagecall.com</t>
  </si>
  <si>
    <t>MCLD-2221</t>
  </si>
  <si>
    <t>Assemble</t>
  </si>
  <si>
    <t>https://www.assemblelearning.com</t>
  </si>
  <si>
    <t>MCLD-2222</t>
  </si>
  <si>
    <t>Oak National Academy</t>
  </si>
  <si>
    <t>https://www.thenational.academy</t>
  </si>
  <si>
    <t>Newcastle Upon Tyne, Newcastle upon Tyne, United Kingdom</t>
  </si>
  <si>
    <t>MCLD-2223</t>
  </si>
  <si>
    <t>MasteryConnect</t>
  </si>
  <si>
    <t>https://www.masteryconnect.com</t>
  </si>
  <si>
    <t>MCLD-2224</t>
  </si>
  <si>
    <t>Smart Education</t>
  </si>
  <si>
    <t>https://www.smartedu.ai</t>
  </si>
  <si>
    <t>MCLD-2225</t>
  </si>
  <si>
    <t>Protoqual</t>
  </si>
  <si>
    <t>https://www.protoqual.com</t>
  </si>
  <si>
    <t>MCLD-2226</t>
  </si>
  <si>
    <t>CommonTime Online</t>
  </si>
  <si>
    <t>https://www.commontime.online</t>
  </si>
  <si>
    <t>MCLD-2227</t>
  </si>
  <si>
    <t>Epihub</t>
  </si>
  <si>
    <t>https://www.epihub.com</t>
  </si>
  <si>
    <t>MCLD-2228</t>
  </si>
  <si>
    <t>CanopyLAB</t>
  </si>
  <si>
    <t>https://www.canopylab.io</t>
  </si>
  <si>
    <t>MCLD-2229</t>
  </si>
  <si>
    <t>My Learning Hub</t>
  </si>
  <si>
    <t>https://www.mylearninghub.com</t>
  </si>
  <si>
    <t>Twickenham, Richmond upon Thames, United Kingdom</t>
  </si>
  <si>
    <t>MCLD-2230</t>
  </si>
  <si>
    <t>NETZUN</t>
  </si>
  <si>
    <t>https://www.netzun.com</t>
  </si>
  <si>
    <t>MCLD-2231</t>
  </si>
  <si>
    <t>Internset</t>
  </si>
  <si>
    <t>https://www.internset.com</t>
  </si>
  <si>
    <t>MCLD-2232</t>
  </si>
  <si>
    <t>Carna AI</t>
  </si>
  <si>
    <t>https://www.carna.ai</t>
  </si>
  <si>
    <t>MCLD-2233</t>
  </si>
  <si>
    <t>Fundomundo</t>
  </si>
  <si>
    <t>https://www.fundomundo.com</t>
  </si>
  <si>
    <t>MCLD-2234</t>
  </si>
  <si>
    <t>Circletime</t>
  </si>
  <si>
    <t>https://www.circletime.com</t>
  </si>
  <si>
    <t>MCLD-2235</t>
  </si>
  <si>
    <t>TechTitans Creative Technology</t>
  </si>
  <si>
    <t>https://www.techtitans.co</t>
  </si>
  <si>
    <t>Larnaca, Larnaca, Cyprus</t>
  </si>
  <si>
    <t>MCLD-2236</t>
  </si>
  <si>
    <t>Vinny</t>
  </si>
  <si>
    <t>https://www.vinny.ai</t>
  </si>
  <si>
    <t>MCLD-2237</t>
  </si>
  <si>
    <t>Variiance</t>
  </si>
  <si>
    <t>https://www.variiance.com</t>
  </si>
  <si>
    <t>6 October City, Al Jizah, Egypt</t>
  </si>
  <si>
    <t>MCLD-2238</t>
  </si>
  <si>
    <t>Fanschool</t>
  </si>
  <si>
    <t>https://www.fanschool.org</t>
  </si>
  <si>
    <t>Litchfield, Minnesota, United States</t>
  </si>
  <si>
    <t>MCLD-2239</t>
  </si>
  <si>
    <t>Scaleup</t>
  </si>
  <si>
    <t>https://www.scaleup.co</t>
  </si>
  <si>
    <t>MCLD-2240</t>
  </si>
  <si>
    <t>Coachinho</t>
  </si>
  <si>
    <t>https://www.coachinho.com</t>
  </si>
  <si>
    <t>Bonn, Nordrhein-Westfalen, Germany</t>
  </si>
  <si>
    <t>MCLD-2241</t>
  </si>
  <si>
    <t>Own The Room</t>
  </si>
  <si>
    <t>https://www.owntheroom.com</t>
  </si>
  <si>
    <t>Montclair, New Jersey, United States</t>
  </si>
  <si>
    <t>MCLD-2242</t>
  </si>
  <si>
    <t>Kokoro Kids</t>
  </si>
  <si>
    <t>https://www.kokorokids.co</t>
  </si>
  <si>
    <t>MCLD-2243</t>
  </si>
  <si>
    <t>Asanify</t>
  </si>
  <si>
    <t>https://www.asanify.com</t>
  </si>
  <si>
    <t>MCLD-2244</t>
  </si>
  <si>
    <t>Geek Express</t>
  </si>
  <si>
    <t>https://www.geekexpress.com</t>
  </si>
  <si>
    <t>MCLD-2245</t>
  </si>
  <si>
    <t>GetSmarter</t>
  </si>
  <si>
    <t>https://www.getsmarter.com</t>
  </si>
  <si>
    <t>MCLD-2246</t>
  </si>
  <si>
    <t>Mobile Guardian</t>
  </si>
  <si>
    <t>https://www.mobileguardian.com</t>
  </si>
  <si>
    <t>Glasgow, Glasgow City, United Kingdom</t>
  </si>
  <si>
    <t>MCLD-2247</t>
  </si>
  <si>
    <t>Keo Plus Ai</t>
  </si>
  <si>
    <t>https://www.keoplus.ai</t>
  </si>
  <si>
    <t>MCLD-2248</t>
  </si>
  <si>
    <t>LanCul</t>
  </si>
  <si>
    <t>https://www.lancul.com</t>
  </si>
  <si>
    <t>Setagaya, Tokyo, Japan</t>
  </si>
  <si>
    <t>MCLD-2249</t>
  </si>
  <si>
    <t>ActiveClass</t>
  </si>
  <si>
    <t>https://www.activeclass.com</t>
  </si>
  <si>
    <t>Tempe, Arizona, United States</t>
  </si>
  <si>
    <t>MCLD-2250</t>
  </si>
  <si>
    <t>Elva</t>
  </si>
  <si>
    <t>https://www.elva.ai</t>
  </si>
  <si>
    <t>MCLD-2251</t>
  </si>
  <si>
    <t>Novaheal</t>
  </si>
  <si>
    <t>https://www.novaheal.co</t>
  </si>
  <si>
    <t>MCLD-2252</t>
  </si>
  <si>
    <t>Culcha</t>
  </si>
  <si>
    <t>https://www.culcha.com</t>
  </si>
  <si>
    <t>MCLD-2253</t>
  </si>
  <si>
    <t>ExaMoo</t>
  </si>
  <si>
    <t>https://www.examoo.com</t>
  </si>
  <si>
    <t>MCLD-2254</t>
  </si>
  <si>
    <t>Games and Learning</t>
  </si>
  <si>
    <t>https://www.gamesandlearning.org</t>
  </si>
  <si>
    <t>MCLD-2255</t>
  </si>
  <si>
    <t>DosedDaily</t>
  </si>
  <si>
    <t>https://www.doseddaily.com</t>
  </si>
  <si>
    <t>MCLD-2256</t>
  </si>
  <si>
    <t>Citi</t>
  </si>
  <si>
    <t>https://www.citi.com</t>
  </si>
  <si>
    <t>MCLD-2257</t>
  </si>
  <si>
    <t>Kide Science</t>
  </si>
  <si>
    <t>https://www.kidescience.com</t>
  </si>
  <si>
    <t>MCLD-2258</t>
  </si>
  <si>
    <t>Mohirdev</t>
  </si>
  <si>
    <t>https://www.mohirdev.uz</t>
  </si>
  <si>
    <t>Tashkent, NA - Uzbekistan, Uzbekistan</t>
  </si>
  <si>
    <t>MCLD-2259</t>
  </si>
  <si>
    <t>Assemble You</t>
  </si>
  <si>
    <t>https://www.assembleyou.com</t>
  </si>
  <si>
    <t>MCLD-2260</t>
  </si>
  <si>
    <t>Ermis.AI</t>
  </si>
  <si>
    <t>https://www.ermis.ai</t>
  </si>
  <si>
    <t>MCLD-2261</t>
  </si>
  <si>
    <t>Awari</t>
  </si>
  <si>
    <t>https://www.awari.com</t>
  </si>
  <si>
    <t>MCLD-2262</t>
  </si>
  <si>
    <t>inSpring</t>
  </si>
  <si>
    <t>https://www.inspring.com</t>
  </si>
  <si>
    <t>MCLD-2263</t>
  </si>
  <si>
    <t>Xeropan</t>
  </si>
  <si>
    <t>https://www.xeropan.com</t>
  </si>
  <si>
    <t>Debrecen, Debrecen, Hungary</t>
  </si>
  <si>
    <t>MCLD-2264</t>
  </si>
  <si>
    <t>Cards micro-learning</t>
  </si>
  <si>
    <t>https://www.cards-microlearning.com</t>
  </si>
  <si>
    <t>MCLD-2265</t>
  </si>
  <si>
    <t>Conocer</t>
  </si>
  <si>
    <t>https://www.conocer.gob.mx</t>
  </si>
  <si>
    <t>MCLD-2266</t>
  </si>
  <si>
    <t>Team4Tech Foundation</t>
  </si>
  <si>
    <t>https://www.team4tech.org</t>
  </si>
  <si>
    <t>MCLD-2267</t>
  </si>
  <si>
    <t>Examfly</t>
  </si>
  <si>
    <t>https://www.examfly.com</t>
  </si>
  <si>
    <t>MCLD-2268</t>
  </si>
  <si>
    <t>Refine</t>
  </si>
  <si>
    <t>https://www.refinelearning.com</t>
  </si>
  <si>
    <t>MCLD-2269</t>
  </si>
  <si>
    <t>Fondi</t>
  </si>
  <si>
    <t>https://www.fondi.ai</t>
  </si>
  <si>
    <t>MCLD-2270</t>
  </si>
  <si>
    <t>Explore Interactive</t>
  </si>
  <si>
    <t>https://www.exploreinteractive.co.uk</t>
  </si>
  <si>
    <t>West Lafayette, Indiana, United States</t>
  </si>
  <si>
    <t>MCLD-2271</t>
  </si>
  <si>
    <t>RM plc</t>
  </si>
  <si>
    <t>https://www.rm.com</t>
  </si>
  <si>
    <t>Abingdon, Oxfordshire, United Kingdom</t>
  </si>
  <si>
    <t>MCLD-2272</t>
  </si>
  <si>
    <t>Mindsets Learning</t>
  </si>
  <si>
    <t>https://www.mindsetslearning.com</t>
  </si>
  <si>
    <t>MCLD-2273</t>
  </si>
  <si>
    <t>Clymb</t>
  </si>
  <si>
    <t>https://www.clymb.io</t>
  </si>
  <si>
    <t>MCLD-2274</t>
  </si>
  <si>
    <t>Notesgen</t>
  </si>
  <si>
    <t>https://www.notesgen.com</t>
  </si>
  <si>
    <t>MCLD-2275</t>
  </si>
  <si>
    <t>Sibme</t>
  </si>
  <si>
    <t>https://www.sibme.com</t>
  </si>
  <si>
    <t>MCLD-2276</t>
  </si>
  <si>
    <t>Gather</t>
  </si>
  <si>
    <t>https://www.gathereducation.com</t>
  </si>
  <si>
    <t>MCLD-2277</t>
  </si>
  <si>
    <t>frntlne</t>
  </si>
  <si>
    <t>https://www.frntlne.co</t>
  </si>
  <si>
    <t>MCLD-2278</t>
  </si>
  <si>
    <t>Explico</t>
  </si>
  <si>
    <t>https://www.explico.com</t>
  </si>
  <si>
    <t>MCLD-2279</t>
  </si>
  <si>
    <t>Liirn</t>
  </si>
  <si>
    <t>https://www.liirn.com</t>
  </si>
  <si>
    <t>MCLD-2280</t>
  </si>
  <si>
    <t>Finfree</t>
  </si>
  <si>
    <t>https://www.finfree.com</t>
  </si>
  <si>
    <t>Besiktas, Istanbul, Turkey</t>
  </si>
  <si>
    <t>MCLD-2281</t>
  </si>
  <si>
    <t>upsurge</t>
  </si>
  <si>
    <t>https://www.upsurge.club</t>
  </si>
  <si>
    <t>MCLD-2282</t>
  </si>
  <si>
    <t>Toya Pioneering Women</t>
  </si>
  <si>
    <t>https://www.toyawomen.com</t>
  </si>
  <si>
    <t>MCLD-2283</t>
  </si>
  <si>
    <t>Fluent</t>
  </si>
  <si>
    <t>https://www.fluent.ai</t>
  </si>
  <si>
    <t>MCLD-2284</t>
  </si>
  <si>
    <t>VoiceTube</t>
  </si>
  <si>
    <t>https://www.voicetube.com</t>
  </si>
  <si>
    <t>MCLD-2285</t>
  </si>
  <si>
    <t>PikaDo</t>
  </si>
  <si>
    <t>https://www.pikado.com</t>
  </si>
  <si>
    <t>MCLD-2286</t>
  </si>
  <si>
    <t>KiddieKredit</t>
  </si>
  <si>
    <t>https://www.kiddiekredit.com</t>
  </si>
  <si>
    <t>MCLD-2287</t>
  </si>
  <si>
    <t>QKids</t>
  </si>
  <si>
    <t>https://www.qkids.com</t>
  </si>
  <si>
    <t>Xiamen, Fujian, China</t>
  </si>
  <si>
    <t>MCLD-2288</t>
  </si>
  <si>
    <t>YOLA</t>
  </si>
  <si>
    <t>https://www.yola.org</t>
  </si>
  <si>
    <t>MCLD-2289</t>
  </si>
  <si>
    <t>Onion Math</t>
  </si>
  <si>
    <t>https://www.onionmath.com</t>
  </si>
  <si>
    <t>MCLD-2290</t>
  </si>
  <si>
    <t>Americademy</t>
  </si>
  <si>
    <t>https://www.americademy.com</t>
  </si>
  <si>
    <t>MCLD-2291</t>
  </si>
  <si>
    <t>Dingdong Class</t>
  </si>
  <si>
    <t>https://www.dingdongclass.com</t>
  </si>
  <si>
    <t>MCLD-2292</t>
  </si>
  <si>
    <t>DPhi</t>
  </si>
  <si>
    <t>https://www.dphi.tech</t>
  </si>
  <si>
    <t>Leuven, Vlaams-Brabant, Belgium</t>
  </si>
  <si>
    <t>MCLD-2293</t>
  </si>
  <si>
    <t>Eduvue</t>
  </si>
  <si>
    <t>https://www.eduvue.com</t>
  </si>
  <si>
    <t>MCLD-2294</t>
  </si>
  <si>
    <t>EdApp</t>
  </si>
  <si>
    <t>https://www.edapp.com</t>
  </si>
  <si>
    <t>MCLD-2295</t>
  </si>
  <si>
    <t>Forte</t>
  </si>
  <si>
    <t>https://www.forte.ai</t>
  </si>
  <si>
    <t>MCLD-2296</t>
  </si>
  <si>
    <t>ALO7 Technology</t>
  </si>
  <si>
    <t>https://www.alo7.com</t>
  </si>
  <si>
    <t>MCLD-2297</t>
  </si>
  <si>
    <t>Noon Academy</t>
  </si>
  <si>
    <t>https://www.noonacademy.com</t>
  </si>
  <si>
    <t>MCLD-2298</t>
  </si>
  <si>
    <t>AW Education International</t>
  </si>
  <si>
    <t>https://www.aweducation.com</t>
  </si>
  <si>
    <t>MCLD-2299</t>
  </si>
  <si>
    <t>ENGGOnline</t>
  </si>
  <si>
    <t>https://www.enggonline.com</t>
  </si>
  <si>
    <t>MCLD-2300</t>
  </si>
  <si>
    <t>Wallstreet.io</t>
  </si>
  <si>
    <t>https://www.wallstreet.io</t>
  </si>
  <si>
    <t>MCLD-2301</t>
  </si>
  <si>
    <t>CertificationPoint</t>
  </si>
  <si>
    <t>https://www.certificationpoint.com</t>
  </si>
  <si>
    <t>Haughton, Louisiana, United States</t>
  </si>
  <si>
    <t>MCLD-2302</t>
  </si>
  <si>
    <t>Everybody Counts</t>
  </si>
  <si>
    <t>https://www.everybodycounts.org</t>
  </si>
  <si>
    <t>Laurencekirk, Aberdeenshire, United Kingdom</t>
  </si>
  <si>
    <t>MCLD-2303</t>
  </si>
  <si>
    <t>LearnExperts</t>
  </si>
  <si>
    <t>https://www.learnexperts.com</t>
  </si>
  <si>
    <t>Ottawa, Ontario, Canada</t>
  </si>
  <si>
    <t>MCLD-2304</t>
  </si>
  <si>
    <t>Nardagani Reading Program</t>
  </si>
  <si>
    <t>https://www.nardagani.com</t>
  </si>
  <si>
    <t>MCLD-2305</t>
  </si>
  <si>
    <t>SparkLearn</t>
  </si>
  <si>
    <t>https://www.sparklearn.com</t>
  </si>
  <si>
    <t>Morton, Illinois, United States</t>
  </si>
  <si>
    <t>MCLD-2306</t>
  </si>
  <si>
    <t>Growth Road</t>
  </si>
  <si>
    <t>https://www.growthroad.co</t>
  </si>
  <si>
    <t>MCLD-2307</t>
  </si>
  <si>
    <t>Smowltech</t>
  </si>
  <si>
    <t>https://www.smowltech.com</t>
  </si>
  <si>
    <t>San Sebastian, Pais Vasco, Spain</t>
  </si>
  <si>
    <t>MCLD-2308</t>
  </si>
  <si>
    <t>Bookbot</t>
  </si>
  <si>
    <t>https://www.bookbotkids.com</t>
  </si>
  <si>
    <t>MCLD-2309</t>
  </si>
  <si>
    <t>Focus Pointe Global</t>
  </si>
  <si>
    <t>https://www.focuspointeglobal.com</t>
  </si>
  <si>
    <t>MCLD-2310</t>
  </si>
  <si>
    <t>Vulair Labs &amp; Research</t>
  </si>
  <si>
    <t>https://www.vulairlabs.com</t>
  </si>
  <si>
    <t>MCLD-2311</t>
  </si>
  <si>
    <t>Sensotrend</t>
  </si>
  <si>
    <t>https://www.sensotrend.com</t>
  </si>
  <si>
    <t>MCLD-2312</t>
  </si>
  <si>
    <t>Limburg Meet</t>
  </si>
  <si>
    <t>https://www.limburgmeet.com</t>
  </si>
  <si>
    <t>Heerlen, Limburg, The Netherlands</t>
  </si>
  <si>
    <t>MCLD-2313</t>
  </si>
  <si>
    <t>GTR Consultoria</t>
  </si>
  <si>
    <t>https://www.gtrconsultoria.com</t>
  </si>
  <si>
    <t>MCLD-2314</t>
  </si>
  <si>
    <t>Aim Traffic Data</t>
  </si>
  <si>
    <t>https://www.aimtrafficdata.com</t>
  </si>
  <si>
    <t>MCLD-2315</t>
  </si>
  <si>
    <t>WasteLocker</t>
  </si>
  <si>
    <t>https://www.wastelocker.com</t>
  </si>
  <si>
    <t>MCLD-2316</t>
  </si>
  <si>
    <t>AI Assets</t>
  </si>
  <si>
    <t>https://www.aiassets.com</t>
  </si>
  <si>
    <t>MCLD-2317</t>
  </si>
  <si>
    <t>Multisystems</t>
  </si>
  <si>
    <t>https://www.multisystems.com</t>
  </si>
  <si>
    <t>San Juan, NA - Puerto Rico, Puerto Rico</t>
  </si>
  <si>
    <t>MCLD-2318</t>
  </si>
  <si>
    <t>Aemetriks</t>
  </si>
  <si>
    <t>https://www.aemetriks.com</t>
  </si>
  <si>
    <t>MCLD-2319</t>
  </si>
  <si>
    <t>LightBids</t>
  </si>
  <si>
    <t>https://www.lightbids.com</t>
  </si>
  <si>
    <t>MCLD-2320</t>
  </si>
  <si>
    <t>Conversations By Ami</t>
  </si>
  <si>
    <t>https://www.conversationsbyami.com</t>
  </si>
  <si>
    <t>MCLD-2321</t>
  </si>
  <si>
    <t>DDSI</t>
  </si>
  <si>
    <t>https://www.ddsi.com</t>
  </si>
  <si>
    <t>MCLD-2322</t>
  </si>
  <si>
    <t>mnforce</t>
  </si>
  <si>
    <t>https://www.mnforce.com</t>
  </si>
  <si>
    <t>Bratislava, Bratislava, Slovakia (Slovak Republic)</t>
  </si>
  <si>
    <t>MCLD-2323</t>
  </si>
  <si>
    <t>Retail Data Acquisition Services</t>
  </si>
  <si>
    <t>https://www.retaildataservices.com</t>
  </si>
  <si>
    <t>Burnley, Victoria, Australia</t>
  </si>
  <si>
    <t>MCLD-2324</t>
  </si>
  <si>
    <t>Hartree</t>
  </si>
  <si>
    <t>https://www.hartreepartners.com</t>
  </si>
  <si>
    <t>MCLD-2325</t>
  </si>
  <si>
    <t>Comiskey Research</t>
  </si>
  <si>
    <t>https://www.comiskeyresearch.com</t>
  </si>
  <si>
    <t>Elmhurst, Illinois, United States</t>
  </si>
  <si>
    <t>MCLD-2326</t>
  </si>
  <si>
    <t>AIC Partners</t>
  </si>
  <si>
    <t>https://www.aicpartners.com</t>
  </si>
  <si>
    <t>Bluffton, South Carolina, United States</t>
  </si>
  <si>
    <t>MCLD-2327</t>
  </si>
  <si>
    <t>Nafundi</t>
  </si>
  <si>
    <t>https://www.nafundi.com</t>
  </si>
  <si>
    <t>MCLD-2328</t>
  </si>
  <si>
    <t>Quantaero</t>
  </si>
  <si>
    <t>https://www.quantaero.com</t>
  </si>
  <si>
    <t>MCLD-2329</t>
  </si>
  <si>
    <t>Ratio Label Service</t>
  </si>
  <si>
    <t>https://www.ratiolabel.com</t>
  </si>
  <si>
    <t>FlÃ¶rsheim Am Main, Hessen, Germany</t>
  </si>
  <si>
    <t>MCLD-2330</t>
  </si>
  <si>
    <t>KARE Technologies</t>
  </si>
  <si>
    <t>https://www.karetech.com</t>
  </si>
  <si>
    <t>East Greenwich, Rhode Island, United States</t>
  </si>
  <si>
    <t>MCLD-2331</t>
  </si>
  <si>
    <t>European Multiple Sclerosis Platform</t>
  </si>
  <si>
    <t>https://www.emsp.org</t>
  </si>
  <si>
    <t>Brussels, Brussels Hoofdstedelijk Gewest, Belgium</t>
  </si>
  <si>
    <t>MCLD-2332</t>
  </si>
  <si>
    <t>GNN Research Group</t>
  </si>
  <si>
    <t>https://www.gnnresearch.com</t>
  </si>
  <si>
    <t>MCLD-2333</t>
  </si>
  <si>
    <t>C3 Corporation</t>
  </si>
  <si>
    <t>https://www.c3corporation.com</t>
  </si>
  <si>
    <t>Appleton, Wisconsin, United States</t>
  </si>
  <si>
    <t>MCLD-2334</t>
  </si>
  <si>
    <t>Chloen Systems</t>
  </si>
  <si>
    <t>https://www.chloensystems.com</t>
  </si>
  <si>
    <t>Berkley, Massachusetts, United States</t>
  </si>
  <si>
    <t>MCLD-2335</t>
  </si>
  <si>
    <t>Ignimission</t>
  </si>
  <si>
    <t>https://www.ignimission.com</t>
  </si>
  <si>
    <t>MCLD-2336</t>
  </si>
  <si>
    <t>Mobeye</t>
  </si>
  <si>
    <t>https://www.mobeye.com</t>
  </si>
  <si>
    <t>MCLD-2337</t>
  </si>
  <si>
    <t>G/S Solutions</t>
  </si>
  <si>
    <t>https://www.gssolutions.com</t>
  </si>
  <si>
    <t>MCLD-2338</t>
  </si>
  <si>
    <t>Australian Curriculum Assessment and Reporting Authority</t>
  </si>
  <si>
    <t>https://www.acara.edu.au</t>
  </si>
  <si>
    <t>MCLD-2339</t>
  </si>
  <si>
    <t>Coastal Science &amp; Engineering</t>
  </si>
  <si>
    <t>https://www.csesolutions.com</t>
  </si>
  <si>
    <t>Columbia, South Carolina, United States</t>
  </si>
  <si>
    <t>MCLD-2340</t>
  </si>
  <si>
    <t>Webtools</t>
  </si>
  <si>
    <t>https://www.webtools.co</t>
  </si>
  <si>
    <t>Humanes De Madrid, Madrid, Spain</t>
  </si>
  <si>
    <t>MCLD-2341</t>
  </si>
  <si>
    <t>DataStat</t>
  </si>
  <si>
    <t>https://www.datastat-inc.com</t>
  </si>
  <si>
    <t>MCLD-2342</t>
  </si>
  <si>
    <t>Merchandising Consultants Associates</t>
  </si>
  <si>
    <t>https://www.mcagroup.com</t>
  </si>
  <si>
    <t>Woodbridge, Ontario, Canada</t>
  </si>
  <si>
    <t>MCLD-2343</t>
  </si>
  <si>
    <t>bitB</t>
  </si>
  <si>
    <t>https://www.bitb.tech</t>
  </si>
  <si>
    <t>Clifton Park, New York, United States</t>
  </si>
  <si>
    <t>MCLD-2344</t>
  </si>
  <si>
    <t>Adminformatics</t>
  </si>
  <si>
    <t>https://www.adminformatics.com</t>
  </si>
  <si>
    <t>Simpsonville, South Carolina, United States</t>
  </si>
  <si>
    <t>MCLD-2345</t>
  </si>
  <si>
    <t>Equalyz AI</t>
  </si>
  <si>
    <t>https://www.equalyz.ai</t>
  </si>
  <si>
    <t>MCLD-2346</t>
  </si>
  <si>
    <t>Stegmeier Consulting Group</t>
  </si>
  <si>
    <t>https://www.stegmeiergroup.com</t>
  </si>
  <si>
    <t>Lorain, Ohio, United States</t>
  </si>
  <si>
    <t>MCLD-2347</t>
  </si>
  <si>
    <t>Traffic Data Centre</t>
  </si>
  <si>
    <t>https://www.trafficdatacentre.com</t>
  </si>
  <si>
    <t>Ruislip, Hillingdon, United Kingdom</t>
  </si>
  <si>
    <t>MCLD-2348</t>
  </si>
  <si>
    <t>ZEUSO</t>
  </si>
  <si>
    <t>https://www.zeuso.com</t>
  </si>
  <si>
    <t>MCLD-2349</t>
  </si>
  <si>
    <t>Traffic Engineering Data Solutions</t>
  </si>
  <si>
    <t>https://www.tedsinc.com</t>
  </si>
  <si>
    <t>MCLD-2350</t>
  </si>
  <si>
    <t>Qualiquant Services</t>
  </si>
  <si>
    <t>https://www.qualiquant.com</t>
  </si>
  <si>
    <t>MCLD-2351</t>
  </si>
  <si>
    <t>NewIndex</t>
  </si>
  <si>
    <t>https://www.newindex.com</t>
  </si>
  <si>
    <t>Olten, Aargau, Switzerland</t>
  </si>
  <si>
    <t>MCLD-2352</t>
  </si>
  <si>
    <t>KipTraq</t>
  </si>
  <si>
    <t>https://www.kiptraq.com</t>
  </si>
  <si>
    <t>Salinas, California, United States</t>
  </si>
  <si>
    <t>MCLD-2353</t>
  </si>
  <si>
    <t>Pro Intelligence Marketing Consultancy</t>
  </si>
  <si>
    <t>https://www.pro-intelligence.net</t>
  </si>
  <si>
    <t>MCLD-2354</t>
  </si>
  <si>
    <t>Inti Marketing Komunika</t>
  </si>
  <si>
    <t>https://www.intimarketing.co.id</t>
  </si>
  <si>
    <t>Cilandak, Jakarta Raya, Indonesia</t>
  </si>
  <si>
    <t>MCLD-2355</t>
  </si>
  <si>
    <t>Consumer Research Solutions</t>
  </si>
  <si>
    <t>https://www.consumerresearchsolutions.com</t>
  </si>
  <si>
    <t>MCLD-2356</t>
  </si>
  <si>
    <t>Howe Law Firm</t>
  </si>
  <si>
    <t>https://www.howelawfirm.net</t>
  </si>
  <si>
    <t>MCLD-2357</t>
  </si>
  <si>
    <t>MOA</t>
  </si>
  <si>
    <t>https://www.moainsights.com</t>
  </si>
  <si>
    <t>MCLD-2358</t>
  </si>
  <si>
    <t>Canadian Viewpoint</t>
  </si>
  <si>
    <t>https://www.canadianviewpoint.ca</t>
  </si>
  <si>
    <t>Richmond Hill, Ontario, Canada</t>
  </si>
  <si>
    <t>MCLD-2359</t>
  </si>
  <si>
    <t>GIDE</t>
  </si>
  <si>
    <t>https://www.gide.com</t>
  </si>
  <si>
    <t>Nantes, Pays de la Loire, France</t>
  </si>
  <si>
    <t>MCLD-2360</t>
  </si>
  <si>
    <t>W and S Solutions</t>
  </si>
  <si>
    <t>https://www.wssolutions.com</t>
  </si>
  <si>
    <t>MCLD-2361</t>
  </si>
  <si>
    <t>Robas Research</t>
  </si>
  <si>
    <t>https://www.robasresearch.com</t>
  </si>
  <si>
    <t>MCLD-2362</t>
  </si>
  <si>
    <t>Industrial Control Systems</t>
  </si>
  <si>
    <t>https://www.icsglobal.com</t>
  </si>
  <si>
    <t>Joplin, Missouri, United States</t>
  </si>
  <si>
    <t>MCLD-2363</t>
  </si>
  <si>
    <t>Brandon Robertson Associates</t>
  </si>
  <si>
    <t>https://www.brandonrobertson.com</t>
  </si>
  <si>
    <t>Hoddesdon, Hertford, United Kingdom</t>
  </si>
  <si>
    <t>MCLD-2364</t>
  </si>
  <si>
    <t>Integrative Assets</t>
  </si>
  <si>
    <t>https://www.integrativeassets.com</t>
  </si>
  <si>
    <t>MCLD-2365</t>
  </si>
  <si>
    <t>BTRANS</t>
  </si>
  <si>
    <t>https://www.btransgroup.com</t>
  </si>
  <si>
    <t>Bonita Springs, Florida, United States</t>
  </si>
  <si>
    <t>MCLD-2366</t>
  </si>
  <si>
    <t>QM3 Utility Services</t>
  </si>
  <si>
    <t>https://www.qm3us.com</t>
  </si>
  <si>
    <t>Stone Mountain, Georgia, United States</t>
  </si>
  <si>
    <t>MCLD-2367</t>
  </si>
  <si>
    <t>Dynamic Fieldwork</t>
  </si>
  <si>
    <t>https://www.dynamicfieldwork.com</t>
  </si>
  <si>
    <t>Wimbledon, Merton, United Kingdom</t>
  </si>
  <si>
    <t>MCLD-2368</t>
  </si>
  <si>
    <t>SurveyCTO</t>
  </si>
  <si>
    <t>https://www.surveycto.com</t>
  </si>
  <si>
    <t>MCLD-2369</t>
  </si>
  <si>
    <t>Zetta Proxies</t>
  </si>
  <si>
    <t>https://www.zetaproxies.com</t>
  </si>
  <si>
    <t>MCLD-2370</t>
  </si>
  <si>
    <t>Promethos</t>
  </si>
  <si>
    <t>https://www.promethos.com</t>
  </si>
  <si>
    <t>MCLD-2371</t>
  </si>
  <si>
    <t>MODUS</t>
  </si>
  <si>
    <t>https://www.modusresearch.com</t>
  </si>
  <si>
    <t>MCLD-2372</t>
  </si>
  <si>
    <t>Scanbots</t>
  </si>
  <si>
    <t>https://www.scanbots.com</t>
  </si>
  <si>
    <t>MCLD-2373</t>
  </si>
  <si>
    <t>DataCollect</t>
  </si>
  <si>
    <t>https://www.datacollect.com</t>
  </si>
  <si>
    <t>Kerpen, Nordrhein-Westfalen, Germany</t>
  </si>
  <si>
    <t>MCLD-2374</t>
  </si>
  <si>
    <t>Datamatic</t>
  </si>
  <si>
    <t>https://www.datamatic.com</t>
  </si>
  <si>
    <t>MCLD-2375</t>
  </si>
  <si>
    <t>Cobalt Sky</t>
  </si>
  <si>
    <t>https://www.cobaltsky.com</t>
  </si>
  <si>
    <t>MCLD-2376</t>
  </si>
  <si>
    <t>Nagis Informatics Concultancy</t>
  </si>
  <si>
    <t>https://www.nagis.co.in</t>
  </si>
  <si>
    <t>MCLD-2377</t>
  </si>
  <si>
    <t>Asurio</t>
  </si>
  <si>
    <t>https://www.asurio.com</t>
  </si>
  <si>
    <t>MCLD-2378</t>
  </si>
  <si>
    <t>Global Matrix Survey</t>
  </si>
  <si>
    <t>https://www.globalmatrixsurvey.com</t>
  </si>
  <si>
    <t>MCLD-2379</t>
  </si>
  <si>
    <t>My Survey help</t>
  </si>
  <si>
    <t>https://www.mysurveyhelp.com</t>
  </si>
  <si>
    <t>Escondido, California, United States</t>
  </si>
  <si>
    <t>MCLD-2380</t>
  </si>
  <si>
    <t>Soard Solutions</t>
  </si>
  <si>
    <t>https://www.soard.com</t>
  </si>
  <si>
    <t>Mcallen, Texas, United States</t>
  </si>
  <si>
    <t>MCLD-2381</t>
  </si>
  <si>
    <t>37 Degree Data</t>
  </si>
  <si>
    <t>https://www.37degreedata.com</t>
  </si>
  <si>
    <t>MCLD-2382</t>
  </si>
  <si>
    <t>Mobizon</t>
  </si>
  <si>
    <t>https://www.mobizon.com</t>
  </si>
  <si>
    <t>MCLD-2383</t>
  </si>
  <si>
    <t>Coletum</t>
  </si>
  <si>
    <t>https://www.coletum.com</t>
  </si>
  <si>
    <t>ItajaÃ­, Santa Catarina, Brazil</t>
  </si>
  <si>
    <t>MCLD-2384</t>
  </si>
  <si>
    <t>iPanel</t>
  </si>
  <si>
    <t>https://www.ipanelonline.com</t>
  </si>
  <si>
    <t>Bene Beraq, Tel Aviv, Israel</t>
  </si>
  <si>
    <t>MCLD-2385</t>
  </si>
  <si>
    <t>Novatimes GmbH</t>
  </si>
  <si>
    <t>https://www.novatimes.de</t>
  </si>
  <si>
    <t>Zofingen, Aargau, Switzerland</t>
  </si>
  <si>
    <t>MCLD-2386</t>
  </si>
  <si>
    <t>MMCS Consulting</t>
  </si>
  <si>
    <t>https://www.mmcsconsulting.com</t>
  </si>
  <si>
    <t>MCLD-2387</t>
  </si>
  <si>
    <t>Fund Mojo</t>
  </si>
  <si>
    <t>https://www.fundmojo.com</t>
  </si>
  <si>
    <t>MCLD-2388</t>
  </si>
  <si>
    <t>JM partners</t>
  </si>
  <si>
    <t>https://www.jmpartners.com</t>
  </si>
  <si>
    <t>Mlada Boleslav, Stredocesky kraj, Czech Republic</t>
  </si>
  <si>
    <t>MCLD-2389</t>
  </si>
  <si>
    <t>Josef Hillekamp</t>
  </si>
  <si>
    <t>https://www.josefhillekamp.de</t>
  </si>
  <si>
    <t>MÃ¶nchengladbach, Nordrhein-Westfalen, Germany</t>
  </si>
  <si>
    <t>MCLD-2390</t>
  </si>
  <si>
    <t>Behavior Research Center</t>
  </si>
  <si>
    <t>https://www.behaviorresearchcenter.com</t>
  </si>
  <si>
    <t>Azusa, California, United States</t>
  </si>
  <si>
    <t>MCLD-2391</t>
  </si>
  <si>
    <t>Formzi</t>
  </si>
  <si>
    <t>https://www.formzi.com</t>
  </si>
  <si>
    <t>MCLD-2392</t>
  </si>
  <si>
    <t>WEimpact.AI</t>
  </si>
  <si>
    <t>https://www.weimpact.ai</t>
  </si>
  <si>
    <t>Olsztyn, Warminsko-Mazurskie, Poland</t>
  </si>
  <si>
    <t>MCLD-2393</t>
  </si>
  <si>
    <t>Shiftproxy</t>
  </si>
  <si>
    <t>https://www.shiftproxy.com</t>
  </si>
  <si>
    <t>MCLD-2394</t>
  </si>
  <si>
    <t>United Against Slavery</t>
  </si>
  <si>
    <t>https://www.unitedagainstslavery.org</t>
  </si>
  <si>
    <t>Morristown, Tennessee, United States</t>
  </si>
  <si>
    <t>MCLD-2395</t>
  </si>
  <si>
    <t>Alpata Teknoloji &amp; YazÄ±lÄ±m</t>
  </si>
  <si>
    <t>https://www.alpata.com</t>
  </si>
  <si>
    <t>Eskisehir, Eskisehir, Turkey</t>
  </si>
  <si>
    <t>MCLD-2396</t>
  </si>
  <si>
    <t>Catalyst ABA</t>
  </si>
  <si>
    <t>https://www.catalystaba.com</t>
  </si>
  <si>
    <t>MCLD-2397</t>
  </si>
  <si>
    <t>Decision Information Resources</t>
  </si>
  <si>
    <t>https://www.decisioninfo.com</t>
  </si>
  <si>
    <t>MCLD-2398</t>
  </si>
  <si>
    <t>@Work Solutions</t>
  </si>
  <si>
    <t>https://www.atworksolutions.com</t>
  </si>
  <si>
    <t>Louisville, Kentucky, United States</t>
  </si>
  <si>
    <t>MCLD-2399</t>
  </si>
  <si>
    <t>NeuroUX</t>
  </si>
  <si>
    <t>https://www.neuroux.com</t>
  </si>
  <si>
    <t>MCLD-2400</t>
  </si>
  <si>
    <t>Bar Code Integrators</t>
  </si>
  <si>
    <t>https://www.barcodeintegrators.com</t>
  </si>
  <si>
    <t>Libertyville, Illinois, United States</t>
  </si>
  <si>
    <t>MCLD-2401</t>
  </si>
  <si>
    <t>Codibar</t>
  </si>
  <si>
    <t>https://www.codibar.com</t>
  </si>
  <si>
    <t>SÃ£o JoÃ£o Da Madeira, Aveiro, Portugal</t>
  </si>
  <si>
    <t>MCLD-2402</t>
  </si>
  <si>
    <t>EasyCheck</t>
  </si>
  <si>
    <t>https://www.easycheck.com</t>
  </si>
  <si>
    <t>MCLD-2403</t>
  </si>
  <si>
    <t>Wolf-Tek</t>
  </si>
  <si>
    <t>https://www.wolf-tek.com</t>
  </si>
  <si>
    <t>MCLD-2404</t>
  </si>
  <si>
    <t>Cupplast Ambalaj Yatirim Sanayi Ticaret</t>
  </si>
  <si>
    <t>https://www.cupplast.com.tr</t>
  </si>
  <si>
    <t>MCLD-2405</t>
  </si>
  <si>
    <t>Promotigo</t>
  </si>
  <si>
    <t>https://www.promotigo.com</t>
  </si>
  <si>
    <t>MCLD-2406</t>
  </si>
  <si>
    <t>CaddieON</t>
  </si>
  <si>
    <t>https://www.caddieon.com</t>
  </si>
  <si>
    <t>Oulu, Oulu, Finland</t>
  </si>
  <si>
    <t>MCLD-2407</t>
  </si>
  <si>
    <t>CodeOne</t>
  </si>
  <si>
    <t>https://www.codeone.com</t>
  </si>
  <si>
    <t>MCLD-2408</t>
  </si>
  <si>
    <t>Laser Printers and Mailing Services</t>
  </si>
  <si>
    <t>https://www.lpms.com</t>
  </si>
  <si>
    <t>MCLD-2409</t>
  </si>
  <si>
    <t>Clusterpark</t>
  </si>
  <si>
    <t>https://www.clusterpark.com</t>
  </si>
  <si>
    <t>Riga, Riga, Latvia</t>
  </si>
  <si>
    <t>MCLD-2410</t>
  </si>
  <si>
    <t>FormForce</t>
  </si>
  <si>
    <t>https://www.formforce.com</t>
  </si>
  <si>
    <t>Bakersfield, California, United States</t>
  </si>
  <si>
    <t>MCLD-2411</t>
  </si>
  <si>
    <t>Liberty Pipeline Services LLC</t>
  </si>
  <si>
    <t>https://www.libertypipelineservices.com</t>
  </si>
  <si>
    <t>MCLD-2412</t>
  </si>
  <si>
    <t>Datatekin</t>
  </si>
  <si>
    <t>https://www.datatekin.com</t>
  </si>
  <si>
    <t>MCLD-2413</t>
  </si>
  <si>
    <t>IDASO</t>
  </si>
  <si>
    <t>https://www.idaso.com</t>
  </si>
  <si>
    <t>Mullingar, Westmeath, Ireland</t>
  </si>
  <si>
    <t>MCLD-2414</t>
  </si>
  <si>
    <t>Rimiflu</t>
  </si>
  <si>
    <t>https://www.rimiflu.com</t>
  </si>
  <si>
    <t>Cesano Maderno, Lombardia, Italy</t>
  </si>
  <si>
    <t>MCLD-2415</t>
  </si>
  <si>
    <t>Cognetik</t>
  </si>
  <si>
    <t>https://www.cognetik.com</t>
  </si>
  <si>
    <t>Cary, North Carolina, United States</t>
  </si>
  <si>
    <t>MCLD-2416</t>
  </si>
  <si>
    <t>CADNET</t>
  </si>
  <si>
    <t>https://www.cadnet.com</t>
  </si>
  <si>
    <t>Hannoversch MÃ¼nden, Niedersachsen, Germany</t>
  </si>
  <si>
    <t>MCLD-2417</t>
  </si>
  <si>
    <t>Accessible Archives</t>
  </si>
  <si>
    <t>https://www.accessible-archives.com</t>
  </si>
  <si>
    <t>MCLD-2418</t>
  </si>
  <si>
    <t>Institute for Marketing Research</t>
  </si>
  <si>
    <t>https://www.imrworldwide.com</t>
  </si>
  <si>
    <t>MCLD-2419</t>
  </si>
  <si>
    <t>Business Analytics</t>
  </si>
  <si>
    <t>https://www.business-analytics.com</t>
  </si>
  <si>
    <t>MCLD-2420</t>
  </si>
  <si>
    <t>Magnitude Surveys</t>
  </si>
  <si>
    <t>https://www.magnitudesurveys.com</t>
  </si>
  <si>
    <t>Bradford, Bradford, United Kingdom</t>
  </si>
  <si>
    <t>MCLD-2421</t>
  </si>
  <si>
    <t>formexperts.com</t>
  </si>
  <si>
    <t>https://www.formexperts.com</t>
  </si>
  <si>
    <t>MCLD-2422</t>
  </si>
  <si>
    <t>Rivetta Sistemi</t>
  </si>
  <si>
    <t>https://www.rivettasistemi.com</t>
  </si>
  <si>
    <t>Gazzada, Lombardia, Italy</t>
  </si>
  <si>
    <t>MCLD-2423</t>
  </si>
  <si>
    <t>FreedomCenter</t>
  </si>
  <si>
    <t>https://www.freedomcenter.org</t>
  </si>
  <si>
    <t>Manizales, Caldas, Colombia</t>
  </si>
  <si>
    <t>MCLD-2424</t>
  </si>
  <si>
    <t>Chase Consulting Group</t>
  </si>
  <si>
    <t>https://www.chasegroup.com</t>
  </si>
  <si>
    <t>MCLD-2425</t>
  </si>
  <si>
    <t>Sterizon</t>
  </si>
  <si>
    <t>https://www.sterizon.com</t>
  </si>
  <si>
    <t>Suwanee, Georgia, United States</t>
  </si>
  <si>
    <t>MCLD-2426</t>
  </si>
  <si>
    <t>Marine Taxonomic Services</t>
  </si>
  <si>
    <t>https://www.marinetaxonomy.com</t>
  </si>
  <si>
    <t>San Marcos, California, United States</t>
  </si>
  <si>
    <t>MCLD-2427</t>
  </si>
  <si>
    <t>Amplitude Clinical Outcomes</t>
  </si>
  <si>
    <t>https://www.amplitudeco.com</t>
  </si>
  <si>
    <t>Worcester, Worcestershire, United Kingdom</t>
  </si>
  <si>
    <t>MCLD-2428</t>
  </si>
  <si>
    <t>K2 Reimagine</t>
  </si>
  <si>
    <t>https://www.k2reimagine.com</t>
  </si>
  <si>
    <t>MCLD-2429</t>
  </si>
  <si>
    <t>EPSI Data Collection Services</t>
  </si>
  <si>
    <t>https://www.epsi-inc.com</t>
  </si>
  <si>
    <t>MCLD-2430</t>
  </si>
  <si>
    <t>CIDO</t>
  </si>
  <si>
    <t>https://www.cido.ai</t>
  </si>
  <si>
    <t>MÃ¼nster, Nordrhein-Westfalen, Germany</t>
  </si>
  <si>
    <t>MCLD-2431</t>
  </si>
  <si>
    <t>GeoNord</t>
  </si>
  <si>
    <t>https://www.geonord.no</t>
  </si>
  <si>
    <t>Alta, Finnmark, Norway</t>
  </si>
  <si>
    <t>MCLD-2432</t>
  </si>
  <si>
    <t>XdotO Concepts</t>
  </si>
  <si>
    <t>https://www.xdoto.com</t>
  </si>
  <si>
    <t>MCLD-2433</t>
  </si>
  <si>
    <t>Motionalysis</t>
  </si>
  <si>
    <t>https://www.motionalysis.com</t>
  </si>
  <si>
    <t>Rehoboth Beach, Delaware, United States</t>
  </si>
  <si>
    <t>MCLD-2434</t>
  </si>
  <si>
    <t>Lanchuang Intelligent Technology</t>
  </si>
  <si>
    <t>https://www.lanchuangtech.com</t>
  </si>
  <si>
    <t>Wuxi Shi, Jiangsu, China</t>
  </si>
  <si>
    <t>MCLD-2435</t>
  </si>
  <si>
    <t>RTD Electronics</t>
  </si>
  <si>
    <t>https://www.rtdelectronics.com</t>
  </si>
  <si>
    <t>Belmont, Wisconsin, United States</t>
  </si>
  <si>
    <t>MCLD-2436</t>
  </si>
  <si>
    <t>Open Source Investor Services (OSIS)</t>
  </si>
  <si>
    <t>https://www.osis.com</t>
  </si>
  <si>
    <t>MCLD-2437</t>
  </si>
  <si>
    <t>Science Data Software</t>
  </si>
  <si>
    <t>https://www.scidatasoft.com</t>
  </si>
  <si>
    <t>MCLD-2438</t>
  </si>
  <si>
    <t>Demetra opinioni.net</t>
  </si>
  <si>
    <t>https://www.opinioni.net</t>
  </si>
  <si>
    <t>Venezia, Veneto, Italy</t>
  </si>
  <si>
    <t>MCLD-2439</t>
  </si>
  <si>
    <t>LUKKY</t>
  </si>
  <si>
    <t>https://www.lukky.ai</t>
  </si>
  <si>
    <t>MCLD-2440</t>
  </si>
  <si>
    <t>Probit</t>
  </si>
  <si>
    <t>https://www.probit.com</t>
  </si>
  <si>
    <t>MCLD-2441</t>
  </si>
  <si>
    <t>Eponic</t>
  </si>
  <si>
    <t>https://www.eponic.com</t>
  </si>
  <si>
    <t>MCLD-2442</t>
  </si>
  <si>
    <t>Valeria</t>
  </si>
  <si>
    <t>https://www.valeria.ai</t>
  </si>
  <si>
    <t>MCLD-2443</t>
  </si>
  <si>
    <t>Entity Labs</t>
  </si>
  <si>
    <t>https://www.entitylabs.io</t>
  </si>
  <si>
    <t>MCLD-2444</t>
  </si>
  <si>
    <t>Gama Etiket</t>
  </si>
  <si>
    <t>https://www.gamaetiket.com</t>
  </si>
  <si>
    <t>Yenibosna, Istanbul, Turkey</t>
  </si>
  <si>
    <t>MCLD-2445</t>
  </si>
  <si>
    <t>Datalekt</t>
  </si>
  <si>
    <t>https://www.datalekt.com</t>
  </si>
  <si>
    <t>MCLD-2446</t>
  </si>
  <si>
    <t>Gruppo Marche Informatica</t>
  </si>
  <si>
    <t>https://www.gruppomarcheinformatica.it</t>
  </si>
  <si>
    <t>Villa Potenza, Marche, Italy</t>
  </si>
  <si>
    <t>MCLD-2447</t>
  </si>
  <si>
    <t>USA National Phenology Network</t>
  </si>
  <si>
    <t>https://www.usanpn.org</t>
  </si>
  <si>
    <t>MCLD-2448</t>
  </si>
  <si>
    <t>Ecx Labs</t>
  </si>
  <si>
    <t>https://www.ecxlabs.com</t>
  </si>
  <si>
    <t>MCLD-2449</t>
  </si>
  <si>
    <t>XForms</t>
  </si>
  <si>
    <t>https://www.xforms.io</t>
  </si>
  <si>
    <t>MCLD-2450</t>
  </si>
  <si>
    <t>Counect</t>
  </si>
  <si>
    <t>https://www.counect.com</t>
  </si>
  <si>
    <t>MCLD-2451</t>
  </si>
  <si>
    <t>Kreditek Financial Access</t>
  </si>
  <si>
    <t>https://www.kreditek.com</t>
  </si>
  <si>
    <t>Banten, Jawa Barat, Indonesia</t>
  </si>
  <si>
    <t>MCLD-2452</t>
  </si>
  <si>
    <t>MSF Data Services</t>
  </si>
  <si>
    <t>https://www.msfdata.com</t>
  </si>
  <si>
    <t>Hartland, Wisconsin, United States</t>
  </si>
  <si>
    <t>MCLD-2453</t>
  </si>
  <si>
    <t>IntegraServ</t>
  </si>
  <si>
    <t>https://www.integraserv.com</t>
  </si>
  <si>
    <t>Greensboro, North Carolina, United States</t>
  </si>
  <si>
    <t>MCLD-2454</t>
  </si>
  <si>
    <t>Communications for Research</t>
  </si>
  <si>
    <t>https://www.cfrinc.com</t>
  </si>
  <si>
    <t>MCLD-2455</t>
  </si>
  <si>
    <t>BOpartner</t>
  </si>
  <si>
    <t>https://www.bopartner.com</t>
  </si>
  <si>
    <t>Waret-la-chaussÃ©e, Namur, Belgium</t>
  </si>
  <si>
    <t>MCLD-2456</t>
  </si>
  <si>
    <t>Tutkimustie</t>
  </si>
  <si>
    <t>https://www.tutkimustie.fi</t>
  </si>
  <si>
    <t>MCLD-2457</t>
  </si>
  <si>
    <t>AutoUP</t>
  </si>
  <si>
    <t>https://www.autoup.com</t>
  </si>
  <si>
    <t>MCLD-2458</t>
  </si>
  <si>
    <t>The Khana Group</t>
  </si>
  <si>
    <t>https://www.khanagroup.com</t>
  </si>
  <si>
    <t>MCLD-2459</t>
  </si>
  <si>
    <t>AccuPoint</t>
  </si>
  <si>
    <t>https://www.accupoint.com</t>
  </si>
  <si>
    <t>Secaucus, New Jersey, United States</t>
  </si>
  <si>
    <t>MCLD-2460</t>
  </si>
  <si>
    <t>StudentVoice</t>
  </si>
  <si>
    <t>https://www.studentvoice.com</t>
  </si>
  <si>
    <t>MCLD-2461</t>
  </si>
  <si>
    <t>GKA</t>
  </si>
  <si>
    <t>https://www.gkainsights.com</t>
  </si>
  <si>
    <t>Cheltenham, Gloucestershire, United Kingdom</t>
  </si>
  <si>
    <t>MCLD-2462</t>
  </si>
  <si>
    <t>FileFlow</t>
  </si>
  <si>
    <t>https://www.fileflow.com</t>
  </si>
  <si>
    <t>MCLD-2463</t>
  </si>
  <si>
    <t>Trend Research</t>
  </si>
  <si>
    <t>https://www.trendresearch.com</t>
  </si>
  <si>
    <t>MCLD-2464</t>
  </si>
  <si>
    <t>Simulacra</t>
  </si>
  <si>
    <t>https://www.simulacra.com</t>
  </si>
  <si>
    <t>MCLD-2465</t>
  </si>
  <si>
    <t>Danelec</t>
  </si>
  <si>
    <t>https://www.danelec.com</t>
  </si>
  <si>
    <t>MCLD-2466</t>
  </si>
  <si>
    <t>DATA System</t>
  </si>
  <si>
    <t>https://www.datasystem.com</t>
  </si>
  <si>
    <t>Teplice, Ustecky kraj, Czech Republic</t>
  </si>
  <si>
    <t>MCLD-2467</t>
  </si>
  <si>
    <t>WAC Research</t>
  </si>
  <si>
    <t>https://www.wacresearch.com</t>
  </si>
  <si>
    <t>MCLD-2468</t>
  </si>
  <si>
    <t>Envigilant Systems</t>
  </si>
  <si>
    <t>https://www.envigilant.com</t>
  </si>
  <si>
    <t>MCLD-2469</t>
  </si>
  <si>
    <t>Deiteo AI Private Limited</t>
  </si>
  <si>
    <t>https://www.deiteo.ai</t>
  </si>
  <si>
    <t>Mysuru, Karnataka, India</t>
  </si>
  <si>
    <t>MCLD-2470</t>
  </si>
  <si>
    <t>Performance Challenges</t>
  </si>
  <si>
    <t>https://www.performancechallenges.com</t>
  </si>
  <si>
    <t>MCLD-2471</t>
  </si>
  <si>
    <t>Inspection Apps</t>
  </si>
  <si>
    <t>https://www.inspectionapps.com</t>
  </si>
  <si>
    <t>Cairns, Queensland, Australia</t>
  </si>
  <si>
    <t>MCLD-2472</t>
  </si>
  <si>
    <t>pocstock</t>
  </si>
  <si>
    <t>https://www.pocstock.com</t>
  </si>
  <si>
    <t>Newark, New Jersey, United States</t>
  </si>
  <si>
    <t>MCLD-2473</t>
  </si>
  <si>
    <t>Checkpoint ID</t>
  </si>
  <si>
    <t>https://www.checkpointid.com</t>
  </si>
  <si>
    <t>Carrollton, Texas, United States</t>
  </si>
  <si>
    <t>MCLD-2474</t>
  </si>
  <si>
    <t>Choiceform</t>
  </si>
  <si>
    <t>https://www.choiceform.com</t>
  </si>
  <si>
    <t>Huangpu, Shanghai, China</t>
  </si>
  <si>
    <t>MCLD-2475</t>
  </si>
  <si>
    <t>Shelvz</t>
  </si>
  <si>
    <t>https://www.shelvz.com</t>
  </si>
  <si>
    <t>Beirut, Beyrouth, Lebanon</t>
  </si>
  <si>
    <t>MCLD-2476</t>
  </si>
  <si>
    <t>Thread</t>
  </si>
  <si>
    <t>https://www.thread.ai</t>
  </si>
  <si>
    <t>Grand Forks, North Dakota, United States</t>
  </si>
  <si>
    <t>MCLD-2477</t>
  </si>
  <si>
    <t>Oncochain</t>
  </si>
  <si>
    <t>https://www.oncochain.io</t>
  </si>
  <si>
    <t>MCLD-2478</t>
  </si>
  <si>
    <t>InsurTech</t>
  </si>
  <si>
    <t>https://www.insurtech.com</t>
  </si>
  <si>
    <t>Futian, Guangdong, China</t>
  </si>
  <si>
    <t>MCLD-2479</t>
  </si>
  <si>
    <t>Creare</t>
  </si>
  <si>
    <t>https://www.creare.com</t>
  </si>
  <si>
    <t>Hanover, New Hampshire, United States</t>
  </si>
  <si>
    <t>MCLD-2480</t>
  </si>
  <si>
    <t>Class Action Capital</t>
  </si>
  <si>
    <t>https://www.classactioncapital.com</t>
  </si>
  <si>
    <t>MCLD-2481</t>
  </si>
  <si>
    <t>Gretel</t>
  </si>
  <si>
    <t>https://www.gretel.ai</t>
  </si>
  <si>
    <t>MCLD-2482</t>
  </si>
  <si>
    <t>M47AI</t>
  </si>
  <si>
    <t>https://www.m47.ai</t>
  </si>
  <si>
    <t>MCLD-2483</t>
  </si>
  <si>
    <t>kpiReady</t>
  </si>
  <si>
    <t>https://www.kpiready.com</t>
  </si>
  <si>
    <t>MCLD-2484</t>
  </si>
  <si>
    <t>Haelixa</t>
  </si>
  <si>
    <t>https://www.haelixa.com</t>
  </si>
  <si>
    <t>Kemptthal, Zurich, Switzerland</t>
  </si>
  <si>
    <t>MCLD-2485</t>
  </si>
  <si>
    <t>Progoo</t>
  </si>
  <si>
    <t>https://www.progoo.com</t>
  </si>
  <si>
    <t>Tianjin, Guangdong, China</t>
  </si>
  <si>
    <t>MCLD-2486</t>
  </si>
  <si>
    <t>Datable Technology .</t>
  </si>
  <si>
    <t>https://www.datable.io</t>
  </si>
  <si>
    <t>MCLD-2487</t>
  </si>
  <si>
    <t>PrecisionHawk</t>
  </si>
  <si>
    <t>https://www.precisionhawk.com</t>
  </si>
  <si>
    <t>MCLD-2488</t>
  </si>
  <si>
    <t>TabLogs</t>
  </si>
  <si>
    <t>https://www.tablogs.com</t>
  </si>
  <si>
    <t>MCLD-2489</t>
  </si>
  <si>
    <t>Datasinc</t>
  </si>
  <si>
    <t>https://www.datasinc.com</t>
  </si>
  <si>
    <t>MCLD-2490</t>
  </si>
  <si>
    <t>africa.ai</t>
  </si>
  <si>
    <t>https://www.africa.ai</t>
  </si>
  <si>
    <t>MCLD-2491</t>
  </si>
  <si>
    <t>HD Rain</t>
  </si>
  <si>
    <t>https://www.hdrain.com</t>
  </si>
  <si>
    <t>MCLD-2492</t>
  </si>
  <si>
    <t>AI Squared</t>
  </si>
  <si>
    <t>https://www.aisquared.com</t>
  </si>
  <si>
    <t>MCLD-2493</t>
  </si>
  <si>
    <t>Rep Data</t>
  </si>
  <si>
    <t>https://www.repdata.com</t>
  </si>
  <si>
    <t>New Orleans, Louisiana, United States</t>
  </si>
  <si>
    <t>MCLD-2494</t>
  </si>
  <si>
    <t>Reengen</t>
  </si>
  <si>
    <t>https://www.reengen.com</t>
  </si>
  <si>
    <t>Sariyer, Istanbul, Turkey</t>
  </si>
  <si>
    <t>MCLD-2495</t>
  </si>
  <si>
    <t>Flats or Spikes</t>
  </si>
  <si>
    <t>https://www.flatsorspikes.com</t>
  </si>
  <si>
    <t>MCLD-2496</t>
  </si>
  <si>
    <t>ORBintel</t>
  </si>
  <si>
    <t>https://www.orbintel.com</t>
  </si>
  <si>
    <t>MCLD-2497</t>
  </si>
  <si>
    <t>Whole Earth Foundation</t>
  </si>
  <si>
    <t>https://www.wholeearthfoundation.org</t>
  </si>
  <si>
    <t>MCLD-2498</t>
  </si>
  <si>
    <t>Immediation</t>
  </si>
  <si>
    <t>https://www.immediation.com</t>
  </si>
  <si>
    <t>Richmond, Victoria, Australia</t>
  </si>
  <si>
    <t>MCLD-2499</t>
  </si>
  <si>
    <t>Form.com</t>
  </si>
  <si>
    <t>https://www.form.com</t>
  </si>
  <si>
    <t>Braintree, Massachusetts, United States</t>
  </si>
  <si>
    <t>MCLD-2500</t>
  </si>
  <si>
    <t>Sinpex</t>
  </si>
  <si>
    <t>https://www.sinpex.com</t>
  </si>
  <si>
    <t>MCLD-2501</t>
  </si>
  <si>
    <t>Snorkel AI</t>
  </si>
  <si>
    <t>https://www.snorkel.ai</t>
  </si>
  <si>
    <t>MCLD-2502</t>
  </si>
  <si>
    <t>EthonAI</t>
  </si>
  <si>
    <t>https://www.ethon.ai</t>
  </si>
  <si>
    <t>MCLD-2503</t>
  </si>
  <si>
    <t>Datasaur</t>
  </si>
  <si>
    <t>https://www.datasaur.ai</t>
  </si>
  <si>
    <t>MCLD-2504</t>
  </si>
  <si>
    <t>Edgecross</t>
  </si>
  <si>
    <t>https://www.edgecross.com</t>
  </si>
  <si>
    <t>MCLD-2505</t>
  </si>
  <si>
    <t>BLOCKS</t>
  </si>
  <si>
    <t>https://www.blocks.io</t>
  </si>
  <si>
    <t>MCLD-2506</t>
  </si>
  <si>
    <t>FarmBackup</t>
  </si>
  <si>
    <t>https://www.farmbackup.com</t>
  </si>
  <si>
    <t>MCLD-2507</t>
  </si>
  <si>
    <t>Liberty Source</t>
  </si>
  <si>
    <t>https://www.libertysource.com</t>
  </si>
  <si>
    <t>Hampton, Virginia, United States</t>
  </si>
  <si>
    <t>MCLD-2508</t>
  </si>
  <si>
    <t>FulcrumAir</t>
  </si>
  <si>
    <t>https://www.fulcrumair.com</t>
  </si>
  <si>
    <t>Wellington, Colorado, United States</t>
  </si>
  <si>
    <t>MCLD-2509</t>
  </si>
  <si>
    <t>InMoment</t>
  </si>
  <si>
    <t>https://www.inmoment.com</t>
  </si>
  <si>
    <t>MCLD-2510</t>
  </si>
  <si>
    <t>Bizportal</t>
  </si>
  <si>
    <t>https://www.bizportal.com</t>
  </si>
  <si>
    <t>MCLD-2511</t>
  </si>
  <si>
    <t>Jiaoyi Digital Technology</t>
  </si>
  <si>
    <t>https://www.jiaoyi-tech.com</t>
  </si>
  <si>
    <t>Weifang, Shandong, China</t>
  </si>
  <si>
    <t>MCLD-2512</t>
  </si>
  <si>
    <t>Maze</t>
  </si>
  <si>
    <t>https://www.maze.co</t>
  </si>
  <si>
    <t>Hanam, Kyonggi-do, South Korea</t>
  </si>
  <si>
    <t>MCLD-2513</t>
  </si>
  <si>
    <t>T6 Health Systems</t>
  </si>
  <si>
    <t>https://www.t6health.com</t>
  </si>
  <si>
    <t>MCLD-2514</t>
  </si>
  <si>
    <t>Crowdsorsa</t>
  </si>
  <si>
    <t>https://www.crowdsorsa.com</t>
  </si>
  <si>
    <t>MCLD-2515</t>
  </si>
  <si>
    <t>Gale Project Technologies</t>
  </si>
  <si>
    <t>https://www.galetech.com</t>
  </si>
  <si>
    <t>New Braunfels, Texas, United States</t>
  </si>
  <si>
    <t>MCLD-2516</t>
  </si>
  <si>
    <t>Crawly</t>
  </si>
  <si>
    <t>https://www.crawly.ai</t>
  </si>
  <si>
    <t>MCLD-2517</t>
  </si>
  <si>
    <t>Enabled Intelligence</t>
  </si>
  <si>
    <t>https://www.enabledintelligence.com</t>
  </si>
  <si>
    <t>MCLD-2518</t>
  </si>
  <si>
    <t>https://www.telusdigital.com</t>
  </si>
  <si>
    <t>MCLD-2519</t>
  </si>
  <si>
    <t>Fulcrum</t>
  </si>
  <si>
    <t>https://www.fulcrumapp.com</t>
  </si>
  <si>
    <t>MCLD-2520</t>
  </si>
  <si>
    <t>Cumbuca</t>
  </si>
  <si>
    <t>https://www.cumbuca.com</t>
  </si>
  <si>
    <t>MCLD-2521</t>
  </si>
  <si>
    <t>Feltgis</t>
  </si>
  <si>
    <t>https://www.felt.com</t>
  </si>
  <si>
    <t>Arneberg, Hedmark, Norway</t>
  </si>
  <si>
    <t>MCLD-2522</t>
  </si>
  <si>
    <t>Remcare</t>
  </si>
  <si>
    <t>https://www.remcare.org</t>
  </si>
  <si>
    <t>Romsey, Hampshire, United Kingdom</t>
  </si>
  <si>
    <t>MCLD-2523</t>
  </si>
  <si>
    <t>IMM-Data Ltd.</t>
  </si>
  <si>
    <t>https://www.immdata.com</t>
  </si>
  <si>
    <t>SzÃ©kesfehÃ©rvÃ¡r, Fejer, Hungary</t>
  </si>
  <si>
    <t>MCLD-2524</t>
  </si>
  <si>
    <t>Indrocorp</t>
  </si>
  <si>
    <t>https://www.indrocorp.com</t>
  </si>
  <si>
    <t>MCLD-2525</t>
  </si>
  <si>
    <t>Giiso</t>
  </si>
  <si>
    <t>https://www.giiso.com</t>
  </si>
  <si>
    <t>MCLD-2526</t>
  </si>
  <si>
    <t>DeepNatural</t>
  </si>
  <si>
    <t>https://www.deepnatural.ai</t>
  </si>
  <si>
    <t>MCLD-2527</t>
  </si>
  <si>
    <t>Yevai</t>
  </si>
  <si>
    <t>https://www.yev.ai</t>
  </si>
  <si>
    <t>MCLD-2528</t>
  </si>
  <si>
    <t>Dash Robotics</t>
  </si>
  <si>
    <t>https://www.dashrobotics.com</t>
  </si>
  <si>
    <t>Hayward, California, United States</t>
  </si>
  <si>
    <t>MCLD-2529</t>
  </si>
  <si>
    <t>Neurasity</t>
  </si>
  <si>
    <t>https://www.neurasity.com</t>
  </si>
  <si>
    <t>MCLD-2530</t>
  </si>
  <si>
    <t>Centaur Labs</t>
  </si>
  <si>
    <t>https://www.centaurlabs.com</t>
  </si>
  <si>
    <t>MCLD-2531</t>
  </si>
  <si>
    <t>TaroWorks</t>
  </si>
  <si>
    <t>https://www.taroworks.com</t>
  </si>
  <si>
    <t>MCLD-2532</t>
  </si>
  <si>
    <t>Sustainly</t>
  </si>
  <si>
    <t>https://www.sustainly.com</t>
  </si>
  <si>
    <t>MCLD-2533</t>
  </si>
  <si>
    <t>Ping An Healthcare Management</t>
  </si>
  <si>
    <t>https://health.pingan.com</t>
  </si>
  <si>
    <t>MCLD-2534</t>
  </si>
  <si>
    <t>Nimble Way</t>
  </si>
  <si>
    <t>https://www.nimbleway.com</t>
  </si>
  <si>
    <t>MCLD-2535</t>
  </si>
  <si>
    <t>KonnektU</t>
  </si>
  <si>
    <t>https://www.konnektu.com</t>
  </si>
  <si>
    <t>MCLD-2536</t>
  </si>
  <si>
    <t>PublicData</t>
  </si>
  <si>
    <t>https://www.publicdata.com</t>
  </si>
  <si>
    <t>Lo Barnechea, Region Metropolitana, Chile</t>
  </si>
  <si>
    <t>MCLD-2537</t>
  </si>
  <si>
    <t>Quantum AI</t>
  </si>
  <si>
    <t>https://www.quantumai.com</t>
  </si>
  <si>
    <t>MCLD-2538</t>
  </si>
  <si>
    <t>AUDITSU</t>
  </si>
  <si>
    <t>https://www.auditsu.com</t>
  </si>
  <si>
    <t>MCLD-2539</t>
  </si>
  <si>
    <t>Panels</t>
  </si>
  <si>
    <t>https://www.panels.ai</t>
  </si>
  <si>
    <t>MCLD-2540</t>
  </si>
  <si>
    <t>Dataloop AI</t>
  </si>
  <si>
    <t>https://www.dataloop.ai</t>
  </si>
  <si>
    <t>MCLD-2541</t>
  </si>
  <si>
    <t>UNLOCKLAND</t>
  </si>
  <si>
    <t>https://www.unlockland.com</t>
  </si>
  <si>
    <t>MCLD-2542</t>
  </si>
  <si>
    <t>AfterQuery</t>
  </si>
  <si>
    <t>https://www.afterquery.com</t>
  </si>
  <si>
    <t>MCLD-2543</t>
  </si>
  <si>
    <t>SupportYourApp</t>
  </si>
  <si>
    <t>https://www.supportyourapp.com</t>
  </si>
  <si>
    <t>MCLD-2544</t>
  </si>
  <si>
    <t>Super Izzy AI</t>
  </si>
  <si>
    <t>https://www.superizzy.ai</t>
  </si>
  <si>
    <t>MCLD-2545</t>
  </si>
  <si>
    <t>Xitai Shuju</t>
  </si>
  <si>
    <t>https://www.xitaidata.com</t>
  </si>
  <si>
    <t>Qingdao Shi, Shandong, China</t>
  </si>
  <si>
    <t>MCLD-2546</t>
  </si>
  <si>
    <t>PAWA AI</t>
  </si>
  <si>
    <t>https://www.pawa.ai</t>
  </si>
  <si>
    <t>MCLD-2547</t>
  </si>
  <si>
    <t>E.O.I Technologies</t>
  </si>
  <si>
    <t>https://www.eoitech.com</t>
  </si>
  <si>
    <t>MCLD-2548</t>
  </si>
  <si>
    <t>Taojin Yun Kefu</t>
  </si>
  <si>
    <t>https://www.taojinyun.com</t>
  </si>
  <si>
    <t>Chengdu, Sichuan, China</t>
  </si>
  <si>
    <t>MCLD-2549</t>
  </si>
  <si>
    <t>Abaka</t>
  </si>
  <si>
    <t>https://www.abaka.ai</t>
  </si>
  <si>
    <t>MCLD-2550</t>
  </si>
  <si>
    <t>Carmino</t>
  </si>
  <si>
    <t>https://www.carmino.com</t>
  </si>
  <si>
    <t>Potsdam, Brandenburg, Germany</t>
  </si>
  <si>
    <t>MCLD-2551</t>
  </si>
  <si>
    <t>Troveo AI</t>
  </si>
  <si>
    <t>https://www.troveo.ai</t>
  </si>
  <si>
    <t>MCLD-2552</t>
  </si>
  <si>
    <t>Flikforge</t>
  </si>
  <si>
    <t>https://www.flikforge.com</t>
  </si>
  <si>
    <t>MCLD-2553</t>
  </si>
  <si>
    <t>Mesatech Systems</t>
  </si>
  <si>
    <t>https://www.mesatechsys.com</t>
  </si>
  <si>
    <t>MÃ¡laga, Andalucia, Spain</t>
  </si>
  <si>
    <t>MCLD-2554</t>
  </si>
  <si>
    <t>Mayi Zhongbao</t>
  </si>
  <si>
    <t>https://www.mayizhongbao.com</t>
  </si>
  <si>
    <t>MCLD-2555</t>
  </si>
  <si>
    <t>Formplus</t>
  </si>
  <si>
    <t>https://www.formpl.us</t>
  </si>
  <si>
    <t>MCLD-2556</t>
  </si>
  <si>
    <t>Biaodan Dashi</t>
  </si>
  <si>
    <t>https://www.biaodandashi.com</t>
  </si>
  <si>
    <t>Wuhan, Hubei, China</t>
  </si>
  <si>
    <t>MCLD-2557</t>
  </si>
  <si>
    <t>FanCompass</t>
  </si>
  <si>
    <t>https://www.fancompass.com</t>
  </si>
  <si>
    <t>MCLD-2558</t>
  </si>
  <si>
    <t>DataPull</t>
  </si>
  <si>
    <t>https://www.datapull.com</t>
  </si>
  <si>
    <t>Springfield, Illinois, United States</t>
  </si>
  <si>
    <t>MCLD-2559</t>
  </si>
  <si>
    <t>Outside Voice</t>
  </si>
  <si>
    <t>https://www.outsidevoice.com</t>
  </si>
  <si>
    <t>MCLD-2560</t>
  </si>
  <si>
    <t>Arimsys</t>
  </si>
  <si>
    <t>https://www.arimsys.com</t>
  </si>
  <si>
    <t>MCLD-2561</t>
  </si>
  <si>
    <t>Vmatrix</t>
  </si>
  <si>
    <t>https://www.vmatrix.com</t>
  </si>
  <si>
    <t>Daxing, Beijing, China</t>
  </si>
  <si>
    <t>MCLD-2562</t>
  </si>
  <si>
    <t>Anteo</t>
  </si>
  <si>
    <t>https://www.anteo.ai</t>
  </si>
  <si>
    <t>RÃ¸rvik, Nord-Trondelag, Norway</t>
  </si>
  <si>
    <t>MCLD-2563</t>
  </si>
  <si>
    <t>Housing Base</t>
  </si>
  <si>
    <t>https://www.housingbase.com</t>
  </si>
  <si>
    <t>MCLD-2564</t>
  </si>
  <si>
    <t>Doordu</t>
  </si>
  <si>
    <t>https://www.doordu.com</t>
  </si>
  <si>
    <t>MCLD-2565</t>
  </si>
  <si>
    <t>Airconnect</t>
  </si>
  <si>
    <t>https://www.airconnect.ai</t>
  </si>
  <si>
    <t>MCLD-2566</t>
  </si>
  <si>
    <t>24x7 Offshoring</t>
  </si>
  <si>
    <t>https://www.24x7offshoring.com</t>
  </si>
  <si>
    <t>MCLD-2567</t>
  </si>
  <si>
    <t>Health-Connected Ltd</t>
  </si>
  <si>
    <t>https://www.health-connected.com</t>
  </si>
  <si>
    <t>MCLD-2568</t>
  </si>
  <si>
    <t>SwiftSight</t>
  </si>
  <si>
    <t>https://www.swiftsight.ai</t>
  </si>
  <si>
    <t>MCLD-2569</t>
  </si>
  <si>
    <t>AtData</t>
  </si>
  <si>
    <t>https://www.atdata.com</t>
  </si>
  <si>
    <t>MCLD-2570</t>
  </si>
  <si>
    <t>Eleka</t>
  </si>
  <si>
    <t>https://www.eleka.com</t>
  </si>
  <si>
    <t>MCLD-2571</t>
  </si>
  <si>
    <t>Moneyball.AI</t>
  </si>
  <si>
    <t>https://www.moneyball.ai</t>
  </si>
  <si>
    <t>MCLD-2572</t>
  </si>
  <si>
    <t>Worldwide AIS Network</t>
  </si>
  <si>
    <t>https://www.aisnetwork.com</t>
  </si>
  <si>
    <t>MCLD-2573</t>
  </si>
  <si>
    <t>TheraPieces</t>
  </si>
  <si>
    <t>https://www.therapieces.com</t>
  </si>
  <si>
    <t>MCLD-2574</t>
  </si>
  <si>
    <t>uTrigg</t>
  </si>
  <si>
    <t>https://www.utrigg.com</t>
  </si>
  <si>
    <t>MCLD-2575</t>
  </si>
  <si>
    <t>Browsi</t>
  </si>
  <si>
    <t>https://www.browsi.com</t>
  </si>
  <si>
    <t>MCLD-2576</t>
  </si>
  <si>
    <t>Granular Insights</t>
  </si>
  <si>
    <t>https://www.granularinsights.com</t>
  </si>
  <si>
    <t>MCLD-2577</t>
  </si>
  <si>
    <t>Kangyun Hulian</t>
  </si>
  <si>
    <t>https://www.kangyunhulian.com</t>
  </si>
  <si>
    <t>Liuzhou, Guangxi, China</t>
  </si>
  <si>
    <t>MCLD-2578</t>
  </si>
  <si>
    <t>WellAware</t>
  </si>
  <si>
    <t>https://www.wellaware.com</t>
  </si>
  <si>
    <t>MCLD-2579</t>
  </si>
  <si>
    <t>Urban Data Collective</t>
  </si>
  <si>
    <t>https://www.urbandatacollective.org</t>
  </si>
  <si>
    <t>MCLD-2580</t>
  </si>
  <si>
    <t>ConnexiCore</t>
  </si>
  <si>
    <t>https://www.connexicore.com</t>
  </si>
  <si>
    <t>Milford, Pennsylvania, United States</t>
  </si>
  <si>
    <t>MCLD-2581</t>
  </si>
  <si>
    <t>HumanSignal</t>
  </si>
  <si>
    <t>https://www.humansignal.com</t>
  </si>
  <si>
    <t>MCLD-2582</t>
  </si>
  <si>
    <t>Metrolla</t>
  </si>
  <si>
    <t>https://www.metrolla.com</t>
  </si>
  <si>
    <t>MCLD-2583</t>
  </si>
  <si>
    <t>super.AI</t>
  </si>
  <si>
    <t>https://www.super.ai</t>
  </si>
  <si>
    <t>MCLD-2584</t>
  </si>
  <si>
    <t>DASBOX technologies inc.</t>
  </si>
  <si>
    <t>https://www.dasbox.ai</t>
  </si>
  <si>
    <t>MCLD-2585</t>
  </si>
  <si>
    <t>Brand &amp; Label</t>
  </si>
  <si>
    <t>https://www.brandandlabel.com</t>
  </si>
  <si>
    <t>MCLD-2586</t>
  </si>
  <si>
    <t>Cogito Tech</t>
  </si>
  <si>
    <t>https://www.cogitotech.com</t>
  </si>
  <si>
    <t>Levittown, New York, United States</t>
  </si>
  <si>
    <t>MCLD-2587</t>
  </si>
  <si>
    <t>Natural Resource Data Solutions</t>
  </si>
  <si>
    <t>https://www.nrds.com</t>
  </si>
  <si>
    <t>Haiku, Hawaii, United States</t>
  </si>
  <si>
    <t>MCLD-2588</t>
  </si>
  <si>
    <t>Goliath Aerospace Technology</t>
  </si>
  <si>
    <t>https://www.goliathaero.com</t>
  </si>
  <si>
    <t>Lusaka, NA - Zambia, Zambia</t>
  </si>
  <si>
    <t>MCLD-2589</t>
  </si>
  <si>
    <t>Aviation View</t>
  </si>
  <si>
    <t>https://www.aviationview.com</t>
  </si>
  <si>
    <t>MCLD-2590</t>
  </si>
  <si>
    <t>XOCEAN</t>
  </si>
  <si>
    <t>https://www.xocean.com</t>
  </si>
  <si>
    <t>Carlingford, Louth, Ireland</t>
  </si>
  <si>
    <t>MCLD-2591</t>
  </si>
  <si>
    <t>omica.ai</t>
  </si>
  <si>
    <t>https://www.omica.ai</t>
  </si>
  <si>
    <t>MCLD-2592</t>
  </si>
  <si>
    <t>ByteAI</t>
  </si>
  <si>
    <t>https://www.byte.ai</t>
  </si>
  <si>
    <t>MCLD-2593</t>
  </si>
  <si>
    <t>Hanover Park</t>
  </si>
  <si>
    <t>https://www.hanoverpark.com</t>
  </si>
  <si>
    <t>MCLD-2594</t>
  </si>
  <si>
    <t>ISG</t>
  </si>
  <si>
    <t>https://www.isg-one.com</t>
  </si>
  <si>
    <t>Bloomington, Minnesota, United States</t>
  </si>
  <si>
    <t>MCLD-2595</t>
  </si>
  <si>
    <t>Innotech Insights</t>
  </si>
  <si>
    <t>https://www.innotechinsights.com</t>
  </si>
  <si>
    <t>MCLD-2596</t>
  </si>
  <si>
    <t>QuEra</t>
  </si>
  <si>
    <t>https://www.quera.com</t>
  </si>
  <si>
    <t>ReykjavÃ­k, Gullbringusysla, Iceland</t>
  </si>
  <si>
    <t>MCLD-2597</t>
  </si>
  <si>
    <t>Erud AI</t>
  </si>
  <si>
    <t>https://www.erud.ai</t>
  </si>
  <si>
    <t>MCLD-2598</t>
  </si>
  <si>
    <t>Sigma AI</t>
  </si>
  <si>
    <t>https://www.sigma-ai.com</t>
  </si>
  <si>
    <t>MCLD-2599</t>
  </si>
  <si>
    <t>Shaip</t>
  </si>
  <si>
    <t>https://www.shaip.com</t>
  </si>
  <si>
    <t>MCLD-2600</t>
  </si>
  <si>
    <t>Parados Cerebral Solutions</t>
  </si>
  <si>
    <t>https://www.parados.ai</t>
  </si>
  <si>
    <t>Fredericton, New Brunswick, Canada</t>
  </si>
  <si>
    <t>MCLD-2601</t>
  </si>
  <si>
    <t>Physis Investment</t>
  </si>
  <si>
    <t>https://www.physisinvest.com</t>
  </si>
  <si>
    <t>Allston, Massachusetts, United States</t>
  </si>
  <si>
    <t>MCLD-2602</t>
  </si>
  <si>
    <t>SillonBlue Technologies</t>
  </si>
  <si>
    <t>https://www.sillonblue.com</t>
  </si>
  <si>
    <t>Goma, Nord-Kivu, Congo, Democratic Republic of</t>
  </si>
  <si>
    <t>MCLD-2603</t>
  </si>
  <si>
    <t>Appen</t>
  </si>
  <si>
    <t>https://www.appen.com</t>
  </si>
  <si>
    <t>Chatswood, New South Wales, Australia</t>
  </si>
  <si>
    <t>MCLD-2604</t>
  </si>
  <si>
    <t>Invigor Group</t>
  </si>
  <si>
    <t>https://www.invigor.com.au</t>
  </si>
  <si>
    <t>MCLD-2605</t>
  </si>
  <si>
    <t>Aint</t>
  </si>
  <si>
    <t>https://www.aint.ai</t>
  </si>
  <si>
    <t>Tomsk, Tomsk, Russian Federation</t>
  </si>
  <si>
    <t>MCLD-2606</t>
  </si>
  <si>
    <t>CTRL Data</t>
  </si>
  <si>
    <t>https://www.ctrldata.com</t>
  </si>
  <si>
    <t>MCLD-2607</t>
  </si>
  <si>
    <t>Archive</t>
  </si>
  <si>
    <t>https://www.archive.org</t>
  </si>
  <si>
    <t>MCLD-2608</t>
  </si>
  <si>
    <t>Pangeanic</t>
  </si>
  <si>
    <t>https://www.pangeanic.com</t>
  </si>
  <si>
    <t>MCLD-2609</t>
  </si>
  <si>
    <t>Grepr</t>
  </si>
  <si>
    <t>https://www.grepr.com</t>
  </si>
  <si>
    <t>MCLD-2610</t>
  </si>
  <si>
    <t>RetailData</t>
  </si>
  <si>
    <t>https://www.retaildata.com</t>
  </si>
  <si>
    <t>Glen Allen, Virginia, United States</t>
  </si>
  <si>
    <t>MCLD-2611</t>
  </si>
  <si>
    <t>Neareo</t>
  </si>
  <si>
    <t>https://www.neareo.com</t>
  </si>
  <si>
    <t>MCLD-2612</t>
  </si>
  <si>
    <t>AgRobotics</t>
  </si>
  <si>
    <t>https://www.agrobotics.com</t>
  </si>
  <si>
    <t>MCLD-2613</t>
  </si>
  <si>
    <t>SOAX</t>
  </si>
  <si>
    <t>https://www.soax.com</t>
  </si>
  <si>
    <t>MCLD-2614</t>
  </si>
  <si>
    <t>LXT</t>
  </si>
  <si>
    <t>https://www.lxt.ai</t>
  </si>
  <si>
    <t>Mississauga, Ontario, Canada</t>
  </si>
  <si>
    <t>MCLD-2615</t>
  </si>
  <si>
    <t>Datanest</t>
  </si>
  <si>
    <t>https://www.datanest.com</t>
  </si>
  <si>
    <t>MCLD-2616</t>
  </si>
  <si>
    <t>Keymakr</t>
  </si>
  <si>
    <t>https://www.keymakr.com</t>
  </si>
  <si>
    <t>MCLD-2617</t>
  </si>
  <si>
    <t>OneNine</t>
  </si>
  <si>
    <t>https://www.onenine.com</t>
  </si>
  <si>
    <t>MCLD-2618</t>
  </si>
  <si>
    <t>Biobeat</t>
  </si>
  <si>
    <t>https://www.bio-beat.com</t>
  </si>
  <si>
    <t>MCLD-2619</t>
  </si>
  <si>
    <t>Objectways</t>
  </si>
  <si>
    <t>https://www.objectways.com</t>
  </si>
  <si>
    <t>MCLD-2620</t>
  </si>
  <si>
    <t>ThingsBoard</t>
  </si>
  <si>
    <t>https://www.thingsboard.io</t>
  </si>
  <si>
    <t>MCLD-2621</t>
  </si>
  <si>
    <t>Xverum</t>
  </si>
  <si>
    <t>https://www.xverum.com</t>
  </si>
  <si>
    <t>Hollywood, Florida, United States</t>
  </si>
  <si>
    <t>MCLD-2622</t>
  </si>
  <si>
    <t>Auto TCO</t>
  </si>
  <si>
    <t>https://www.autotco.com</t>
  </si>
  <si>
    <t>Zagreb, Grad Zagreb, Croatia</t>
  </si>
  <si>
    <t>MCLD-2623</t>
  </si>
  <si>
    <t>Showcase Insights</t>
  </si>
  <si>
    <t>https://www.showcaseinsights.com</t>
  </si>
  <si>
    <t>MCLD-2624</t>
  </si>
  <si>
    <t>Wilkins Research Services</t>
  </si>
  <si>
    <t>https://www.wilkinsresearch.com</t>
  </si>
  <si>
    <t>Chattanooga, Tennessee, United States</t>
  </si>
  <si>
    <t>MCLD-2625</t>
  </si>
  <si>
    <t>Schneider Geospatial</t>
  </si>
  <si>
    <t>https://www.schneidergis.com</t>
  </si>
  <si>
    <t>MCLD-2626</t>
  </si>
  <si>
    <t>Aris Data</t>
  </si>
  <si>
    <t>https://www.arisdata.com</t>
  </si>
  <si>
    <t>MCLD-2627</t>
  </si>
  <si>
    <t>Helpware</t>
  </si>
  <si>
    <t>https://www.helpware.com</t>
  </si>
  <si>
    <t>MCLD-2628</t>
  </si>
  <si>
    <t>https://www.sato-global.com</t>
  </si>
  <si>
    <t>MCLD-2629</t>
  </si>
  <si>
    <t>Vermont Information Processing</t>
  </si>
  <si>
    <t>https://www.vipvt.com</t>
  </si>
  <si>
    <t>Colchester, Vermont, United States</t>
  </si>
  <si>
    <t>MCLD-2630</t>
  </si>
  <si>
    <t>Ultra Information Solutions</t>
  </si>
  <si>
    <t>https://www.ultrainfo.com</t>
  </si>
  <si>
    <t>MCLD-2631</t>
  </si>
  <si>
    <t>Magpi</t>
  </si>
  <si>
    <t>https://www.magpi.com</t>
  </si>
  <si>
    <t>MCLD-2632</t>
  </si>
  <si>
    <t>WALR</t>
  </si>
  <si>
    <t>https://www.walr.com</t>
  </si>
  <si>
    <t>MCLD-2633</t>
  </si>
  <si>
    <t>Edgecase.ai</t>
  </si>
  <si>
    <t>https://www.edgecase.ai</t>
  </si>
  <si>
    <t>Hingham, Massachusetts, United States</t>
  </si>
  <si>
    <t>MCLD-2634</t>
  </si>
  <si>
    <t>IntelliTrack</t>
  </si>
  <si>
    <t>https://www.intellitrack.com</t>
  </si>
  <si>
    <t>MCLD-2635</t>
  </si>
  <si>
    <t>ATA</t>
  </si>
  <si>
    <t>https://www.ata-global.com</t>
  </si>
  <si>
    <t>Vienna, Virginia, United States</t>
  </si>
  <si>
    <t>MCLD-2636</t>
  </si>
  <si>
    <t>Smaregi</t>
  </si>
  <si>
    <t>https://www.smaregi.jp</t>
  </si>
  <si>
    <t>Osaka, Osaka, Japan</t>
  </si>
  <si>
    <t>MCLD-2637</t>
  </si>
  <si>
    <t>Octane AI</t>
  </si>
  <si>
    <t>https://www.octaneai.com</t>
  </si>
  <si>
    <t>MCLD-2638</t>
  </si>
  <si>
    <t>OSAZ Skin</t>
  </si>
  <si>
    <t>https://www.osazskin.com</t>
  </si>
  <si>
    <t>MCLD-2639</t>
  </si>
  <si>
    <t>Hub.xyz</t>
  </si>
  <si>
    <t>https://www.hub.xyz</t>
  </si>
  <si>
    <t>MCLD-2640</t>
  </si>
  <si>
    <t>iMapData</t>
  </si>
  <si>
    <t>https://www.imapdata.com</t>
  </si>
  <si>
    <t>MCLD-2641</t>
  </si>
  <si>
    <t>Research Now</t>
  </si>
  <si>
    <t>https://www.researchnow.com</t>
  </si>
  <si>
    <t>MCLD-2642</t>
  </si>
  <si>
    <t>Pegasus</t>
  </si>
  <si>
    <t>https://www.pegasus.com</t>
  </si>
  <si>
    <t>MCLD-2643</t>
  </si>
  <si>
    <t>Pointly</t>
  </si>
  <si>
    <t>https://www.pointly.ai</t>
  </si>
  <si>
    <t>MCLD-2644</t>
  </si>
  <si>
    <t>C R Market Surveys</t>
  </si>
  <si>
    <t>https://www.crmarketsurveys.com</t>
  </si>
  <si>
    <t>MCLD-2645</t>
  </si>
  <si>
    <t>Ormi</t>
  </si>
  <si>
    <t>https://www.ormi.com</t>
  </si>
  <si>
    <t>MCLD-2646</t>
  </si>
  <si>
    <t>Securecell</t>
  </si>
  <si>
    <t>https://www.securecell.ch</t>
  </si>
  <si>
    <t>Urdorf, Zurich, Switzerland</t>
  </si>
  <si>
    <t>MCLD-2647</t>
  </si>
  <si>
    <t>Juniper Systems</t>
  </si>
  <si>
    <t>https://www.junipersys.com</t>
  </si>
  <si>
    <t>Logan, Utah, United States</t>
  </si>
  <si>
    <t>MCLD-2648</t>
  </si>
  <si>
    <t>Turning</t>
  </si>
  <si>
    <t>https://www.turning.com</t>
  </si>
  <si>
    <t>Youngstown, Ohio, United States</t>
  </si>
  <si>
    <t>MCLD-2649</t>
  </si>
  <si>
    <t>Bright Data</t>
  </si>
  <si>
    <t>https://www.brightdata.com</t>
  </si>
  <si>
    <t>MCLD-2650</t>
  </si>
  <si>
    <t>MoreThanDigital</t>
  </si>
  <si>
    <t>https://www.morethandigital.info</t>
  </si>
  <si>
    <t>Baar, Zug, Switzerland</t>
  </si>
  <si>
    <t>MCLD-2651</t>
  </si>
  <si>
    <t>atla</t>
  </si>
  <si>
    <t>https://www.atla.ai</t>
  </si>
  <si>
    <t>MCLD-2652</t>
  </si>
  <si>
    <t>Engin Systems</t>
  </si>
  <si>
    <t>https://www.enginsystems.com</t>
  </si>
  <si>
    <t>Whangarei, Northland, New Zealand</t>
  </si>
  <si>
    <t>MCLD-2653</t>
  </si>
  <si>
    <t>Opendatabay</t>
  </si>
  <si>
    <t>https://www.opendatabay.com</t>
  </si>
  <si>
    <t>Beccles, Suffolk, United Kingdom</t>
  </si>
  <si>
    <t>MCLD-2654</t>
  </si>
  <si>
    <t>Raven Health</t>
  </si>
  <si>
    <t>https://www.ravenhealth.com</t>
  </si>
  <si>
    <t>MCLD-2655</t>
  </si>
  <si>
    <t>DemiTool</t>
  </si>
  <si>
    <t>https://www.demitool.com</t>
  </si>
  <si>
    <t>MCLD-2656</t>
  </si>
  <si>
    <t>Campfire Analytics</t>
  </si>
  <si>
    <t>https://www.campfireanalytics.com</t>
  </si>
  <si>
    <t>MCLD-2657</t>
  </si>
  <si>
    <t>Linnaeus Laboratory</t>
  </si>
  <si>
    <t>https://www.linnaeuslab.com</t>
  </si>
  <si>
    <t>Gisborne, Gisborne, New Zealand</t>
  </si>
  <si>
    <t>MCLD-2658</t>
  </si>
  <si>
    <t>Owl Data Solutions</t>
  </si>
  <si>
    <t>https://www.owldatasolutions.com</t>
  </si>
  <si>
    <t>MCLD-2659</t>
  </si>
  <si>
    <t>Gazelle Global Research Services</t>
  </si>
  <si>
    <t>https://www.gazelleresearch.com</t>
  </si>
  <si>
    <t>MCLD-2660</t>
  </si>
  <si>
    <t>Nichols Research</t>
  </si>
  <si>
    <t>https://www.nicholsresearch.com</t>
  </si>
  <si>
    <t>Fremont, California, United States</t>
  </si>
  <si>
    <t>MCLD-2661</t>
  </si>
  <si>
    <t>MSI</t>
  </si>
  <si>
    <t>https://www.msisurveys.com</t>
  </si>
  <si>
    <t>Schiphol, Noord-Holland, The Netherlands</t>
  </si>
  <si>
    <t>MCLD-2662</t>
  </si>
  <si>
    <t>Luce Research</t>
  </si>
  <si>
    <t>https://www.luceresearch.com</t>
  </si>
  <si>
    <t>MCLD-2663</t>
  </si>
  <si>
    <t>BasicAI</t>
  </si>
  <si>
    <t>https://www.basic.ai</t>
  </si>
  <si>
    <t>MCLD-2664</t>
  </si>
  <si>
    <t>Small Planet</t>
  </si>
  <si>
    <t>https://www.smallplanet.com</t>
  </si>
  <si>
    <t>MCLD-2665</t>
  </si>
  <si>
    <t>RFgen Software</t>
  </si>
  <si>
    <t>https://www.rfgen.com</t>
  </si>
  <si>
    <t>El Dorado Hills, California, United States</t>
  </si>
  <si>
    <t>MCLD-2666</t>
  </si>
  <si>
    <t>Dataworks International</t>
  </si>
  <si>
    <t>https://www.dataworksinternational.com</t>
  </si>
  <si>
    <t>Bethlehem, Pennsylvania, United States</t>
  </si>
  <si>
    <t>MCLD-2667</t>
  </si>
  <si>
    <t>AML</t>
  </si>
  <si>
    <t>https://www.amlrightsource.com</t>
  </si>
  <si>
    <t>Euless, Texas, United States</t>
  </si>
  <si>
    <t>MCLD-2668</t>
  </si>
  <si>
    <t>InstaLabel</t>
  </si>
  <si>
    <t>https://www.instalabel.com</t>
  </si>
  <si>
    <t>MCLD-2669</t>
  </si>
  <si>
    <t>Teesnap</t>
  </si>
  <si>
    <t>https://www.teesnap.com</t>
  </si>
  <si>
    <t>MCLD-2670</t>
  </si>
  <si>
    <t>ECSite</t>
  </si>
  <si>
    <t>https://www.ecsite.com</t>
  </si>
  <si>
    <t>MCLD-2671</t>
  </si>
  <si>
    <t>IDAX Data Solutions</t>
  </si>
  <si>
    <t>https://www.idaxdata.com</t>
  </si>
  <si>
    <t>Renton, Washington, United States</t>
  </si>
  <si>
    <t>MCLD-2672</t>
  </si>
  <si>
    <t>Paradigm</t>
  </si>
  <si>
    <t>https://www.paradigm.com</t>
  </si>
  <si>
    <t>Washington Mills, New York, United States</t>
  </si>
  <si>
    <t>MCLD-2673</t>
  </si>
  <si>
    <t>https://www.sama.ai</t>
  </si>
  <si>
    <t>MCLD-2674</t>
  </si>
  <si>
    <t>Metapair</t>
  </si>
  <si>
    <t>https://www.metapair.ai</t>
  </si>
  <si>
    <t>MCLD-2675</t>
  </si>
  <si>
    <t>A1M Solutions</t>
  </si>
  <si>
    <t>https://www.a1msolutions.com</t>
  </si>
  <si>
    <t>Chico, California, United States</t>
  </si>
  <si>
    <t>MCLD-2676</t>
  </si>
  <si>
    <t>FSI</t>
  </si>
  <si>
    <t>https://www.fsinetwork.com</t>
  </si>
  <si>
    <t>MCLD-2677</t>
  </si>
  <si>
    <t>BoundaryAI</t>
  </si>
  <si>
    <t>https://www.boundaryai.com</t>
  </si>
  <si>
    <t>MCLD-2678</t>
  </si>
  <si>
    <t>Tabscanner</t>
  </si>
  <si>
    <t>https://www.tabscanner.com</t>
  </si>
  <si>
    <t>MCLD-2679</t>
  </si>
  <si>
    <t>Indika AI</t>
  </si>
  <si>
    <t>https://www.indika.ai</t>
  </si>
  <si>
    <t>MCLD-2680</t>
  </si>
  <si>
    <t>Castle Global</t>
  </si>
  <si>
    <t>https://www.castleglobal.com</t>
  </si>
  <si>
    <t>MCLD-2681</t>
  </si>
  <si>
    <t>Diamond Technologies</t>
  </si>
  <si>
    <t>https://www.diamondtech.com</t>
  </si>
  <si>
    <t>Hudson, Massachusetts, United States</t>
  </si>
  <si>
    <t>MCLD-2682</t>
  </si>
  <si>
    <t>Field Agent</t>
  </si>
  <si>
    <t>https://www.fieldagent.net</t>
  </si>
  <si>
    <t>Fayetteville, Arkansas, United States</t>
  </si>
  <si>
    <t>MCLD-2683</t>
  </si>
  <si>
    <t>Rookout</t>
  </si>
  <si>
    <t>https://www.rookout.com</t>
  </si>
  <si>
    <t>MCLD-2684</t>
  </si>
  <si>
    <t>Humanifi Ai</t>
  </si>
  <si>
    <t>https://www.humanifi.ai</t>
  </si>
  <si>
    <t>MCLD-2685</t>
  </si>
  <si>
    <t>Digniti</t>
  </si>
  <si>
    <t>https://www.digniti.com</t>
  </si>
  <si>
    <t>Roseville, California, United States</t>
  </si>
  <si>
    <t>MCLD-2686</t>
  </si>
  <si>
    <t>IMSERV</t>
  </si>
  <si>
    <t>https://www.imserv.com</t>
  </si>
  <si>
    <t>Milton Keynes, Milton Keynes, United Kingdom</t>
  </si>
  <si>
    <t>MCLD-2687</t>
  </si>
  <si>
    <t>iVueit</t>
  </si>
  <si>
    <t>https://www.ivueit.com</t>
  </si>
  <si>
    <t>Westerville, Ohio, United States</t>
  </si>
  <si>
    <t>MCLD-2688</t>
  </si>
  <si>
    <t>Adzviser</t>
  </si>
  <si>
    <t>https://www.adzviser.com</t>
  </si>
  <si>
    <t>MCLD-2689</t>
  </si>
  <si>
    <t>Bluecircle Advisors</t>
  </si>
  <si>
    <t>https://www.bluecircleadvisors.com</t>
  </si>
  <si>
    <t>Uxbridge, Massachusetts, United States</t>
  </si>
  <si>
    <t>MCLD-2690</t>
  </si>
  <si>
    <t>Skyline Robotics</t>
  </si>
  <si>
    <t>https://www.skylinerobotics.com</t>
  </si>
  <si>
    <t>MCLD-2691</t>
  </si>
  <si>
    <t>Flipside Ai</t>
  </si>
  <si>
    <t>https://www.flipside.ai</t>
  </si>
  <si>
    <t>Quezon City, Quezon City, Philippines</t>
  </si>
  <si>
    <t>MCLD-2692</t>
  </si>
  <si>
    <t>Mandli Communications</t>
  </si>
  <si>
    <t>https://www.mandli.com</t>
  </si>
  <si>
    <t>MCLD-2693</t>
  </si>
  <si>
    <t>Ingram</t>
  </si>
  <si>
    <t>https://www.ingramcontent.com</t>
  </si>
  <si>
    <t>MCLD-2694</t>
  </si>
  <si>
    <t>L-Tron Corporation</t>
  </si>
  <si>
    <t>https://www.l-tron.com</t>
  </si>
  <si>
    <t>MCLD-2695</t>
  </si>
  <si>
    <t>Mena Alliances</t>
  </si>
  <si>
    <t>https://www.menaalliances.com</t>
  </si>
  <si>
    <t>MCLD-2696</t>
  </si>
  <si>
    <t>Your Personal AI</t>
  </si>
  <si>
    <t>https://www.yourpersonal.ai</t>
  </si>
  <si>
    <t>Lysaker, Akershus, Norway</t>
  </si>
  <si>
    <t>MCLD-2697</t>
  </si>
  <si>
    <t>Recon</t>
  </si>
  <si>
    <t>https://www.reconanalytics.com</t>
  </si>
  <si>
    <t>MCLD-2698</t>
  </si>
  <si>
    <t>e-sensia</t>
  </si>
  <si>
    <t>https://www.e-sensia.com</t>
  </si>
  <si>
    <t>MCLD-2699</t>
  </si>
  <si>
    <t>Crucial Data Solutions</t>
  </si>
  <si>
    <t>https://www.crucialdata.com</t>
  </si>
  <si>
    <t>MCLD-2700</t>
  </si>
  <si>
    <t>Taskmonk</t>
  </si>
  <si>
    <t>https://www.taskmonk.ai</t>
  </si>
  <si>
    <t>MCLD-2701</t>
  </si>
  <si>
    <t>ByteBridge</t>
  </si>
  <si>
    <t>https://www.bytebridge.com</t>
  </si>
  <si>
    <t>MCLD-2702</t>
  </si>
  <si>
    <t>Decipher</t>
  </si>
  <si>
    <t>https://www.decipherinc.com</t>
  </si>
  <si>
    <t>Fresno, California, United States</t>
  </si>
  <si>
    <t>MCLD-2703</t>
  </si>
  <si>
    <t>Edible Project</t>
  </si>
  <si>
    <t>https://www.edibleproject.org</t>
  </si>
  <si>
    <t>MCLD-2704</t>
  </si>
  <si>
    <t>Tsecond</t>
  </si>
  <si>
    <t>https://www.tsecond.com</t>
  </si>
  <si>
    <t>MCLD-2705</t>
  </si>
  <si>
    <t>DataNeuron</t>
  </si>
  <si>
    <t>https://www.dataneuron.ai</t>
  </si>
  <si>
    <t>MCLD-2706</t>
  </si>
  <si>
    <t>WBA Research</t>
  </si>
  <si>
    <t>https://www.wbaresearch.com</t>
  </si>
  <si>
    <t>Lanham, Maryland, United States</t>
  </si>
  <si>
    <t>MCLD-2707</t>
  </si>
  <si>
    <t>Playdo.ai</t>
  </si>
  <si>
    <t>https://www.playdo.ai</t>
  </si>
  <si>
    <t>MCLD-2708</t>
  </si>
  <si>
    <t>Maine Listings</t>
  </si>
  <si>
    <t>https://www.mainelistings.com</t>
  </si>
  <si>
    <t>South Portland, Maine, United States</t>
  </si>
  <si>
    <t>MCLD-2709</t>
  </si>
  <si>
    <t>Reelr</t>
  </si>
  <si>
    <t>https://www.reelr.com</t>
  </si>
  <si>
    <t>MCLD-2710</t>
  </si>
  <si>
    <t>AIMLEAP - Outsource Bigdata</t>
  </si>
  <si>
    <t>https://www.aimleap.com</t>
  </si>
  <si>
    <t>MCLD-2711</t>
  </si>
  <si>
    <t>Datacorp</t>
  </si>
  <si>
    <t>https://www.datacorp.com</t>
  </si>
  <si>
    <t>Cheyenne, Wyoming, United States</t>
  </si>
  <si>
    <t>MCLD-2712</t>
  </si>
  <si>
    <t>Alljoined</t>
  </si>
  <si>
    <t>https://www.alljoined.com</t>
  </si>
  <si>
    <t>MCLD-2713</t>
  </si>
  <si>
    <t>Terry Soot</t>
  </si>
  <si>
    <t>https://www.terrysoot.com</t>
  </si>
  <si>
    <t>MCLD-2714</t>
  </si>
  <si>
    <t>VisitBasis Tech</t>
  </si>
  <si>
    <t>https://www.visitbasis.com</t>
  </si>
  <si>
    <t>Hallandale, Florida, United States</t>
  </si>
  <si>
    <t>MCLD-2715</t>
  </si>
  <si>
    <t>Fields Research</t>
  </si>
  <si>
    <t>https://www.fieldsresearch.com</t>
  </si>
  <si>
    <t>MCLD-2716</t>
  </si>
  <si>
    <t>Synthetaic</t>
  </si>
  <si>
    <t>https://www.synthetaic.com</t>
  </si>
  <si>
    <t>Delafield, Wisconsin, United States</t>
  </si>
  <si>
    <t>MCLD-2717</t>
  </si>
  <si>
    <t>Heex Technologies</t>
  </si>
  <si>
    <t>https://www.heex.io</t>
  </si>
  <si>
    <t>MCLD-2718</t>
  </si>
  <si>
    <t>Liva AI</t>
  </si>
  <si>
    <t>https://www.liva.ai</t>
  </si>
  <si>
    <t>MCLD-2719</t>
  </si>
  <si>
    <t>Axicode</t>
  </si>
  <si>
    <t>https://www.axicode.com</t>
  </si>
  <si>
    <t>Hundested, Hovedstaden, Denmark</t>
  </si>
  <si>
    <t>MCLD-2720</t>
  </si>
  <si>
    <t>Hamwe</t>
  </si>
  <si>
    <t>https://www.hamwe.com</t>
  </si>
  <si>
    <t>MCLD-2721</t>
  </si>
  <si>
    <t>HubbleSky</t>
  </si>
  <si>
    <t>https://www.hubblesky.com</t>
  </si>
  <si>
    <t>MCLD-2722</t>
  </si>
  <si>
    <t>MobileForms</t>
  </si>
  <si>
    <t>https://www.mobileforms.com</t>
  </si>
  <si>
    <t>MCLD-2723</t>
  </si>
  <si>
    <t>Opinion Research Business International</t>
  </si>
  <si>
    <t>https://www.orb-international.com</t>
  </si>
  <si>
    <t>MCLD-2724</t>
  </si>
  <si>
    <t>Social Code</t>
  </si>
  <si>
    <t>https://www.socialcode.com</t>
  </si>
  <si>
    <t>MCLD-2725</t>
  </si>
  <si>
    <t>Handshake</t>
  </si>
  <si>
    <t>https://www.joinhandshake.com</t>
  </si>
  <si>
    <t>MCLD-2726</t>
  </si>
  <si>
    <t>Computerized Business Solutions</t>
  </si>
  <si>
    <t>https://www.cbsolutions.com</t>
  </si>
  <si>
    <t>MCLD-2727</t>
  </si>
  <si>
    <t>Poimapper</t>
  </si>
  <si>
    <t>https://www.poimapper.com</t>
  </si>
  <si>
    <t>MCLD-2728</t>
  </si>
  <si>
    <t>Quodit</t>
  </si>
  <si>
    <t>https://www.quodit.com</t>
  </si>
  <si>
    <t>MCLD-2729</t>
  </si>
  <si>
    <t>Conserve</t>
  </si>
  <si>
    <t>https://www.conserve.com</t>
  </si>
  <si>
    <t>Delray Beach, Florida, United States</t>
  </si>
  <si>
    <t>MCLD-2730</t>
  </si>
  <si>
    <t>Wells Gaming Research</t>
  </si>
  <si>
    <t>https://www.wellsgamingresearch.com</t>
  </si>
  <si>
    <t>MCLD-2731</t>
  </si>
  <si>
    <t>Agissar Corporation</t>
  </si>
  <si>
    <t>https://www.agissar.com</t>
  </si>
  <si>
    <t>Stratford, Connecticut, United States</t>
  </si>
  <si>
    <t>MCLD-2732</t>
  </si>
  <si>
    <t>FINA</t>
  </si>
  <si>
    <t>https://www.fina.org</t>
  </si>
  <si>
    <t>Tbilisi, Dushet'is Raioni, Georgia</t>
  </si>
  <si>
    <t>MCLD-2733</t>
  </si>
  <si>
    <t>Auticomp</t>
  </si>
  <si>
    <t>https://www.auticomp.com</t>
  </si>
  <si>
    <t>MCLD-2734</t>
  </si>
  <si>
    <t>Machine Learning.Ws Labs</t>
  </si>
  <si>
    <t>https://www.machinelearning.ws</t>
  </si>
  <si>
    <t>MCLD-2735</t>
  </si>
  <si>
    <t>Weda Korea</t>
  </si>
  <si>
    <t>https://www.wedakorea.com</t>
  </si>
  <si>
    <t>South Korea</t>
  </si>
  <si>
    <t>MCLD-2736</t>
  </si>
  <si>
    <t>Geograma</t>
  </si>
  <si>
    <t>https://www.geograma.com</t>
  </si>
  <si>
    <t>Vitoria-gasteiz, Pais Vasco, Spain</t>
  </si>
  <si>
    <t>MCLD-2737</t>
  </si>
  <si>
    <t>Adhara Systems</t>
  </si>
  <si>
    <t>https://www.adharasystems.com</t>
  </si>
  <si>
    <t>MCLD-2738</t>
  </si>
  <si>
    <t>Fanhan Tech</t>
  </si>
  <si>
    <t>https://www.fanhantech.com</t>
  </si>
  <si>
    <t>Suzhou, Jiangsu, China</t>
  </si>
  <si>
    <t>MCLD-2739</t>
  </si>
  <si>
    <t>ADS</t>
  </si>
  <si>
    <t>https://www.adsinc.com</t>
  </si>
  <si>
    <t>Smyrna, Georgia, United States</t>
  </si>
  <si>
    <t>MCLD-2740</t>
  </si>
  <si>
    <t>Rhodes Perry Consulting</t>
  </si>
  <si>
    <t>https://www.rhodesperry.com</t>
  </si>
  <si>
    <t>MCLD-2741</t>
  </si>
  <si>
    <t>Cissec Corp</t>
  </si>
  <si>
    <t>https://www.cissec.com</t>
  </si>
  <si>
    <t>Kingston, Ontario, Canada</t>
  </si>
  <si>
    <t>MCLD-2742</t>
  </si>
  <si>
    <t>Raasify.io</t>
  </si>
  <si>
    <t>https://www.raasify.io</t>
  </si>
  <si>
    <t>Vancouver, Washington, United States</t>
  </si>
  <si>
    <t>MCLD-2743</t>
  </si>
  <si>
    <t>TimeMark</t>
  </si>
  <si>
    <t>https://www.timemark.com</t>
  </si>
  <si>
    <t>Salem, Oregon, United States</t>
  </si>
  <si>
    <t>MCLD-2744</t>
  </si>
  <si>
    <t>Insights Center</t>
  </si>
  <si>
    <t>https://www.insightscenter.com</t>
  </si>
  <si>
    <t>Englewood, Colorado, United States</t>
  </si>
  <si>
    <t>MCLD-2745</t>
  </si>
  <si>
    <t>Ururu BPO</t>
  </si>
  <si>
    <t>https://www.ururu-bpo.com</t>
  </si>
  <si>
    <t>MCLD-2746</t>
  </si>
  <si>
    <t>Pexel Research Services</t>
  </si>
  <si>
    <t>https://www.pexelresearch.com</t>
  </si>
  <si>
    <t>MCLD-2747</t>
  </si>
  <si>
    <t>Mercor</t>
  </si>
  <si>
    <t>https://www.mercor.com</t>
  </si>
  <si>
    <t>MCLD-2748</t>
  </si>
  <si>
    <t>Dtechtive</t>
  </si>
  <si>
    <t>https://www.dtechtive.com</t>
  </si>
  <si>
    <t>MCLD-2749</t>
  </si>
  <si>
    <t>Resyarte</t>
  </si>
  <si>
    <t>https://www.resyarte.com</t>
  </si>
  <si>
    <t>Novo Hamburgo, Rio Grande do Sul, Brazil</t>
  </si>
  <si>
    <t>MCLD-2750</t>
  </si>
  <si>
    <t>ABG Ag Services</t>
  </si>
  <si>
    <t>https://www.abgagservices.com</t>
  </si>
  <si>
    <t>Sheridan, Indiana, United States</t>
  </si>
  <si>
    <t>MCLD-2751</t>
  </si>
  <si>
    <t>Deepneura</t>
  </si>
  <si>
    <t>https://www.deepneura.com</t>
  </si>
  <si>
    <t>MCLD-2752</t>
  </si>
  <si>
    <t>Martha Software</t>
  </si>
  <si>
    <t>https://www.marthasoftware.com</t>
  </si>
  <si>
    <t>Gipf-oberfrick, Aargau, Switzerland</t>
  </si>
  <si>
    <t>MCLD-2753</t>
  </si>
  <si>
    <t>Panelhub OÃœ</t>
  </si>
  <si>
    <t>https://www.panelhub.eu</t>
  </si>
  <si>
    <t>MCLD-2754</t>
  </si>
  <si>
    <t>Research Solutions International</t>
  </si>
  <si>
    <t>https://www.rsint.com</t>
  </si>
  <si>
    <t>Mahwah, New Jersey, United States</t>
  </si>
  <si>
    <t>MCLD-2755</t>
  </si>
  <si>
    <t>Survey Launch</t>
  </si>
  <si>
    <t>https://www.surveylaunch.com</t>
  </si>
  <si>
    <t>New Haven, Connecticut, United States</t>
  </si>
  <si>
    <t>MCLD-2756</t>
  </si>
  <si>
    <t>Flex-Metrics</t>
  </si>
  <si>
    <t>https://www.flex-metrics.com</t>
  </si>
  <si>
    <t>Roanoke, Virginia, United States</t>
  </si>
  <si>
    <t>MCLD-2757</t>
  </si>
  <si>
    <t>Daxsome</t>
  </si>
  <si>
    <t>https://www.daxsome.com</t>
  </si>
  <si>
    <t>Kumasi, Ashanti, Ghana</t>
  </si>
  <si>
    <t>MCLD-2758</t>
  </si>
  <si>
    <t>RDX Group</t>
  </si>
  <si>
    <t>https://www.rdxgroup.com</t>
  </si>
  <si>
    <t>MCLD-2759</t>
  </si>
  <si>
    <t>Safe Air Systems Technology</t>
  </si>
  <si>
    <t>https://www.safeairsystems.com</t>
  </si>
  <si>
    <t>Eatontown, New Jersey, United States</t>
  </si>
  <si>
    <t>MCLD-2760</t>
  </si>
  <si>
    <t>MapSoft</t>
  </si>
  <si>
    <t>https://www.mapsoft.com</t>
  </si>
  <si>
    <t>Belgrade, Vojvodina, Serbia</t>
  </si>
  <si>
    <t>MCLD-2761</t>
  </si>
  <si>
    <t>NorthWest EHealth</t>
  </si>
  <si>
    <t>https://www.nwehealth.org</t>
  </si>
  <si>
    <t>MCLD-2762</t>
  </si>
  <si>
    <t>Cumulus Data</t>
  </si>
  <si>
    <t>https://www.cumulusdata.com</t>
  </si>
  <si>
    <t>MCLD-2763</t>
  </si>
  <si>
    <t>Twin Data Corporation</t>
  </si>
  <si>
    <t>https://www.twindata.com</t>
  </si>
  <si>
    <t>West Orange, New Jersey, United States</t>
  </si>
  <si>
    <t>MCLD-2764</t>
  </si>
  <si>
    <t>Northwest Management</t>
  </si>
  <si>
    <t>https://www.nwmanagement.com</t>
  </si>
  <si>
    <t>Moscow, Idaho, United States</t>
  </si>
  <si>
    <t>MCLD-2765</t>
  </si>
  <si>
    <t>Unitek</t>
  </si>
  <si>
    <t>https://www.unitek.com</t>
  </si>
  <si>
    <t>Viborg, Midtjylland, Denmark</t>
  </si>
  <si>
    <t>MCLD-2766</t>
  </si>
  <si>
    <t>Insights Probe Research</t>
  </si>
  <si>
    <t>https://www.insightsprobe.com</t>
  </si>
  <si>
    <t>MCLD-2767</t>
  </si>
  <si>
    <t>Data Collection</t>
  </si>
  <si>
    <t>https://www.datacollection.com</t>
  </si>
  <si>
    <t>Hamilton, Waikato, New Zealand</t>
  </si>
  <si>
    <t>MCLD-2768</t>
  </si>
  <si>
    <t>Digital Trusted Identity Services</t>
  </si>
  <si>
    <t>https://www.dtiservices.com</t>
  </si>
  <si>
    <t>MCLD-2769</t>
  </si>
  <si>
    <t>Dicamo Co.</t>
  </si>
  <si>
    <t>https://www.dicamo.com</t>
  </si>
  <si>
    <t>MCLD-2770</t>
  </si>
  <si>
    <t>Fenix Handels</t>
  </si>
  <si>
    <t>https://www.fenixhandels.com</t>
  </si>
  <si>
    <t>MCLD-2771</t>
  </si>
  <si>
    <t>Keylabs AI</t>
  </si>
  <si>
    <t>https://www.keylabs.ai</t>
  </si>
  <si>
    <t>MCLD-2772</t>
  </si>
  <si>
    <t>MJ Associates</t>
  </si>
  <si>
    <t>https://www.mjassoc.com</t>
  </si>
  <si>
    <t>Leominster, Massachusetts, United States</t>
  </si>
  <si>
    <t>MCLD-2773</t>
  </si>
  <si>
    <t>Indaco Project</t>
  </si>
  <si>
    <t>https://www.indacoproject.com</t>
  </si>
  <si>
    <t>Castel Maggiore, Emilia-Romagna, Italy</t>
  </si>
  <si>
    <t>MCLD-2774</t>
  </si>
  <si>
    <t>Yon-Drake &amp; Associates</t>
  </si>
  <si>
    <t>https://www.yondrake.com</t>
  </si>
  <si>
    <t>MCLD-2775</t>
  </si>
  <si>
    <t>Blue Nine Systems, LLC</t>
  </si>
  <si>
    <t>https://www.blueninesystems.com</t>
  </si>
  <si>
    <t>MCLD-2776</t>
  </si>
  <si>
    <t>Shrimpy</t>
  </si>
  <si>
    <t>https://www.shrimpy.io</t>
  </si>
  <si>
    <t>MCLD-2777</t>
  </si>
  <si>
    <t>Phoenix HSL</t>
  </si>
  <si>
    <t>https://www.phoenixhsl.com</t>
  </si>
  <si>
    <t>MCLD-2778</t>
  </si>
  <si>
    <t>GammaWorks</t>
  </si>
  <si>
    <t>https://www.gammaworks.com</t>
  </si>
  <si>
    <t>MCLD-2779</t>
  </si>
  <si>
    <t>Care4C</t>
  </si>
  <si>
    <t>https://www.care4c.com</t>
  </si>
  <si>
    <t>MCLD-2780</t>
  </si>
  <si>
    <t>Winely</t>
  </si>
  <si>
    <t>https://www.winely.ai</t>
  </si>
  <si>
    <t>MCLD-2781</t>
  </si>
  <si>
    <t>Algemetric</t>
  </si>
  <si>
    <t>https://www.algemetric.com</t>
  </si>
  <si>
    <t>MCLD-2782</t>
  </si>
  <si>
    <t>TRAiNED</t>
  </si>
  <si>
    <t>https://www.trained.ai</t>
  </si>
  <si>
    <t>MCLD-2783</t>
  </si>
  <si>
    <t>Dispension Industries</t>
  </si>
  <si>
    <t>https://www.dispension.com</t>
  </si>
  <si>
    <t>Dartmouth, Nova Scotia, Canada</t>
  </si>
  <si>
    <t>MCLD-2784</t>
  </si>
  <si>
    <t>GSS Analytix</t>
  </si>
  <si>
    <t>https://www.gssanalytix.com</t>
  </si>
  <si>
    <t>MCLD-2785</t>
  </si>
  <si>
    <t>ADAS</t>
  </si>
  <si>
    <t>https://www.adas.co.uk</t>
  </si>
  <si>
    <t>MCLD-2786</t>
  </si>
  <si>
    <t>D3 Systems</t>
  </si>
  <si>
    <t>https://www.d3systems.com</t>
  </si>
  <si>
    <t>MCLD-2787</t>
  </si>
  <si>
    <t>Brazil Panels</t>
  </si>
  <si>
    <t>https://www.brazilpanels.com</t>
  </si>
  <si>
    <t>Marumbi, Parana, Brazil</t>
  </si>
  <si>
    <t>MCLD-2788</t>
  </si>
  <si>
    <t>Iterator Llc</t>
  </si>
  <si>
    <t>https://www.iterator.com</t>
  </si>
  <si>
    <t>MCLD-2789</t>
  </si>
  <si>
    <t>Helios Visions</t>
  </si>
  <si>
    <t>https://www.heliosvisions.com</t>
  </si>
  <si>
    <t>MCLD-2790</t>
  </si>
  <si>
    <t>Chipax</t>
  </si>
  <si>
    <t>https://www.chipax.com</t>
  </si>
  <si>
    <t>MCLD-2791</t>
  </si>
  <si>
    <t>Ariprus</t>
  </si>
  <si>
    <t>https://www.ariprus.com</t>
  </si>
  <si>
    <t>MCLD-2792</t>
  </si>
  <si>
    <t>BicData</t>
  </si>
  <si>
    <t>https://www.bicdata.com</t>
  </si>
  <si>
    <t>Presidente Prudente, Sao Paulo, Brazil</t>
  </si>
  <si>
    <t>MCLD-2793</t>
  </si>
  <si>
    <t>Ascent Geomatics Solutions</t>
  </si>
  <si>
    <t>https://www.ascentgeomatics.com</t>
  </si>
  <si>
    <t>Westminster, Colorado, United States</t>
  </si>
  <si>
    <t>MCLD-2794</t>
  </si>
  <si>
    <t>Pro-MEC Engineering Services</t>
  </si>
  <si>
    <t>https://www.promeceng.com</t>
  </si>
  <si>
    <t>Michigan, North Dakota, United States</t>
  </si>
  <si>
    <t>MCLD-2795</t>
  </si>
  <si>
    <t>Cool Tabs</t>
  </si>
  <si>
    <t>https://www.cool-tabs.com</t>
  </si>
  <si>
    <t>MCLD-2796</t>
  </si>
  <si>
    <t>LumaNEXT</t>
  </si>
  <si>
    <t>https://www.lumanext.com</t>
  </si>
  <si>
    <t>Paramus, New Jersey, United States</t>
  </si>
  <si>
    <t>MCLD-2797</t>
  </si>
  <si>
    <t>Infotim RÅ¾iÅ¡nik Perc doo</t>
  </si>
  <si>
    <t>https://www.infotim.si</t>
  </si>
  <si>
    <t>Sencur, Sencur Commune, Slovenia</t>
  </si>
  <si>
    <t>MCLD-2798</t>
  </si>
  <si>
    <t>Jamh</t>
  </si>
  <si>
    <t>https://www.jamh.com</t>
  </si>
  <si>
    <t>MCLD-2799</t>
  </si>
  <si>
    <t>MAXimum Research</t>
  </si>
  <si>
    <t>https://www.maximumresearch.com</t>
  </si>
  <si>
    <t>Cherry Hill, New Jersey, United States</t>
  </si>
  <si>
    <t>MCLD-2800</t>
  </si>
  <si>
    <t>Sertec</t>
  </si>
  <si>
    <t>https://www.sertec.co.uk</t>
  </si>
  <si>
    <t>MCLD-2801</t>
  </si>
  <si>
    <t>Mosaix Software, Inc.</t>
  </si>
  <si>
    <t>https://www.mosaix.com</t>
  </si>
  <si>
    <t>MCLD-2802</t>
  </si>
  <si>
    <t>Daedalus Group</t>
  </si>
  <si>
    <t>https://www.daedalusgroup.com</t>
  </si>
  <si>
    <t>MCLD-2803</t>
  </si>
  <si>
    <t>Americas Survey Company</t>
  </si>
  <si>
    <t>https://www.americassurvey.com</t>
  </si>
  <si>
    <t>Tijuana, Baja California, Mexico</t>
  </si>
  <si>
    <t>MCLD-2804</t>
  </si>
  <si>
    <t>Invisible Technologies</t>
  </si>
  <si>
    <t>https://www.invisible.co</t>
  </si>
  <si>
    <t>MCLD-2805</t>
  </si>
  <si>
    <t>Quality Match</t>
  </si>
  <si>
    <t>https://www.qualitymatch.com</t>
  </si>
  <si>
    <t>MCLD-2806</t>
  </si>
  <si>
    <t>besimple AI</t>
  </si>
  <si>
    <t>https://www.besimple.ai</t>
  </si>
  <si>
    <t>MCLD-2807</t>
  </si>
  <si>
    <t>Reliabl</t>
  </si>
  <si>
    <t>https://www.reliabl.ai</t>
  </si>
  <si>
    <t>MCLD-2808</t>
  </si>
  <si>
    <t>HelloGov</t>
  </si>
  <si>
    <t>https://www.hellogov.com</t>
  </si>
  <si>
    <t>Ashburn, Virginia, United States</t>
  </si>
  <si>
    <t>MCLD-2809</t>
  </si>
  <si>
    <t>Stardust AI</t>
  </si>
  <si>
    <t>https://www.stardust.ai</t>
  </si>
  <si>
    <t>MCLD-2810</t>
  </si>
  <si>
    <t>RedBrick AI</t>
  </si>
  <si>
    <t>https://www.redbrickai.com</t>
  </si>
  <si>
    <t>MCLD-2811</t>
  </si>
  <si>
    <t>Data Guardians Network</t>
  </si>
  <si>
    <t>https://www.dataguardians.net</t>
  </si>
  <si>
    <t>TÃ³rtola, Castilla-La Mancha, Spain</t>
  </si>
  <si>
    <t>MCLD-2812</t>
  </si>
  <si>
    <t>DevAgentic</t>
  </si>
  <si>
    <t>https://www.devagentic.ai</t>
  </si>
  <si>
    <t>Poole, Dorset, United Kingdom</t>
  </si>
  <si>
    <t>MCLD-2813</t>
  </si>
  <si>
    <t>AIMMO</t>
  </si>
  <si>
    <t>https://www.aimmo.ai</t>
  </si>
  <si>
    <t>MCLD-2814</t>
  </si>
  <si>
    <t>Tictag</t>
  </si>
  <si>
    <t>https://www.tictag.io</t>
  </si>
  <si>
    <t>MCLD-2815</t>
  </si>
  <si>
    <t>Peroptyx</t>
  </si>
  <si>
    <t>https://www.peroptyx.com</t>
  </si>
  <si>
    <t>Castlebar, Mayo, Ireland</t>
  </si>
  <si>
    <t>MCLD-2816</t>
  </si>
  <si>
    <t>Auxerta</t>
  </si>
  <si>
    <t>https://www.auxerta.com</t>
  </si>
  <si>
    <t>MCLD-2817</t>
  </si>
  <si>
    <t>Explosion AI</t>
  </si>
  <si>
    <t>https://www.explosion.ai</t>
  </si>
  <si>
    <t>MCLD-2818</t>
  </si>
  <si>
    <t>understand.ai</t>
  </si>
  <si>
    <t>https://www.understand.ai</t>
  </si>
  <si>
    <t>Karlsruhe, Baden-Wurttemberg, Germany</t>
  </si>
  <si>
    <t>MCLD-2819</t>
  </si>
  <si>
    <t>karya</t>
  </si>
  <si>
    <t>https://www.karya.in</t>
  </si>
  <si>
    <t>Kalba Devi, Maharashtra, India</t>
  </si>
  <si>
    <t>MCLD-2820</t>
  </si>
  <si>
    <t>Epinote</t>
  </si>
  <si>
    <t>https://www.epinote.ai</t>
  </si>
  <si>
    <t>MCLD-2821</t>
  </si>
  <si>
    <t>BasicFinder</t>
  </si>
  <si>
    <t>https://www.basicfinder.com</t>
  </si>
  <si>
    <t>MCLD-2822</t>
  </si>
  <si>
    <t>Datum</t>
  </si>
  <si>
    <t>https://www.datum.ai</t>
  </si>
  <si>
    <t>MCLD-2823</t>
  </si>
  <si>
    <t>Avala AI</t>
  </si>
  <si>
    <t>https://www.avala.ai</t>
  </si>
  <si>
    <t>MCLD-2824</t>
  </si>
  <si>
    <t>DataTorch</t>
  </si>
  <si>
    <t>https://www.datatorch.io</t>
  </si>
  <si>
    <t>Dundas, Ontario, Canada</t>
  </si>
  <si>
    <t>MCLD-2825</t>
  </si>
  <si>
    <t>Nextremer</t>
  </si>
  <si>
    <t>https://www.nextremer.com</t>
  </si>
  <si>
    <t>Kochi, Kochi, Japan</t>
  </si>
  <si>
    <t>MCLD-2826</t>
  </si>
  <si>
    <t>Horavision</t>
  </si>
  <si>
    <t>https://www.horavision.com</t>
  </si>
  <si>
    <t>MCLD-2827</t>
  </si>
  <si>
    <t>Beework.ai</t>
  </si>
  <si>
    <t>https://www.beework.ai</t>
  </si>
  <si>
    <t>MCLD-2828</t>
  </si>
  <si>
    <t>Anolytics</t>
  </si>
  <si>
    <t>https://www.anolytics.ai</t>
  </si>
  <si>
    <t>MCLD-2829</t>
  </si>
  <si>
    <t>Label Your Data</t>
  </si>
  <si>
    <t>https://www.labelyourdata.com</t>
  </si>
  <si>
    <t>MCLD-2830</t>
  </si>
  <si>
    <t>MangoDesk</t>
  </si>
  <si>
    <t>https://www.mangodesk.com</t>
  </si>
  <si>
    <t>MCLD-2831</t>
  </si>
  <si>
    <t>IPIP.net</t>
  </si>
  <si>
    <t>https://www.ipip.net</t>
  </si>
  <si>
    <t>Chaoyang, Liaoning, China</t>
  </si>
  <si>
    <t>MCLD-2832</t>
  </si>
  <si>
    <t>Yeterly AI</t>
  </si>
  <si>
    <t>https://www.yeterly.ai</t>
  </si>
  <si>
    <t>MCLD-2833</t>
  </si>
  <si>
    <t>MD.ai</t>
  </si>
  <si>
    <t>https://www.md.ai</t>
  </si>
  <si>
    <t>MCLD-2834</t>
  </si>
  <si>
    <t>CVAT.ai</t>
  </si>
  <si>
    <t>https://www.cvat.ai</t>
  </si>
  <si>
    <t>MCLD-2835</t>
  </si>
  <si>
    <t>Agiphi</t>
  </si>
  <si>
    <t>https://www.agiphi.com</t>
  </si>
  <si>
    <t>MCLD-2836</t>
  </si>
  <si>
    <t>Quantigo AI</t>
  </si>
  <si>
    <t>https://www.quantigo.ai</t>
  </si>
  <si>
    <t>MCLD-2837</t>
  </si>
  <si>
    <t>ekSource Technologies, Inc</t>
  </si>
  <si>
    <t>https://www.eksource.com</t>
  </si>
  <si>
    <t>MCLD-2838</t>
  </si>
  <si>
    <t>TagX</t>
  </si>
  <si>
    <t>https://www.tagx.ai</t>
  </si>
  <si>
    <t>MCLD-2839</t>
  </si>
  <si>
    <t>Sunix AI Private Limited</t>
  </si>
  <si>
    <t>https://www.sunix.ai</t>
  </si>
  <si>
    <t>MCLD-2840</t>
  </si>
  <si>
    <t>Avalanche Computing Taiwan Inc.</t>
  </si>
  <si>
    <t>https://www.avalanche.com.tw</t>
  </si>
  <si>
    <t>MCLD-2841</t>
  </si>
  <si>
    <t>M47 Labs</t>
  </si>
  <si>
    <t>https://www.m47labs.com</t>
  </si>
  <si>
    <t>MCLD-2842</t>
  </si>
  <si>
    <t>AdamsBridge Global</t>
  </si>
  <si>
    <t>https://www.adamsbridge.com</t>
  </si>
  <si>
    <t>MCLD-2843</t>
  </si>
  <si>
    <t>Mindy Support</t>
  </si>
  <si>
    <t>https://www.mindysupport.com</t>
  </si>
  <si>
    <t>MCLD-2844</t>
  </si>
  <si>
    <t>Deduce Technologies</t>
  </si>
  <si>
    <t>https://www.deducetech.com</t>
  </si>
  <si>
    <t>MCLD-2845</t>
  </si>
  <si>
    <t>Dataforge.ai</t>
  </si>
  <si>
    <t>https://www.dataforge.ai</t>
  </si>
  <si>
    <t>MCLD-2846</t>
  </si>
  <si>
    <t>Xtract.io</t>
  </si>
  <si>
    <t>https://www.xtract.io</t>
  </si>
  <si>
    <t>MCLD-2847</t>
  </si>
  <si>
    <t>YaiGlobal</t>
  </si>
  <si>
    <t>https://www.yaiglobal.com</t>
  </si>
  <si>
    <t>MCLD-2848</t>
  </si>
  <si>
    <t>Qualitas Global Services LLP</t>
  </si>
  <si>
    <t>https://www.qualitasglobal.com</t>
  </si>
  <si>
    <t>MCLD-2849</t>
  </si>
  <si>
    <t>medDARE</t>
  </si>
  <si>
    <t>https://www.meddare.com</t>
  </si>
  <si>
    <t>MCLD-2850</t>
  </si>
  <si>
    <t>FiveS Digital</t>
  </si>
  <si>
    <t>https://www.fivesdigital.com</t>
  </si>
  <si>
    <t>Udaipur, Rajasthan, India</t>
  </si>
  <si>
    <t>MCLD-2851</t>
  </si>
  <si>
    <t>Elancer IT Solutions</t>
  </si>
  <si>
    <t>https://www.elanceritsolutions.com</t>
  </si>
  <si>
    <t>MCLD-2852</t>
  </si>
  <si>
    <t>Innovatiana</t>
  </si>
  <si>
    <t>https://www.innovatiana.com</t>
  </si>
  <si>
    <t>Levallois-perret, Ile-de-France, France</t>
  </si>
  <si>
    <t>MCLD-2853</t>
  </si>
  <si>
    <t>AI Workspace</t>
  </si>
  <si>
    <t>https://www.aiworkspace.com</t>
  </si>
  <si>
    <t>MCLD-2854</t>
  </si>
  <si>
    <t>AIT Protocol</t>
  </si>
  <si>
    <t>https://www.aitprotocol.ai</t>
  </si>
  <si>
    <t>MCLD-2855</t>
  </si>
  <si>
    <t>Annotation Support</t>
  </si>
  <si>
    <t>https://www.annotationsupport.com</t>
  </si>
  <si>
    <t>Gopalapuram, Tamil Nadu, India</t>
  </si>
  <si>
    <t>MCLD-2856</t>
  </si>
  <si>
    <t>Impact Enterprises</t>
  </si>
  <si>
    <t>https://www.impactenterprises.com</t>
  </si>
  <si>
    <t>Chipata, NA - Zambia, Zambia</t>
  </si>
  <si>
    <t>MCLD-2857</t>
  </si>
  <si>
    <t>Biz-Tech Analytics</t>
  </si>
  <si>
    <t>https://www.biztechanalytics.com</t>
  </si>
  <si>
    <t>MCLD-2858</t>
  </si>
  <si>
    <t>Wisepl</t>
  </si>
  <si>
    <t>https://www.wisepl.com</t>
  </si>
  <si>
    <t>Pattikkad, Kerala, India</t>
  </si>
  <si>
    <t>MCLD-2859</t>
  </si>
  <si>
    <t>SCALA.AI</t>
  </si>
  <si>
    <t>https://www.scala.ai</t>
  </si>
  <si>
    <t>MCLD-2860</t>
  </si>
  <si>
    <t>AMYGO AI</t>
  </si>
  <si>
    <t>https://www.amygo.ai</t>
  </si>
  <si>
    <t>MCLD-2861</t>
  </si>
  <si>
    <t>Tika</t>
  </si>
  <si>
    <t>https://www.tika.ai</t>
  </si>
  <si>
    <t>MCLD-2862</t>
  </si>
  <si>
    <t>HabileData - Global Outsourcing Company</t>
  </si>
  <si>
    <t>https://www.habiledata.com</t>
  </si>
  <si>
    <t>MCLD-2863</t>
  </si>
  <si>
    <t>Ainavio</t>
  </si>
  <si>
    <t>https://www.ainavio.com</t>
  </si>
  <si>
    <t>Kamp-lintfort, Nordrhein-Westfalen, Germany</t>
  </si>
  <si>
    <t>MCLD-2864</t>
  </si>
  <si>
    <t>AWTOMATIG</t>
  </si>
  <si>
    <t>https://www.awtomatig.com</t>
  </si>
  <si>
    <t>MCLD-2865</t>
  </si>
  <si>
    <t>Frinksyn</t>
  </si>
  <si>
    <t>https://www.frinksyn.com</t>
  </si>
  <si>
    <t>MCLD-2866</t>
  </si>
  <si>
    <t>LitWiz Labs</t>
  </si>
  <si>
    <t>https://www.litwizlabs.com</t>
  </si>
  <si>
    <t>MCLD-2867</t>
  </si>
  <si>
    <t>Anmerkung Solutions</t>
  </si>
  <si>
    <t>https://www.anmerkung.com</t>
  </si>
  <si>
    <t>MCLD-2868</t>
  </si>
  <si>
    <t>Impact Outsourcing Limited</t>
  </si>
  <si>
    <t>https://www.impactoutsourcing.com</t>
  </si>
  <si>
    <t>UK</t>
  </si>
  <si>
    <t>MCLD-2869</t>
  </si>
  <si>
    <t>Sernion</t>
  </si>
  <si>
    <t>https://www.sernion.com</t>
  </si>
  <si>
    <t>Haldia, West Bengal, India</t>
  </si>
  <si>
    <t>MCLD-2870</t>
  </si>
  <si>
    <t>Cadmaxx</t>
  </si>
  <si>
    <t>https://www.cadmaxx.com</t>
  </si>
  <si>
    <t>MCLD-2871</t>
  </si>
  <si>
    <t>Mozn Solutions</t>
  </si>
  <si>
    <t>https://www.mozn.com</t>
  </si>
  <si>
    <t>Midlothian, Virginia, United States</t>
  </si>
  <si>
    <t>MCLD-2872</t>
  </si>
  <si>
    <t>Djaoo</t>
  </si>
  <si>
    <t>https://www.djaoo.com</t>
  </si>
  <si>
    <t>MCLD-2873</t>
  </si>
  <si>
    <t>OXO Innovation</t>
  </si>
  <si>
    <t>https://www.oxoinnovation.com</t>
  </si>
  <si>
    <t>MCLD-2874</t>
  </si>
  <si>
    <t>GraphGrail Ai</t>
  </si>
  <si>
    <t>https://www.graphgrail.ai</t>
  </si>
  <si>
    <t>Rostov-on-don, Rostov, Russian Federation</t>
  </si>
  <si>
    <t>MCLD-2875</t>
  </si>
  <si>
    <t>Trashset Technology</t>
  </si>
  <si>
    <t>https://www.trashset.com</t>
  </si>
  <si>
    <t>Kathmandu, Bagmati, Nepal</t>
  </si>
  <si>
    <t>MCLD-2876</t>
  </si>
  <si>
    <t>Axximum</t>
  </si>
  <si>
    <t>https://www.axximum.com</t>
  </si>
  <si>
    <t>Trichy, Tamil Nadu, India</t>
  </si>
  <si>
    <t>MCLD-2877</t>
  </si>
  <si>
    <t>Computyne</t>
  </si>
  <si>
    <t>https://www.computyne.com</t>
  </si>
  <si>
    <t>Gandhinagar, Gujarat, India</t>
  </si>
  <si>
    <t>MCLD-2878</t>
  </si>
  <si>
    <t>Annotation Box</t>
  </si>
  <si>
    <t>https://www.annotationbox.com</t>
  </si>
  <si>
    <t>Deerfield Beach, Florida, United States</t>
  </si>
  <si>
    <t>MCLD-2879</t>
  </si>
  <si>
    <t>LTS Global Digital Services</t>
  </si>
  <si>
    <t>https://www.ltsglobal.com</t>
  </si>
  <si>
    <t>MCLD-2880</t>
  </si>
  <si>
    <t>AdminAid</t>
  </si>
  <si>
    <t>https://www.adminaid.com</t>
  </si>
  <si>
    <t>Surat, Gujarat, India</t>
  </si>
  <si>
    <t>MCLD-2881</t>
  </si>
  <si>
    <t>Opporture</t>
  </si>
  <si>
    <t>https://www.opporture.com</t>
  </si>
  <si>
    <t>MCLD-2882</t>
  </si>
  <si>
    <t>DataBee</t>
  </si>
  <si>
    <t>https://www.databee.ai</t>
  </si>
  <si>
    <t>MCLD-2883</t>
  </si>
  <si>
    <t>Annoberry</t>
  </si>
  <si>
    <t>https://www.annoberry.com</t>
  </si>
  <si>
    <t>MCLD-2884</t>
  </si>
  <si>
    <t>Aventurine Technologies</t>
  </si>
  <si>
    <t>https://www.aventurinetec.com</t>
  </si>
  <si>
    <t>Chantilly, Virginia, United States</t>
  </si>
  <si>
    <t>MCLD-2885</t>
  </si>
  <si>
    <t>DAITA Technologies</t>
  </si>
  <si>
    <t>https://www.daitatech.com</t>
  </si>
  <si>
    <t>Liebefeld, Bern, Switzerland</t>
  </si>
  <si>
    <t>MCLD-2886</t>
  </si>
  <si>
    <t>Dcube</t>
  </si>
  <si>
    <t>https://www.dcube.com</t>
  </si>
  <si>
    <t>Islamabad, Islamabad, Pakistan</t>
  </si>
  <si>
    <t>MCLD-2887</t>
  </si>
  <si>
    <t>Moqiu Technology</t>
  </si>
  <si>
    <t>https://www.moqiu.com</t>
  </si>
  <si>
    <t>MCLD-2888</t>
  </si>
  <si>
    <t>Workstage</t>
  </si>
  <si>
    <t>https://www.workstage.com</t>
  </si>
  <si>
    <t>MCLD-2889</t>
  </si>
  <si>
    <t>Chalise House</t>
  </si>
  <si>
    <t>https://www.chalisehouse.com</t>
  </si>
  <si>
    <t>MCLD-2890</t>
  </si>
  <si>
    <t>Digiyoda</t>
  </si>
  <si>
    <t>https://www.digiyoda.com</t>
  </si>
  <si>
    <t>Warangal, Andhra Pradesh, India</t>
  </si>
  <si>
    <t>MCLD-2891</t>
  </si>
  <si>
    <t>A5 Infotech</t>
  </si>
  <si>
    <t>https://www.a5infotech.com</t>
  </si>
  <si>
    <t>Tuticorin, Tamil Nadu, India</t>
  </si>
  <si>
    <t>MCLD-2892</t>
  </si>
  <si>
    <t>Vcube</t>
  </si>
  <si>
    <t>https://www.vcube.com</t>
  </si>
  <si>
    <t>MCLD-2893</t>
  </si>
  <si>
    <t>dataremer</t>
  </si>
  <si>
    <t>https://www.dataremer.com</t>
  </si>
  <si>
    <t>MCLD-2894</t>
  </si>
  <si>
    <t>Zerosec Solutions</t>
  </si>
  <si>
    <t>https://www.zerosecsolutions.com</t>
  </si>
  <si>
    <t>Erode, Tamil Nadu, India</t>
  </si>
  <si>
    <t>MCLD-2895</t>
  </si>
  <si>
    <t>Contalents llc</t>
  </si>
  <si>
    <t>https://www.contalents.com</t>
  </si>
  <si>
    <t>MCLD-2896</t>
  </si>
  <si>
    <t>learningspiral.ai</t>
  </si>
  <si>
    <t>https://www.learningspiral.ai</t>
  </si>
  <si>
    <t>MCLD-2897</t>
  </si>
  <si>
    <t>Mindy Teams</t>
  </si>
  <si>
    <t>https://www.mindyteams.com</t>
  </si>
  <si>
    <t>MCLD-2898</t>
  </si>
  <si>
    <t>Procedeon Image Science</t>
  </si>
  <si>
    <t>https://www.procedeon.com</t>
  </si>
  <si>
    <t>Overath, Nordrhein-Westfalen, Germany</t>
  </si>
  <si>
    <t>MCLD-2899</t>
  </si>
  <si>
    <t>ICEBERG DATA</t>
  </si>
  <si>
    <t>https://www.icebergdata.com</t>
  </si>
  <si>
    <t>MCLD-2900</t>
  </si>
  <si>
    <t>Teric.ai</t>
  </si>
  <si>
    <t>https://www.teric.ai</t>
  </si>
  <si>
    <t>MCLD-2901</t>
  </si>
  <si>
    <t>Klatch Technologies</t>
  </si>
  <si>
    <t>https://www.klatchtechnologies.com</t>
  </si>
  <si>
    <t>Guwahati, Assam, India</t>
  </si>
  <si>
    <t>MCLD-2902</t>
  </si>
  <si>
    <t>Xoidlabs</t>
  </si>
  <si>
    <t>https://www.xoidlabs.com</t>
  </si>
  <si>
    <t>MCLD-2903</t>
  </si>
  <si>
    <t>Intellink</t>
  </si>
  <si>
    <t>https://www.intellink.com</t>
  </si>
  <si>
    <t>MCLD-2904</t>
  </si>
  <si>
    <t>Supportica Solutions</t>
  </si>
  <si>
    <t>https://www.supportica.com</t>
  </si>
  <si>
    <t>MCLD-2905</t>
  </si>
  <si>
    <t>Kanangra Consulting</t>
  </si>
  <si>
    <t>https://www.kanangra.com</t>
  </si>
  <si>
    <t>Australia</t>
  </si>
  <si>
    <t>MCLD-2906</t>
  </si>
  <si>
    <t>Unidata</t>
  </si>
  <si>
    <t>https://www.unidata.com</t>
  </si>
  <si>
    <t>MCLD-2907</t>
  </si>
  <si>
    <t>Annotation Hub</t>
  </si>
  <si>
    <t>https://www.annotationhub.ai</t>
  </si>
  <si>
    <t>MCLD-2908</t>
  </si>
  <si>
    <t>TagOn</t>
  </si>
  <si>
    <t>https://www.tagon.ai</t>
  </si>
  <si>
    <t>MCLD-2909</t>
  </si>
  <si>
    <t>Aspexx Tech</t>
  </si>
  <si>
    <t>https://www.aspexxtech.com</t>
  </si>
  <si>
    <t>MCLD-2910</t>
  </si>
  <si>
    <t>Flitto Japan</t>
  </si>
  <si>
    <t>https://www.flitto.com</t>
  </si>
  <si>
    <t>MCLD-2911</t>
  </si>
  <si>
    <t>Sina Bari Plastic Surgery</t>
  </si>
  <si>
    <t>https://www.sinabari.com</t>
  </si>
  <si>
    <t>MCLD-2912</t>
  </si>
  <si>
    <t>Grarden</t>
  </si>
  <si>
    <t>https://www.grarden.com</t>
  </si>
  <si>
    <t>MCLD-2913</t>
  </si>
  <si>
    <t>Takimada</t>
  </si>
  <si>
    <t>https://www.takimada.com</t>
  </si>
  <si>
    <t>MCLD-2914</t>
  </si>
  <si>
    <t>Connectill</t>
  </si>
  <si>
    <t>https://www.connectill.com</t>
  </si>
  <si>
    <t>MCLD-2915</t>
  </si>
  <si>
    <t>CCC International</t>
  </si>
  <si>
    <t>https://www.ccci.com</t>
  </si>
  <si>
    <t>Yerevan, Yerevan, Armenia</t>
  </si>
  <si>
    <t>MCLD-2916</t>
  </si>
  <si>
    <t>Visti Tech</t>
  </si>
  <si>
    <t>https://www.visitech.com</t>
  </si>
  <si>
    <t>MCLD-2917</t>
  </si>
  <si>
    <t>People For AI</t>
  </si>
  <si>
    <t>https://www.peopleforai.com</t>
  </si>
  <si>
    <t>MCLD-2918</t>
  </si>
  <si>
    <t>Welo Data</t>
  </si>
  <si>
    <t>https://www.welodata.com</t>
  </si>
  <si>
    <t>MCLD-2919</t>
  </si>
  <si>
    <t>Affix Solution</t>
  </si>
  <si>
    <t>https://affixsolution.com</t>
  </si>
  <si>
    <t>Newbury, West Berkshire, United Kingdom</t>
  </si>
  <si>
    <t>MCLD-2920</t>
  </si>
  <si>
    <t>Aipersonic</t>
  </si>
  <si>
    <t>https://aipersonic.ai</t>
  </si>
  <si>
    <t>MCLD-2921</t>
  </si>
  <si>
    <t>Lingtech AI</t>
  </si>
  <si>
    <t>https://lingtech.ai</t>
  </si>
  <si>
    <t>MCLD-2922</t>
  </si>
  <si>
    <t>Annotera</t>
  </si>
  <si>
    <t>https://annotera.com</t>
  </si>
  <si>
    <t>MCLD-2923</t>
  </si>
  <si>
    <t>Hi-Fi Ai</t>
  </si>
  <si>
    <t>https://hifiai.com</t>
  </si>
  <si>
    <t>MCLD-2924</t>
  </si>
  <si>
    <t>DignifAI</t>
  </si>
  <si>
    <t>https://dignifai.com</t>
  </si>
  <si>
    <t>CÃºcuta, Antioquia, Colombia</t>
  </si>
  <si>
    <t>MCLD-2925</t>
  </si>
  <si>
    <t>1EdTech Consortium</t>
  </si>
  <si>
    <t>https://www.1edtech.org</t>
  </si>
  <si>
    <t>MCLD-2926</t>
  </si>
  <si>
    <t>1stepGrow</t>
  </si>
  <si>
    <t>https://1stepgrow.com</t>
  </si>
  <si>
    <t>MCLD-2927</t>
  </si>
  <si>
    <t>21CC Education</t>
  </si>
  <si>
    <t>https://21cceducation.com</t>
  </si>
  <si>
    <t>MCLD-2928</t>
  </si>
  <si>
    <t>22nd Century Technologies Inc.</t>
  </si>
  <si>
    <t>https://www.tscti.com</t>
  </si>
  <si>
    <t>MCLD-2929</t>
  </si>
  <si>
    <t>24HourAnswers.com</t>
  </si>
  <si>
    <t>https://www.24houranswers.com</t>
  </si>
  <si>
    <t>MCLD-2930</t>
  </si>
  <si>
    <t>3mguru</t>
  </si>
  <si>
    <t>https://3mguru.com</t>
  </si>
  <si>
    <t>MCLD-2931</t>
  </si>
  <si>
    <t>4MedProPlus/4MedPlus Corporation</t>
  </si>
  <si>
    <t>https://www.4medplus.com</t>
  </si>
  <si>
    <t>MCLD-2932</t>
  </si>
  <si>
    <t>7 Star Education</t>
  </si>
  <si>
    <t>MCLD-2933</t>
  </si>
  <si>
    <t>90 Plus My Tuition App</t>
  </si>
  <si>
    <t>https://90plusapp.com</t>
  </si>
  <si>
    <t>MCLD-2934</t>
  </si>
  <si>
    <t>98thPercentile</t>
  </si>
  <si>
    <t>https://www.98thpercentile.com</t>
  </si>
  <si>
    <t>MCLD-2935</t>
  </si>
  <si>
    <t>A Caring Touch Christian Family Center Inc.</t>
  </si>
  <si>
    <t>MCLD-2936</t>
  </si>
  <si>
    <t>AAFT Online</t>
  </si>
  <si>
    <t>https://www.aaftonline.com</t>
  </si>
  <si>
    <t>MCLD-2937</t>
  </si>
  <si>
    <t>Aakash Educational Services Limited</t>
  </si>
  <si>
    <t>https://www.aakash.ac.in</t>
  </si>
  <si>
    <t>MCLD-2938</t>
  </si>
  <si>
    <t>Aakash EduTech Private Limited</t>
  </si>
  <si>
    <t>https://www.aakashdigital.com</t>
  </si>
  <si>
    <t>MCLD-2939</t>
  </si>
  <si>
    <t>AAS Education</t>
  </si>
  <si>
    <t>MCLD-2940</t>
  </si>
  <si>
    <t>ABA Technologies, Inc.</t>
  </si>
  <si>
    <t>https://abatechnologies.com</t>
  </si>
  <si>
    <t>MCLD-2941</t>
  </si>
  <si>
    <t>ABP Learning Technologies Pvt Ltd</t>
  </si>
  <si>
    <t>https://abplearning.com</t>
  </si>
  <si>
    <t>MCLD-2942</t>
  </si>
  <si>
    <t>AcadAlly</t>
  </si>
  <si>
    <t>https://acadally.com</t>
  </si>
  <si>
    <t>MCLD-2943</t>
  </si>
  <si>
    <t>https://academian.com</t>
  </si>
  <si>
    <t>MCLD-2944</t>
  </si>
  <si>
    <t>Academic Partnerships</t>
  </si>
  <si>
    <t>https://academicpartnerships.com</t>
  </si>
  <si>
    <t>MCLD-2945</t>
  </si>
  <si>
    <t>Accelerate Education</t>
  </si>
  <si>
    <t>https://accelerate.education</t>
  </si>
  <si>
    <t>MCLD-2946</t>
  </si>
  <si>
    <t>Acceleration Academies</t>
  </si>
  <si>
    <t>https://accelerationacademies.org</t>
  </si>
  <si>
    <t>MCLD-2947</t>
  </si>
  <si>
    <t>Achievers Camp</t>
  </si>
  <si>
    <t>MCLD-2948</t>
  </si>
  <si>
    <t>Acoustic Memory, LLC</t>
  </si>
  <si>
    <t>https://acousticmemory.com</t>
  </si>
  <si>
    <t>MCLD-2949</t>
  </si>
  <si>
    <t>ActioNet, Inc.</t>
  </si>
  <si>
    <t>https://www.actionet.com</t>
  </si>
  <si>
    <t>MCLD-2950</t>
  </si>
  <si>
    <t>Actionify</t>
  </si>
  <si>
    <t>https://actionify.com</t>
  </si>
  <si>
    <t>MCLD-2951</t>
  </si>
  <si>
    <t>AdmitSure</t>
  </si>
  <si>
    <t>https://admitsure.com</t>
  </si>
  <si>
    <t>MCLD-2952</t>
  </si>
  <si>
    <t>Admizzionz Campuz</t>
  </si>
  <si>
    <t>https://admizzionzcampuz.com</t>
  </si>
  <si>
    <t>MCLD-2953</t>
  </si>
  <si>
    <t>Adroidex</t>
  </si>
  <si>
    <t>https://adroidex.com</t>
  </si>
  <si>
    <t>MCLD-2954</t>
  </si>
  <si>
    <t>Adtalem Global Education</t>
  </si>
  <si>
    <t>https://www.adtalem.com</t>
  </si>
  <si>
    <t>MCLD-2955</t>
  </si>
  <si>
    <t>Adurystal Bharat Pvt Ltd</t>
  </si>
  <si>
    <t>MCLD-2956</t>
  </si>
  <si>
    <t>Advanced eClinical Training</t>
  </si>
  <si>
    <t>https://advancedclinicaltraining.com</t>
  </si>
  <si>
    <t>MCLD-2957</t>
  </si>
  <si>
    <t>AE Group India</t>
  </si>
  <si>
    <t>https://aegroupindia.com</t>
  </si>
  <si>
    <t>MCLD-2958</t>
  </si>
  <si>
    <t>AECL-India</t>
  </si>
  <si>
    <t>https://aeclindia.com</t>
  </si>
  <si>
    <t>MCLD-2959</t>
  </si>
  <si>
    <t>AG EDUCREATIONS</t>
  </si>
  <si>
    <t>MCLD-2960</t>
  </si>
  <si>
    <t>Aggr Bandhu Gyan Kendra LLP</t>
  </si>
  <si>
    <t>MCLD-2961</t>
  </si>
  <si>
    <t>Agile Mind</t>
  </si>
  <si>
    <t>https://www.agilemind.com</t>
  </si>
  <si>
    <t>MCLD-2962</t>
  </si>
  <si>
    <t>AI CERTs</t>
  </si>
  <si>
    <t>https://aicerts.io</t>
  </si>
  <si>
    <t>MCLD-2963</t>
  </si>
  <si>
    <t>AI Product Accelerator</t>
  </si>
  <si>
    <t>https://aiproductaccelerator.com</t>
  </si>
  <si>
    <t>MCLD-2964</t>
  </si>
  <si>
    <t>AIM/Centura College/Trades</t>
  </si>
  <si>
    <t>https://www.centuracollege.edu</t>
  </si>
  <si>
    <t>MCLD-2965</t>
  </si>
  <si>
    <t>Aims Digital LLC - Learning solutions</t>
  </si>
  <si>
    <t>https://aimsdigital.com</t>
  </si>
  <si>
    <t>MCLD-2966</t>
  </si>
  <si>
    <t>AIU Online (CEC)</t>
  </si>
  <si>
    <t>https://aiuonline.edu</t>
  </si>
  <si>
    <t>MCLD-2967</t>
  </si>
  <si>
    <t>Ajay Chaudhary Classes Pvt Ltd</t>
  </si>
  <si>
    <t>MCLD-2968</t>
  </si>
  <si>
    <t>Akshargyan Learning Solutions Pvt. Ltd</t>
  </si>
  <si>
    <t>https://akshargyan.com</t>
  </si>
  <si>
    <t>MCLD-2969</t>
  </si>
  <si>
    <t>AKT Optimize</t>
  </si>
  <si>
    <t>https://aktoptimize.com</t>
  </si>
  <si>
    <t>MCLD-2970</t>
  </si>
  <si>
    <t>Albert</t>
  </si>
  <si>
    <t>https://albert.io</t>
  </si>
  <si>
    <t>MCLD-2971</t>
  </si>
  <si>
    <t>Alert Info Media Pvt. Ltd.</t>
  </si>
  <si>
    <t>https://alertinfomedia.com</t>
  </si>
  <si>
    <t>MCLD-2972</t>
  </si>
  <si>
    <t>All India Radio</t>
  </si>
  <si>
    <t>https://www.newsonair.gov.in</t>
  </si>
  <si>
    <t>MCLD-2973</t>
  </si>
  <si>
    <t>Allarium, LLC</t>
  </si>
  <si>
    <t>https://allarium.com</t>
  </si>
  <si>
    <t>MCLD-2974</t>
  </si>
  <si>
    <t>ALLEN Career Institute Overseas</t>
  </si>
  <si>
    <t>https://allenoverseas.com</t>
  </si>
  <si>
    <t>MCLD-2975</t>
  </si>
  <si>
    <t>ALLEN Career Institute Pvt. Ltd.</t>
  </si>
  <si>
    <t>https://www.allen.ac.in</t>
  </si>
  <si>
    <t>MCLD-2976</t>
  </si>
  <si>
    <t>Allen Interactions Inc.</t>
  </si>
  <si>
    <t>https://www.alleninteractions.com</t>
  </si>
  <si>
    <t>MCLD-2977</t>
  </si>
  <si>
    <t>AlmaBetter</t>
  </si>
  <si>
    <t>https://www.almabetter.com</t>
  </si>
  <si>
    <t>MCLD-2978</t>
  </si>
  <si>
    <t>Alphabet Factory</t>
  </si>
  <si>
    <t>MCLD-2979</t>
  </si>
  <si>
    <t>Always Best Care Senior Services of Yardley-Newtown</t>
  </si>
  <si>
    <t>https://alwaysbestcare.com</t>
  </si>
  <si>
    <t>MCLD-2980</t>
  </si>
  <si>
    <t>AM LLC</t>
  </si>
  <si>
    <t>MCLD-2981</t>
  </si>
  <si>
    <t>Amandigitalagency</t>
  </si>
  <si>
    <t>https://amandigitalagency.com</t>
  </si>
  <si>
    <t>MCLD-2982</t>
  </si>
  <si>
    <t>American Water College</t>
  </si>
  <si>
    <t>https://www.americanwatercollege.org</t>
  </si>
  <si>
    <t>MCLD-2983</t>
  </si>
  <si>
    <t>Amphisoft Technologies Pvt. Ltd</t>
  </si>
  <si>
    <t>https://amphisoft.com</t>
  </si>
  <si>
    <t>MCLD-2984</t>
  </si>
  <si>
    <t>Amplify</t>
  </si>
  <si>
    <t>https://amplify.com</t>
  </si>
  <si>
    <t>MCLD-2985</t>
  </si>
  <si>
    <t>An EdTech Start-up</t>
  </si>
  <si>
    <t>Unknown</t>
  </si>
  <si>
    <t>MCLD-2986</t>
  </si>
  <si>
    <t>AN GENERATOR SERVICE</t>
  </si>
  <si>
    <t>MCLD-2987</t>
  </si>
  <si>
    <t>Analytics Vidhya</t>
  </si>
  <si>
    <t>https://www.analyticsvidhya.com</t>
  </si>
  <si>
    <t>MCLD-2988</t>
  </si>
  <si>
    <t>Angloscape</t>
  </si>
  <si>
    <t>https://angloscape.com</t>
  </si>
  <si>
    <t>MCLD-2989</t>
  </si>
  <si>
    <t>Ankyrin Solutions Pvt. Ltd.</t>
  </si>
  <si>
    <t>https://ankyrin.com</t>
  </si>
  <si>
    <t>MCLD-2990</t>
  </si>
  <si>
    <t>Ansoz Creations Pvt. Ltd.</t>
  </si>
  <si>
    <t>https://ansoz.com</t>
  </si>
  <si>
    <t>MCLD-2991</t>
  </si>
  <si>
    <t>ansrsource</t>
  </si>
  <si>
    <t>https://www.ansrsource.com</t>
  </si>
  <si>
    <t>MCLD-2992</t>
  </si>
  <si>
    <t>Anstine Technologies</t>
  </si>
  <si>
    <t>https://anstinetech.com</t>
  </si>
  <si>
    <t>MCLD-2993</t>
  </si>
  <si>
    <t>Anthology Inc</t>
  </si>
  <si>
    <t>https://www.anthology.com</t>
  </si>
  <si>
    <t>MCLD-2994</t>
  </si>
  <si>
    <t>Anutham Trainers India Pvt. Ltd.</t>
  </si>
  <si>
    <t>MCLD-2995</t>
  </si>
  <si>
    <t>APA Education Services Private Ltd</t>
  </si>
  <si>
    <t>MCLD-2996</t>
  </si>
  <si>
    <t>Applied Scholastics Online Academy</t>
  </si>
  <si>
    <t>https://appliedscholastics.org</t>
  </si>
  <si>
    <t>MCLD-2997</t>
  </si>
  <si>
    <t>Apposite</t>
  </si>
  <si>
    <t>https://appositelearning.com</t>
  </si>
  <si>
    <t>MCLD-2998</t>
  </si>
  <si>
    <t>https://www.aptaracorp.com</t>
  </si>
  <si>
    <t>MCLD-2999</t>
  </si>
  <si>
    <t>Aptech Limited</t>
  </si>
  <si>
    <t>https://www.aptech-worldwide.com</t>
  </si>
  <si>
    <t>MCLD-3000</t>
  </si>
  <si>
    <t>Aquinas Consulting</t>
  </si>
  <si>
    <t>https://aquinasconsulting.com</t>
  </si>
  <si>
    <t>MCLD-3001</t>
  </si>
  <si>
    <t>Areteem Institute</t>
  </si>
  <si>
    <t>https://areteeminstitute.org</t>
  </si>
  <si>
    <t>MCLD-3002</t>
  </si>
  <si>
    <t>Arifanimaker Animations &amp; Graphics</t>
  </si>
  <si>
    <t>MCLD-3003</t>
  </si>
  <si>
    <t>Arise Corporation</t>
  </si>
  <si>
    <t>https://ariseducation.org</t>
  </si>
  <si>
    <t>MCLD-3004</t>
  </si>
  <si>
    <t>Arizona College</t>
  </si>
  <si>
    <t>https://www.arizonacollege.edu</t>
  </si>
  <si>
    <t>MCLD-3005</t>
  </si>
  <si>
    <t>Arsiga KONICS Private Limited</t>
  </si>
  <si>
    <t>MCLD-3006</t>
  </si>
  <si>
    <t>Artistic Infra</t>
  </si>
  <si>
    <t>MCLD-3007</t>
  </si>
  <si>
    <t>Arya's Physics Power Point</t>
  </si>
  <si>
    <t>MCLD-3008</t>
  </si>
  <si>
    <t>Aryan HR Consulting Pvt Ltd</t>
  </si>
  <si>
    <t>https://aryanhr.com</t>
  </si>
  <si>
    <t>MCLD-3009</t>
  </si>
  <si>
    <t>Asharafi Lal Shukla Group of Institutions</t>
  </si>
  <si>
    <t>MCLD-3010</t>
  </si>
  <si>
    <t>Ask Me</t>
  </si>
  <si>
    <t>MCLD-3011</t>
  </si>
  <si>
    <t>Aspen Publishing</t>
  </si>
  <si>
    <t>https://aspenpublishing.com</t>
  </si>
  <si>
    <t>MCLD-3012</t>
  </si>
  <si>
    <t>Assessment Systems Corporation</t>
  </si>
  <si>
    <t>https://www.assess.com</t>
  </si>
  <si>
    <t>MCLD-3013</t>
  </si>
  <si>
    <t>AssignmentBuddy.com</t>
  </si>
  <si>
    <t>https://www.assignmentbuddy.com</t>
  </si>
  <si>
    <t>MCLD-3014</t>
  </si>
  <si>
    <t>AssignmentsWeb Educational Services Private Limited</t>
  </si>
  <si>
    <t>https://assignmentsweb.com</t>
  </si>
  <si>
    <t>MCLD-3015</t>
  </si>
  <si>
    <t>Assumption College</t>
  </si>
  <si>
    <t>https://www.assumption.edu</t>
  </si>
  <si>
    <t>MCLD-3016</t>
  </si>
  <si>
    <t>ASU Prep Digital</t>
  </si>
  <si>
    <t>https://www.asuprepdigital.org</t>
  </si>
  <si>
    <t>MCLD-3017</t>
  </si>
  <si>
    <t>ASU+GSV Summit</t>
  </si>
  <si>
    <t>https://www.asugsvsummit.com</t>
  </si>
  <si>
    <t>MCLD-3018</t>
  </si>
  <si>
    <t>ATAL Academy</t>
  </si>
  <si>
    <t>https://atalacademy.aicte-india.org</t>
  </si>
  <si>
    <t>MCLD-3019</t>
  </si>
  <si>
    <t>Athiya Organizational Competencies Inc.</t>
  </si>
  <si>
    <t>MCLD-3020</t>
  </si>
  <si>
    <t>AtkinsRÃ©alis</t>
  </si>
  <si>
    <t>https://www.atkinsrealis.com</t>
  </si>
  <si>
    <t>MCLD-3021</t>
  </si>
  <si>
    <t>Atlas Training</t>
  </si>
  <si>
    <t>https://www.atlastraining.com</t>
  </si>
  <si>
    <t>MCLD-3022</t>
  </si>
  <si>
    <t>ATP STAR Learning Platform</t>
  </si>
  <si>
    <t>https://www.atpstar.com</t>
  </si>
  <si>
    <t>MCLD-3023</t>
  </si>
  <si>
    <t>ATTC</t>
  </si>
  <si>
    <t>https://www.attc.org</t>
  </si>
  <si>
    <t>MCLD-3024</t>
  </si>
  <si>
    <t>Aurus Inc USA and Aurus Tech Pvt Ltd, Pune India</t>
  </si>
  <si>
    <t>https://www.aurusinc.com</t>
  </si>
  <si>
    <t>MCLD-3025</t>
  </si>
  <si>
    <t>AUTHENTIC Learning Labs</t>
  </si>
  <si>
    <t>https://authenticlearninglabs.com</t>
  </si>
  <si>
    <t>MCLD-3026</t>
  </si>
  <si>
    <t>Auto Tech</t>
  </si>
  <si>
    <t>MCLD-3027</t>
  </si>
  <si>
    <t>Avetta</t>
  </si>
  <si>
    <t>https://www.avetta.com</t>
  </si>
  <si>
    <t>MCLD-3028</t>
  </si>
  <si>
    <t>Avidii India</t>
  </si>
  <si>
    <t>https://avidii.com</t>
  </si>
  <si>
    <t>MCLD-3029</t>
  </si>
  <si>
    <t>AXEL INDIA (Academy for Experiential Learning)</t>
  </si>
  <si>
    <t>https://axelindia.org</t>
  </si>
  <si>
    <t>MCLD-3030</t>
  </si>
  <si>
    <t>AXI Education Solutions</t>
  </si>
  <si>
    <t>https://axieducation.com</t>
  </si>
  <si>
    <t>MCLD-3031</t>
  </si>
  <si>
    <t>AXIS Teletherapy</t>
  </si>
  <si>
    <t>https://axisteletherapy.com</t>
  </si>
  <si>
    <t>MCLD-3032</t>
  </si>
  <si>
    <t>Axxces Inc.</t>
  </si>
  <si>
    <t>https://www.axxces.com</t>
  </si>
  <si>
    <t>MCLD-3033</t>
  </si>
  <si>
    <t>Aztec</t>
  </si>
  <si>
    <t>MCLD-3034</t>
  </si>
  <si>
    <t>Baba Farid Institute Of Distance Education</t>
  </si>
  <si>
    <t>https://bfuhs.ac.in</t>
  </si>
  <si>
    <t>MCLD-3035</t>
  </si>
  <si>
    <t>Ballistic Learning</t>
  </si>
  <si>
    <t>https://ballisticlearning.com</t>
  </si>
  <si>
    <t>MCLD-3036</t>
  </si>
  <si>
    <t>BARBRI Inc.</t>
  </si>
  <si>
    <t>https://www.barbri.com</t>
  </si>
  <si>
    <t>MCLD-3037</t>
  </si>
  <si>
    <t>Bartleby Technologies Pvt Ltd</t>
  </si>
  <si>
    <t>https://www.bartleby.com</t>
  </si>
  <si>
    <t>MCLD-3038</t>
  </si>
  <si>
    <t>BBC Studios</t>
  </si>
  <si>
    <t>https://www.bbcstudios.com</t>
  </si>
  <si>
    <t>MCLD-3039</t>
  </si>
  <si>
    <t>BCTSchool</t>
  </si>
  <si>
    <t>https://bctschool.org</t>
  </si>
  <si>
    <t>MCLD-3040</t>
  </si>
  <si>
    <t>Beacon Academy of Nevada</t>
  </si>
  <si>
    <t>https://www.beaconacademynevada.org</t>
  </si>
  <si>
    <t>MCLD-3041</t>
  </si>
  <si>
    <t>Becoming Superhuman</t>
  </si>
  <si>
    <t>https://becomingsuperhuman.com</t>
  </si>
  <si>
    <t>MCLD-3042</t>
  </si>
  <si>
    <t>Beginning Career Institute</t>
  </si>
  <si>
    <t>https://beginningcareer.com</t>
  </si>
  <si>
    <t>MCLD-3043</t>
  </si>
  <si>
    <t>Belcan</t>
  </si>
  <si>
    <t>https://www.belcan.com</t>
  </si>
  <si>
    <t>MCLD-3044</t>
  </si>
  <si>
    <t>BenchPrep</t>
  </si>
  <si>
    <t>https://www.benchprep.com</t>
  </si>
  <si>
    <t>MCLD-3045</t>
  </si>
  <si>
    <t>Benesse India Pvt Ltd</t>
  </si>
  <si>
    <t>https://www.benesse.co.in</t>
  </si>
  <si>
    <t>MCLD-3046</t>
  </si>
  <si>
    <t>Bennington College</t>
  </si>
  <si>
    <t>https://www.bennington.edu</t>
  </si>
  <si>
    <t>MCLD-3047</t>
  </si>
  <si>
    <t>Benzometry Eduventures</t>
  </si>
  <si>
    <t>MCLD-3048</t>
  </si>
  <si>
    <t>Berkeley Coding Academy</t>
  </si>
  <si>
    <t>https://bootcamp.berkeley.edu</t>
  </si>
  <si>
    <t>MCLD-3049</t>
  </si>
  <si>
    <t>Bestselling Author</t>
  </si>
  <si>
    <t>MCLD-3050</t>
  </si>
  <si>
    <t>BFEduTech</t>
  </si>
  <si>
    <t>https://bfedutech.com</t>
  </si>
  <si>
    <t>MCLD-3051</t>
  </si>
  <si>
    <t>BHARALIS ACADEMY</t>
  </si>
  <si>
    <t>https://bharalisacademy.com</t>
  </si>
  <si>
    <t>MCLD-3052</t>
  </si>
  <si>
    <t>Bharat Shakti Foundation</t>
  </si>
  <si>
    <t>https://bharatshaktifoundation.org</t>
  </si>
  <si>
    <t>MCLD-3053</t>
  </si>
  <si>
    <t>Big Ideas Learning</t>
  </si>
  <si>
    <t>https://www.bigideasmath.com</t>
  </si>
  <si>
    <t>MCLD-3054</t>
  </si>
  <si>
    <t>Big4 Company</t>
  </si>
  <si>
    <t>MCLD-3055</t>
  </si>
  <si>
    <t>Bims Metrix Solutions</t>
  </si>
  <si>
    <t>https://bimsmetrix.com</t>
  </si>
  <si>
    <t>MCLD-3056</t>
  </si>
  <si>
    <t>BinaryMagnus Solutions Pvt Ltd</t>
  </si>
  <si>
    <t>https://binarymagnus.com</t>
  </si>
  <si>
    <t>MCLD-3057</t>
  </si>
  <si>
    <t>Biorasi</t>
  </si>
  <si>
    <t>https://www.biorasi.com</t>
  </si>
  <si>
    <t>MCLD-3058</t>
  </si>
  <si>
    <t>BISP Solutions Inc.</t>
  </si>
  <si>
    <t>https://www.bispsolutions.com</t>
  </si>
  <si>
    <t>MCLD-3059</t>
  </si>
  <si>
    <t>Bizivox Edtech Private Limited</t>
  </si>
  <si>
    <t>https://bizivox.com</t>
  </si>
  <si>
    <t>MCLD-3060</t>
  </si>
  <si>
    <t>BizLibrary</t>
  </si>
  <si>
    <t>https://www.bizlibrary.com</t>
  </si>
  <si>
    <t>MCLD-3061</t>
  </si>
  <si>
    <t>BK Lal Educational (OPC) Pvt Ltd</t>
  </si>
  <si>
    <t>https://bklaleducation.com</t>
  </si>
  <si>
    <t>MCLD-3062</t>
  </si>
  <si>
    <t>Blackboard E Learning Pvt Ltd</t>
  </si>
  <si>
    <t>https://www.blackboard.com</t>
  </si>
  <si>
    <t>MCLD-3063</t>
  </si>
  <si>
    <t>BlackCat Academy</t>
  </si>
  <si>
    <t>https://blackcatacademy.in</t>
  </si>
  <si>
    <t>MCLD-3064</t>
  </si>
  <si>
    <t>BlezGo</t>
  </si>
  <si>
    <t>https://blezgo.com</t>
  </si>
  <si>
    <t>MCLD-3065</t>
  </si>
  <si>
    <t>Bliss GenX</t>
  </si>
  <si>
    <t>MCLD-3066</t>
  </si>
  <si>
    <t>Blitz Learning Technologies Pvt. Ltd.</t>
  </si>
  <si>
    <t>https://blitzlearning.in</t>
  </si>
  <si>
    <t>MCLD-3067</t>
  </si>
  <si>
    <t>Blue Acorn iCi</t>
  </si>
  <si>
    <t>https://www.blueacornici.com</t>
  </si>
  <si>
    <t>MCLD-3068</t>
  </si>
  <si>
    <t>Blue Duck Education - Mangahigh.com</t>
  </si>
  <si>
    <t>https://www.mangahigh.com</t>
  </si>
  <si>
    <t>MCLD-3069</t>
  </si>
  <si>
    <t>Bluecube Technologies LLC</t>
  </si>
  <si>
    <t>https://bluecubeit.com</t>
  </si>
  <si>
    <t>MCLD-3070</t>
  </si>
  <si>
    <t>BlueDragon IPS</t>
  </si>
  <si>
    <t>https://www.bluedragonips.com</t>
  </si>
  <si>
    <t>MCLD-3071</t>
  </si>
  <si>
    <t>BlueNile Innovations</t>
  </si>
  <si>
    <t>MCLD-3072</t>
  </si>
  <si>
    <t>Blueprint Test Prep</t>
  </si>
  <si>
    <t>https://blueprintprep.com</t>
  </si>
  <si>
    <t>MCLD-3073</t>
  </si>
  <si>
    <t>Bombay Teen Challenge</t>
  </si>
  <si>
    <t>https://bombayteenchallenge.org</t>
  </si>
  <si>
    <t>MCLD-3074</t>
  </si>
  <si>
    <t>Bonjour &amp; Bienvenue</t>
  </si>
  <si>
    <t>MCLD-3075</t>
  </si>
  <si>
    <t>Boston Software Consultants India Private Limited</t>
  </si>
  <si>
    <t>https://www.bostonsoftwares.com</t>
  </si>
  <si>
    <t>MCLD-3076</t>
  </si>
  <si>
    <t>BrainPOP</t>
  </si>
  <si>
    <t>https://www.brainpop.com</t>
  </si>
  <si>
    <t>MCLD-3077</t>
  </si>
  <si>
    <t>BrainSTEM</t>
  </si>
  <si>
    <t>https://brainstem.org</t>
  </si>
  <si>
    <t>MCLD-3078</t>
  </si>
  <si>
    <t>BrandEd Holdings</t>
  </si>
  <si>
    <t>https://brandeducation.com</t>
  </si>
  <si>
    <t>MCLD-3079</t>
  </si>
  <si>
    <t>Brandon Hall Group</t>
  </si>
  <si>
    <t>https://www.brandonhall.com</t>
  </si>
  <si>
    <t>MCLD-3080</t>
  </si>
  <si>
    <t>BrenÃ© Brown Education and Research Group</t>
  </si>
  <si>
    <t>https://brenebrown.com</t>
  </si>
  <si>
    <t>MCLD-3081</t>
  </si>
  <si>
    <t>Brewin' Ideas Pvt Ltd</t>
  </si>
  <si>
    <t>https://brewinideas.com</t>
  </si>
  <si>
    <t>MCLD-3082</t>
  </si>
  <si>
    <t>BrightCHAMPS India (Formerly Metamorphosis Edu)</t>
  </si>
  <si>
    <t>https://brightchamps.com</t>
  </si>
  <si>
    <t>MCLD-3083</t>
  </si>
  <si>
    <t>Brio E-Labs Pvt. Ltd</t>
  </si>
  <si>
    <t>https://www.brioelabs.com</t>
  </si>
  <si>
    <t>MCLD-3084</t>
  </si>
  <si>
    <t>Building Something New</t>
  </si>
  <si>
    <t>MCLD-3085</t>
  </si>
  <si>
    <t>Bulb</t>
  </si>
  <si>
    <t>https://bulbapp.com</t>
  </si>
  <si>
    <t>MCLD-3086</t>
  </si>
  <si>
    <t>Burton Vision, dba</t>
  </si>
  <si>
    <t>MCLD-3087</t>
  </si>
  <si>
    <t>Business Science</t>
  </si>
  <si>
    <t>https://www.business-science.io</t>
  </si>
  <si>
    <t>MCLD-3088</t>
  </si>
  <si>
    <t>Butler Community College</t>
  </si>
  <si>
    <t>https://www.butlercc.edu</t>
  </si>
  <si>
    <t>MCLD-3089</t>
  </si>
  <si>
    <t>Butler Tech</t>
  </si>
  <si>
    <t>https://www.butlertech.org</t>
  </si>
  <si>
    <t>MCLD-3090</t>
  </si>
  <si>
    <t>BYJU'S FutureSchool</t>
  </si>
  <si>
    <t>https://byjusfutureschool.com</t>
  </si>
  <si>
    <t>MCLD-3091</t>
  </si>
  <si>
    <t>ByteLearn.com</t>
  </si>
  <si>
    <t>https://www.bytelearn.com</t>
  </si>
  <si>
    <t>MCLD-3092</t>
  </si>
  <si>
    <t>C&amp;K Management</t>
  </si>
  <si>
    <t>MCLD-3093</t>
  </si>
  <si>
    <t>C3 iT Xperts Pvt. Ltd</t>
  </si>
  <si>
    <t>https://c3itxperts.com</t>
  </si>
  <si>
    <t>MCLD-3094</t>
  </si>
  <si>
    <t>CA Modern Home</t>
  </si>
  <si>
    <t>MCLD-3095</t>
  </si>
  <si>
    <t>CADGRAF DIGITALS PVT LTD</t>
  </si>
  <si>
    <t>https://cadgraf.com</t>
  </si>
  <si>
    <t>MCLD-3096</t>
  </si>
  <si>
    <t>CAI</t>
  </si>
  <si>
    <t>https://www.cai.io</t>
  </si>
  <si>
    <t>MCLD-3097</t>
  </si>
  <si>
    <t>Caitlin Bacher LLC</t>
  </si>
  <si>
    <t>https://caitlinbacher.com</t>
  </si>
  <si>
    <t>MCLD-3098</t>
  </si>
  <si>
    <t>Calprus Technologies LLC</t>
  </si>
  <si>
    <t>https://calprus.com</t>
  </si>
  <si>
    <t>MCLD-3099</t>
  </si>
  <si>
    <t>Cambium Assessment</t>
  </si>
  <si>
    <t>https://www.cambiumassessment.com</t>
  </si>
  <si>
    <t>MCLD-3100</t>
  </si>
  <si>
    <t>Cambium Learning Group</t>
  </si>
  <si>
    <t>https://www.cambiumlearning.com</t>
  </si>
  <si>
    <t>MCLD-3101</t>
  </si>
  <si>
    <t>Cambly Inc.</t>
  </si>
  <si>
    <t>https://www.cambly.com</t>
  </si>
  <si>
    <t>MCLD-3102</t>
  </si>
  <si>
    <t>Cambridge Assessment</t>
  </si>
  <si>
    <t>https://www.cambridgeassessment.org.uk</t>
  </si>
  <si>
    <t>MCLD-3103</t>
  </si>
  <si>
    <t>Campus Financial</t>
  </si>
  <si>
    <t>https://campusfinancial.in</t>
  </si>
  <si>
    <t>MCLD-3104</t>
  </si>
  <si>
    <t>Candor Solutions LLP</t>
  </si>
  <si>
    <t>https://candorsolutions.in</t>
  </si>
  <si>
    <t>MCLD-3105</t>
  </si>
  <si>
    <t>Capgemini</t>
  </si>
  <si>
    <t>https://www.capgemini.com</t>
  </si>
  <si>
    <t>France (Global)</t>
  </si>
  <si>
    <t>MCLD-3106</t>
  </si>
  <si>
    <t>Capsim Management Simulations, Inc.</t>
  </si>
  <si>
    <t>https://www.capsim.com</t>
  </si>
  <si>
    <t>MCLD-3107</t>
  </si>
  <si>
    <t>Care Courses</t>
  </si>
  <si>
    <t>https://carecourses.com</t>
  </si>
  <si>
    <t>MCLD-3108</t>
  </si>
  <si>
    <t>Career Certified</t>
  </si>
  <si>
    <t>https://careercertified.com</t>
  </si>
  <si>
    <t>MCLD-3109</t>
  </si>
  <si>
    <t>Career Launcher Gurgaon</t>
  </si>
  <si>
    <t>https://www.careerlauncher.com</t>
  </si>
  <si>
    <t>MCLD-3110</t>
  </si>
  <si>
    <t>CareerAcademy.com Inc.</t>
  </si>
  <si>
    <t>https://careeracademy.com</t>
  </si>
  <si>
    <t>MCLD-3111</t>
  </si>
  <si>
    <t>CareerLearning</t>
  </si>
  <si>
    <t>https://careerlearning.com</t>
  </si>
  <si>
    <t>MCLD-3112</t>
  </si>
  <si>
    <t>Careers360</t>
  </si>
  <si>
    <t>https://www.careers360.com</t>
  </si>
  <si>
    <t>MCLD-3113</t>
  </si>
  <si>
    <t>Carly's Tinsel Tying</t>
  </si>
  <si>
    <t>MCLD-3114</t>
  </si>
  <si>
    <t>Carolina Biological Supply Company</t>
  </si>
  <si>
    <t>https://www.carolina.com</t>
  </si>
  <si>
    <t>MCLD-3115</t>
  </si>
  <si>
    <t>Casa Rio Restaurant LLC</t>
  </si>
  <si>
    <t>MCLD-3116</t>
  </si>
  <si>
    <t>Casper College</t>
  </si>
  <si>
    <t>https://www.caspercollege.edu</t>
  </si>
  <si>
    <t>MCLD-3117</t>
  </si>
  <si>
    <t>CAUNJ.ORG</t>
  </si>
  <si>
    <t>https://www.caunj.org</t>
  </si>
  <si>
    <t>MCLD-3118</t>
  </si>
  <si>
    <t>CCC The Learning Destination</t>
  </si>
  <si>
    <t>https://ccctld.com</t>
  </si>
  <si>
    <t>MCLD-3119</t>
  </si>
  <si>
    <t>CCS Learning Academy (Division of CCS Global Tech)</t>
  </si>
  <si>
    <t>https://ccsglobaltech.com</t>
  </si>
  <si>
    <t>MCLD-3120</t>
  </si>
  <si>
    <t>CE Group</t>
  </si>
  <si>
    <t>MCLD-3121</t>
  </si>
  <si>
    <t>CEC Educational Services LLC</t>
  </si>
  <si>
    <t>MCLD-3122</t>
  </si>
  <si>
    <t>Cengage</t>
  </si>
  <si>
    <t>https://www.cengage.com</t>
  </si>
  <si>
    <t>MCLD-3123</t>
  </si>
  <si>
    <t>Cengage India</t>
  </si>
  <si>
    <t>https://www.cengage.co.in</t>
  </si>
  <si>
    <t>MCLD-3124</t>
  </si>
  <si>
    <t>Center for Accessible Technology</t>
  </si>
  <si>
    <t>https://www.cforat.org</t>
  </si>
  <si>
    <t>MCLD-3125</t>
  </si>
  <si>
    <t>Center for Medical Education</t>
  </si>
  <si>
    <t>https://www.cmecourses.org</t>
  </si>
  <si>
    <t>MCLD-3126</t>
  </si>
  <si>
    <t>Centific</t>
  </si>
  <si>
    <t>https://www.centific.com</t>
  </si>
  <si>
    <t>MCLD-3127</t>
  </si>
  <si>
    <t>Centum Academy</t>
  </si>
  <si>
    <t>https://www.centumacademy.com</t>
  </si>
  <si>
    <t>MCLD-3128</t>
  </si>
  <si>
    <t>Cenveo</t>
  </si>
  <si>
    <t>https://www.cenveo.com</t>
  </si>
  <si>
    <t>MCLD-3129</t>
  </si>
  <si>
    <t>Cenveo Publisher Services - India (KGL)</t>
  </si>
  <si>
    <t>https://www.kglindia.com</t>
  </si>
  <si>
    <t>MCLD-3130</t>
  </si>
  <si>
    <t>Certera Solutions</t>
  </si>
  <si>
    <t>https://certerasolutions.com</t>
  </si>
  <si>
    <t>MCLD-3131</t>
  </si>
  <si>
    <t>Certified Training Institute</t>
  </si>
  <si>
    <t>MCLD-3132</t>
  </si>
  <si>
    <t>CertOcean.com</t>
  </si>
  <si>
    <t>https://www.certocean.com</t>
  </si>
  <si>
    <t>MCLD-3133</t>
  </si>
  <si>
    <t>Certus</t>
  </si>
  <si>
    <t>MCLD-3134</t>
  </si>
  <si>
    <t>Certybox</t>
  </si>
  <si>
    <t>https://certybox.com</t>
  </si>
  <si>
    <t>MCLD-3135</t>
  </si>
  <si>
    <t>Ceryx Digital</t>
  </si>
  <si>
    <t>https://ceryxdigital.com</t>
  </si>
  <si>
    <t>MCLD-3136</t>
  </si>
  <si>
    <t>CETPA Infotech Pvt. Ltd.</t>
  </si>
  <si>
    <t>https://www.cetpainfotech.com</t>
  </si>
  <si>
    <t>MCLD-3137</t>
  </si>
  <si>
    <t>CEV Multimedia, LLC</t>
  </si>
  <si>
    <t>https://www.cevmedia.com</t>
  </si>
  <si>
    <t>MCLD-3138</t>
  </si>
  <si>
    <t>ChildCare Education Institute</t>
  </si>
  <si>
    <t>https://www.cceionline.edu</t>
  </si>
  <si>
    <t>MCLD-3139</t>
  </si>
  <si>
    <t>Chris Miller Roofing</t>
  </si>
  <si>
    <t>https://chrismillerroofing.com</t>
  </si>
  <si>
    <t>MCLD-3140</t>
  </si>
  <si>
    <t>Chronicle Innovations</t>
  </si>
  <si>
    <t>MCLD-3141</t>
  </si>
  <si>
    <t>CIET, NCERT</t>
  </si>
  <si>
    <t>https://ciet.nic.in</t>
  </si>
  <si>
    <t>MCLD-3142</t>
  </si>
  <si>
    <t>CIT Rajnandgaon</t>
  </si>
  <si>
    <t>https://www.cit.ac.in</t>
  </si>
  <si>
    <t>MCLD-3143</t>
  </si>
  <si>
    <t>City College</t>
  </si>
  <si>
    <t>https://www.ccny.cuny.edu</t>
  </si>
  <si>
    <t>MCLD-3144</t>
  </si>
  <si>
    <t>Clapingo</t>
  </si>
  <si>
    <t>https://www.clapingo.com</t>
  </si>
  <si>
    <t>MCLD-3145</t>
  </si>
  <si>
    <t>Clark Center NYC</t>
  </si>
  <si>
    <t>https://clarkcenter.nyc</t>
  </si>
  <si>
    <t>MCLD-3146</t>
  </si>
  <si>
    <t>Classera</t>
  </si>
  <si>
    <t>https://www.classera.com</t>
  </si>
  <si>
    <t>MCLD-3147</t>
  </si>
  <si>
    <t>ClassLink</t>
  </si>
  <si>
    <t>https://www.classlink.com</t>
  </si>
  <si>
    <t>MCLD-3148</t>
  </si>
  <si>
    <t>ClearChoice Management Services</t>
  </si>
  <si>
    <t>https://www.clearchoice.com</t>
  </si>
  <si>
    <t>MCLD-3149</t>
  </si>
  <si>
    <t>Coastal Alabama Community College</t>
  </si>
  <si>
    <t>https://www.coastalalabama.edu</t>
  </si>
  <si>
    <t>MCLD-3150</t>
  </si>
  <si>
    <t>Codebucket Solutions Private Limited</t>
  </si>
  <si>
    <t>https://codebucket.in</t>
  </si>
  <si>
    <t>MCLD-3151</t>
  </si>
  <si>
    <t>codemantra</t>
  </si>
  <si>
    <t>https://www.codemantra.com</t>
  </si>
  <si>
    <t>MCLD-3152</t>
  </si>
  <si>
    <t>CodeMonkey</t>
  </si>
  <si>
    <t>https://www.codemonkey.com</t>
  </si>
  <si>
    <t>Israel</t>
  </si>
  <si>
    <t>MCLD-3153</t>
  </si>
  <si>
    <t>Codevidhya</t>
  </si>
  <si>
    <t>https://codevidhya.com</t>
  </si>
  <si>
    <t>MCLD-3154</t>
  </si>
  <si>
    <t>CodingHero</t>
  </si>
  <si>
    <t>https://www.codinghero.ai</t>
  </si>
  <si>
    <t>MCLD-3155</t>
  </si>
  <si>
    <t>Codon Learning</t>
  </si>
  <si>
    <t>https://codonlearning.com</t>
  </si>
  <si>
    <t>MCLD-3156</t>
  </si>
  <si>
    <t>Cognigix</t>
  </si>
  <si>
    <t>https://cognigix.com</t>
  </si>
  <si>
    <t>MCLD-3157</t>
  </si>
  <si>
    <t>Cognitel</t>
  </si>
  <si>
    <t>https://www.cognitel.com</t>
  </si>
  <si>
    <t>MCLD-3158</t>
  </si>
  <si>
    <t>Cognitive Advisors, LLC</t>
  </si>
  <si>
    <t>https://cognitiveadvisors.com</t>
  </si>
  <si>
    <t>MCLD-3159</t>
  </si>
  <si>
    <t>Cognixia</t>
  </si>
  <si>
    <t>https://www.cognixia.com</t>
  </si>
  <si>
    <t>MCLD-3160</t>
  </si>
  <si>
    <t>Coker Training and Education</t>
  </si>
  <si>
    <t>https://www.cokeredu.com</t>
  </si>
  <si>
    <t>MCLD-3161</t>
  </si>
  <si>
    <t>Colibri Group</t>
  </si>
  <si>
    <t>https://www.colibrigroup.com</t>
  </si>
  <si>
    <t>MCLD-3162</t>
  </si>
  <si>
    <t>CollegePass</t>
  </si>
  <si>
    <t>https://collegepass.org</t>
  </si>
  <si>
    <t>MCLD-3163</t>
  </si>
  <si>
    <t>https://www.commlabindia.com</t>
  </si>
  <si>
    <t>MCLD-3164</t>
  </si>
  <si>
    <t>Community Connections Northeast Ohio</t>
  </si>
  <si>
    <t>https://ccneo.org</t>
  </si>
  <si>
    <t>MCLD-3165</t>
  </si>
  <si>
    <t>Competentum USA</t>
  </si>
  <si>
    <t>https://competentum.com</t>
  </si>
  <si>
    <t>MCLD-3166</t>
  </si>
  <si>
    <t>Compunnel</t>
  </si>
  <si>
    <t>https://www.compunnel.com</t>
  </si>
  <si>
    <t>MCLD-3167</t>
  </si>
  <si>
    <t>Concord Learning Group, LLC</t>
  </si>
  <si>
    <t>https://concordlearninggroup.com</t>
  </si>
  <si>
    <t>MCLD-3168</t>
  </si>
  <si>
    <t>Conduent</t>
  </si>
  <si>
    <t>https://www.conduent.com</t>
  </si>
  <si>
    <t>MCLD-3169</t>
  </si>
  <si>
    <t>Connecting Duniya</t>
  </si>
  <si>
    <t>https://connectingduniya.com</t>
  </si>
  <si>
    <t>MCLD-3170</t>
  </si>
  <si>
    <t>Constructionist Learning</t>
  </si>
  <si>
    <t>https://constructionistlearning.com</t>
  </si>
  <si>
    <t>MCLD-3171</t>
  </si>
  <si>
    <t>Consultant for Instructional Design</t>
  </si>
  <si>
    <t>MCLD-3172</t>
  </si>
  <si>
    <t>Content Enablers Inc.</t>
  </si>
  <si>
    <t>https://www.contentenablers.com</t>
  </si>
  <si>
    <t>MCLD-3173</t>
  </si>
  <si>
    <t>Continual Engine</t>
  </si>
  <si>
    <t>https://continualengine.com</t>
  </si>
  <si>
    <t>MCLD-3174</t>
  </si>
  <si>
    <t>Cordova Publications</t>
  </si>
  <si>
    <t>https://cordovapublications.com</t>
  </si>
  <si>
    <t>MCLD-3175</t>
  </si>
  <si>
    <t>CoreAxis Consulting</t>
  </si>
  <si>
    <t>https://www.coreaxis.com</t>
  </si>
  <si>
    <t>MCLD-3176</t>
  </si>
  <si>
    <t>Corexcel</t>
  </si>
  <si>
    <t>https://www.corexcel.com</t>
  </si>
  <si>
    <t>MCLD-3177</t>
  </si>
  <si>
    <t>Corporate Finance InstituteÂ® (CFI)</t>
  </si>
  <si>
    <t>https://corporatefinanceinstitute.com</t>
  </si>
  <si>
    <t>MCLD-3178</t>
  </si>
  <si>
    <t>Corporatesim.com</t>
  </si>
  <si>
    <t>https://www.corporatesim.com</t>
  </si>
  <si>
    <t>MCLD-3179</t>
  </si>
  <si>
    <t>Corpus learning</t>
  </si>
  <si>
    <t>https://corpuslearning.com</t>
  </si>
  <si>
    <t>MCLD-3180</t>
  </si>
  <si>
    <t>Corsair Strategies Ltd.</t>
  </si>
  <si>
    <t>https://corsairstrategies.com</t>
  </si>
  <si>
    <t>MCLD-3181</t>
  </si>
  <si>
    <t>Cosmic Global Private Limited</t>
  </si>
  <si>
    <t>https://cosmicglobal.com</t>
  </si>
  <si>
    <t>MCLD-3182</t>
  </si>
  <si>
    <t>Course Craft Solutions</t>
  </si>
  <si>
    <t>MCLD-3183</t>
  </si>
  <si>
    <t>CourseFactory</t>
  </si>
  <si>
    <t>https://www.coursefactory.ai</t>
  </si>
  <si>
    <t>MCLD-3184</t>
  </si>
  <si>
    <t>Cox Campus</t>
  </si>
  <si>
    <t>https://www.coxcampus.org</t>
  </si>
  <si>
    <t>MCLD-3185</t>
  </si>
  <si>
    <t>Cramster E-Learning Services Pvt Ltd</t>
  </si>
  <si>
    <t>https://www.cramster.com</t>
  </si>
  <si>
    <t>MCLD-3186</t>
  </si>
  <si>
    <t>Crazy For Study</t>
  </si>
  <si>
    <t>https://www.crazyforstudy.com</t>
  </si>
  <si>
    <t>MCLD-3187</t>
  </si>
  <si>
    <t>Creativ Technologies</t>
  </si>
  <si>
    <t>MCLD-3188</t>
  </si>
  <si>
    <t>Creative Pacific Inc .PH</t>
  </si>
  <si>
    <t>https://creativepacific.com</t>
  </si>
  <si>
    <t>MCLD-3189</t>
  </si>
  <si>
    <t>Creative Visions Foundation</t>
  </si>
  <si>
    <t>https://creativevisions.org</t>
  </si>
  <si>
    <t>MCLD-3190</t>
  </si>
  <si>
    <t>CREST Champs</t>
  </si>
  <si>
    <t>https://crestchamps.com</t>
  </si>
  <si>
    <t>MCLD-3191</t>
  </si>
  <si>
    <t>CREST Olympiads</t>
  </si>
  <si>
    <t>https://www.crestolympiads.com</t>
  </si>
  <si>
    <t>MCLD-3192</t>
  </si>
  <si>
    <t>Crocodiles International</t>
  </si>
  <si>
    <t>https://crocodiles.in</t>
  </si>
  <si>
    <t>MCLD-3193</t>
  </si>
  <si>
    <t>Crowd Engine Inc.</t>
  </si>
  <si>
    <t>https://crowdengine.ai</t>
  </si>
  <si>
    <t>MCLD-3194</t>
  </si>
  <si>
    <t>Cruisecoders</t>
  </si>
  <si>
    <t>https://cruisecoders.com</t>
  </si>
  <si>
    <t>MCLD-3195</t>
  </si>
  <si>
    <t>Crystal Delta</t>
  </si>
  <si>
    <t>https://crystaldelta.com</t>
  </si>
  <si>
    <t>MCLD-3196</t>
  </si>
  <si>
    <t>CU2 LLC</t>
  </si>
  <si>
    <t>https://cu2.ai</t>
  </si>
  <si>
    <t>MCLD-3197</t>
  </si>
  <si>
    <t>CubeDigiCo Incorporated</t>
  </si>
  <si>
    <t>https://cubedigico.com</t>
  </si>
  <si>
    <t>MCLD-3198</t>
  </si>
  <si>
    <t>Cue Learn</t>
  </si>
  <si>
    <t>https://cuelearn.com</t>
  </si>
  <si>
    <t>MCLD-3199</t>
  </si>
  <si>
    <t>Curriculum Advantage</t>
  </si>
  <si>
    <t>https://curriculumadvantage.com</t>
  </si>
  <si>
    <t>MCLD-3200</t>
  </si>
  <si>
    <t>Custom Learning Designs (CLD)</t>
  </si>
  <si>
    <t>https://customlearningdesigns.com</t>
  </si>
  <si>
    <t>MCLD-3201</t>
  </si>
  <si>
    <t>Cybershala.com Inc</t>
  </si>
  <si>
    <t>https://www.cybershala.com</t>
  </si>
  <si>
    <t>MCLD-3202</t>
  </si>
  <si>
    <t>Daniel Code Productions, Inc.</t>
  </si>
  <si>
    <t>https://danielcode.com</t>
  </si>
  <si>
    <t>MCLD-3203</t>
  </si>
  <si>
    <t>Dark Wolf Solutions</t>
  </si>
  <si>
    <t>https://www.darkwolfsolutions.com</t>
  </si>
  <si>
    <t>MCLD-3204</t>
  </si>
  <si>
    <t>DBMCI</t>
  </si>
  <si>
    <t>https://www.dbmci.com</t>
  </si>
  <si>
    <t>MCLD-3205</t>
  </si>
  <si>
    <t>Defence Taiyari</t>
  </si>
  <si>
    <t>https://www.defencetaiyari.com</t>
  </si>
  <si>
    <t>MCLD-3206</t>
  </si>
  <si>
    <t>Delhi Academy of Medical Sciences</t>
  </si>
  <si>
    <t>https://damsdelhi.com</t>
  </si>
  <si>
    <t>MCLD-3207</t>
  </si>
  <si>
    <t>DelphianLogic Technologies</t>
  </si>
  <si>
    <t>https://www.delphianlogic.com</t>
  </si>
  <si>
    <t>MCLD-3208</t>
  </si>
  <si>
    <t>Delphinus Technologies</t>
  </si>
  <si>
    <t>https://www.delphinus.co.in</t>
  </si>
  <si>
    <t>MCLD-3209</t>
  </si>
  <si>
    <t>Kaplan Higher Education</t>
  </si>
  <si>
    <t>https://www.kaplan.com</t>
  </si>
  <si>
    <t>MCLD-3210</t>
  </si>
  <si>
    <t>Kaplan Test Prep Health</t>
  </si>
  <si>
    <t>https://www.kaptest.com</t>
  </si>
  <si>
    <t>MCLD-3211</t>
  </si>
  <si>
    <t>KCG Learning Resources Pvt Ltd</t>
  </si>
  <si>
    <t>MCLD-3212</t>
  </si>
  <si>
    <t>Keducon E-Learning</t>
  </si>
  <si>
    <t>https://www.keducon.com</t>
  </si>
  <si>
    <t>MCLD-3213</t>
  </si>
  <si>
    <t>Ken Institute Of Executive Learning</t>
  </si>
  <si>
    <t>https://www.kiel.co.in</t>
  </si>
  <si>
    <t>MCLD-3214</t>
  </si>
  <si>
    <t>Key Point Technologies</t>
  </si>
  <si>
    <t>https://www.keypointtech.com</t>
  </si>
  <si>
    <t>MCLD-3215</t>
  </si>
  <si>
    <t>KICO EDUCATIONAL PVT LTD</t>
  </si>
  <si>
    <t>https://www.kicoedu.com</t>
  </si>
  <si>
    <t>MCLD-3216</t>
  </si>
  <si>
    <t>Kinderkids Learning Center &amp; Preschool</t>
  </si>
  <si>
    <t>https://www.kinderkids.com</t>
  </si>
  <si>
    <t>MCLD-3217</t>
  </si>
  <si>
    <t>Kinetic Learning, Inc.</t>
  </si>
  <si>
    <t>https://www.kineticlearning.com</t>
  </si>
  <si>
    <t>MCLD-3218</t>
  </si>
  <si>
    <t>KnowFully Learning Group</t>
  </si>
  <si>
    <t>https://www.knowfully.com</t>
  </si>
  <si>
    <t>MCLD-3219</t>
  </si>
  <si>
    <t>Knowledge Cultivator</t>
  </si>
  <si>
    <t>MCLD-3220</t>
  </si>
  <si>
    <t>Knowledge Synonyms</t>
  </si>
  <si>
    <t>MCLD-3221</t>
  </si>
  <si>
    <t>Knowledge Universe Technologies</t>
  </si>
  <si>
    <t>MCLD-3222</t>
  </si>
  <si>
    <t>KnowledgeHut upGrad</t>
  </si>
  <si>
    <t>https://www.knowledgehut.com</t>
  </si>
  <si>
    <t>MCLD-3223</t>
  </si>
  <si>
    <t>KnowledgeQ</t>
  </si>
  <si>
    <t>https://www.knowledgeq.com</t>
  </si>
  <si>
    <t>MCLD-3224</t>
  </si>
  <si>
    <t>KnowledgeStart, Inc.</t>
  </si>
  <si>
    <t>https://www.knowledgestart.com</t>
  </si>
  <si>
    <t>MCLD-3225</t>
  </si>
  <si>
    <t>KnowledgeWorks Global Ltd.</t>
  </si>
  <si>
    <t>https://www.kgllearning.com</t>
  </si>
  <si>
    <t>MCLD-3226</t>
  </si>
  <si>
    <t>Kodeco</t>
  </si>
  <si>
    <t>https://www.kodeco.com</t>
  </si>
  <si>
    <t>MCLD-3227</t>
  </si>
  <si>
    <t>Kubicle</t>
  </si>
  <si>
    <t>https://www.kubicle.com</t>
  </si>
  <si>
    <t>MCLD-3228</t>
  </si>
  <si>
    <t>Kyteway eLearning</t>
  </si>
  <si>
    <t>https://www.kyteway.com</t>
  </si>
  <si>
    <t>MCLD-3229</t>
  </si>
  <si>
    <t>L&amp;T EduTech</t>
  </si>
  <si>
    <t>https://www.lntedutech.com</t>
  </si>
  <si>
    <t>MCLD-3230</t>
  </si>
  <si>
    <t>Lambence Pvt Ltd</t>
  </si>
  <si>
    <t>MCLD-3231</t>
  </si>
  <si>
    <t>LaSalle College H.S.</t>
  </si>
  <si>
    <t>https://www.lasallecollege.com</t>
  </si>
  <si>
    <t>MCLD-3232</t>
  </si>
  <si>
    <t>LawSikho</t>
  </si>
  <si>
    <t>https://lawsikho.com</t>
  </si>
  <si>
    <t>MCLD-3233</t>
  </si>
  <si>
    <t>LearnApp</t>
  </si>
  <si>
    <t>https://learnapp.com</t>
  </si>
  <si>
    <t>MCLD-3234</t>
  </si>
  <si>
    <t>LearnClue Edtech Pvt Ltd</t>
  </si>
  <si>
    <t>MCLD-3235</t>
  </si>
  <si>
    <t>LearnFromGuru</t>
  </si>
  <si>
    <t>https://www.learnfromguru.com</t>
  </si>
  <si>
    <t>MCLD-3236</t>
  </si>
  <si>
    <t>Learning A-Z</t>
  </si>
  <si>
    <t>https://www.learninga-z.com</t>
  </si>
  <si>
    <t>MCLD-3237</t>
  </si>
  <si>
    <t>Learning Ati</t>
  </si>
  <si>
    <t>MCLD-3238</t>
  </si>
  <si>
    <t>Learning Innovations</t>
  </si>
  <si>
    <t>https://www.learninginnovations.com</t>
  </si>
  <si>
    <t>MCLD-3239</t>
  </si>
  <si>
    <t>Learning Routes Pvt. Ltd.</t>
  </si>
  <si>
    <t>https://www.learningroutes.in</t>
  </si>
  <si>
    <t>MCLD-3240</t>
  </si>
  <si>
    <t>Learning Sciences International</t>
  </si>
  <si>
    <t>https://www.learningsciences.com</t>
  </si>
  <si>
    <t>MCLD-3241</t>
  </si>
  <si>
    <t>Learning Systems Store</t>
  </si>
  <si>
    <t>https://www.learningsystemsgroup.com</t>
  </si>
  <si>
    <t>MCLD-3242</t>
  </si>
  <si>
    <t>Learnlight</t>
  </si>
  <si>
    <t>https://www.learnlight.com</t>
  </si>
  <si>
    <t>MCLD-3243</t>
  </si>
  <si>
    <t>LearNow</t>
  </si>
  <si>
    <t>https://www.learnow.com</t>
  </si>
  <si>
    <t>MCLD-3244</t>
  </si>
  <si>
    <t>LearnSkin</t>
  </si>
  <si>
    <t>https://www.learnskin.com</t>
  </si>
  <si>
    <t>MCLD-3245</t>
  </si>
  <si>
    <t>LEdOrbis Solutions</t>
  </si>
  <si>
    <t>https://www.ledorbis.com</t>
  </si>
  <si>
    <t>MCLD-3246</t>
  </si>
  <si>
    <t>Lexia Learning, a Cambium Company</t>
  </si>
  <si>
    <t>https://www.lexialearning.com</t>
  </si>
  <si>
    <t>MCLD-3247</t>
  </si>
  <si>
    <t>LifeBoard Edu Solutions Pvt Ltd</t>
  </si>
  <si>
    <t>https://www.lifeboard.in</t>
  </si>
  <si>
    <t>MCLD-3248</t>
  </si>
  <si>
    <t>LIGHTLUX</t>
  </si>
  <si>
    <t>MCLD-3249</t>
  </si>
  <si>
    <t>Lika Learning</t>
  </si>
  <si>
    <t>MCLD-3250</t>
  </si>
  <si>
    <t>Limit Infinity Academy</t>
  </si>
  <si>
    <t>MCLD-3251</t>
  </si>
  <si>
    <t>Lindsey Wilson College</t>
  </si>
  <si>
    <t>https://www.lindsey.edu</t>
  </si>
  <si>
    <t>MCLD-3252</t>
  </si>
  <si>
    <t>Lingco Language Labs</t>
  </si>
  <si>
    <t>https://www.lingco.com</t>
  </si>
  <si>
    <t>MCLD-3253</t>
  </si>
  <si>
    <t>Liqvid English Edge Pvt. Ltd</t>
  </si>
  <si>
    <t>https://www.liqvid.com</t>
  </si>
  <si>
    <t>MCLD-3254</t>
  </si>
  <si>
    <t>Little Millennium Education Pvt Ltd</t>
  </si>
  <si>
    <t>https://www.littlemillennium.com</t>
  </si>
  <si>
    <t>MCLD-3255</t>
  </si>
  <si>
    <t>Little Thinking Minds LTD</t>
  </si>
  <si>
    <t>https://www.littlethinkingminds.com</t>
  </si>
  <si>
    <t>MCLD-3256</t>
  </si>
  <si>
    <t>London College Of Online Learning</t>
  </si>
  <si>
    <t>https://www.londoncollegeofonlinelearning.com</t>
  </si>
  <si>
    <t>MCLD-3257</t>
  </si>
  <si>
    <t>Lozeron Academy LLC</t>
  </si>
  <si>
    <t>MCLD-3258</t>
  </si>
  <si>
    <t>LSU Online &amp; Continuing Education</t>
  </si>
  <si>
    <t>https://online.lsu.edu</t>
  </si>
  <si>
    <t>MCLD-3259</t>
  </si>
  <si>
    <t>LTIMindtree</t>
  </si>
  <si>
    <t>https://www.ltimindtree.com</t>
  </si>
  <si>
    <t>MCLD-3260</t>
  </si>
  <si>
    <t>Lucreskill Tech Pvt. Ltd.</t>
  </si>
  <si>
    <t>https://www.lucreskill.com</t>
  </si>
  <si>
    <t>MCLD-3261</t>
  </si>
  <si>
    <t>Lumens Academy</t>
  </si>
  <si>
    <t>https://www.lumensacademy.com</t>
  </si>
  <si>
    <t>MCLD-3262</t>
  </si>
  <si>
    <t>Lumina Datamatics</t>
  </si>
  <si>
    <t>https://www.luminadatamatics.com</t>
  </si>
  <si>
    <t>MCLD-3263</t>
  </si>
  <si>
    <t>Lynda.com</t>
  </si>
  <si>
    <t>https://www.linkedin.com/learning</t>
  </si>
  <si>
    <t>MCLD-3264</t>
  </si>
  <si>
    <t>Lynkube</t>
  </si>
  <si>
    <t>https://www.lynkube.com</t>
  </si>
  <si>
    <t>MCLD-3265</t>
  </si>
  <si>
    <t>M-Educate</t>
  </si>
  <si>
    <t>https://www.m-educate.com</t>
  </si>
  <si>
    <t>MCLD-3266</t>
  </si>
  <si>
    <t>MA DOR - Employee Training and Development</t>
  </si>
  <si>
    <t>https://www.mass.gov/orgs/department-of-revenue</t>
  </si>
  <si>
    <t>MCLD-3267</t>
  </si>
  <si>
    <t>Maa Sharda Institute of Technology Education</t>
  </si>
  <si>
    <t>MCLD-3268</t>
  </si>
  <si>
    <t>Macmillan Learning</t>
  </si>
  <si>
    <t>https://www.macmillanlearning.com</t>
  </si>
  <si>
    <t>MCLD-3269</t>
  </si>
  <si>
    <t>MAD-learn</t>
  </si>
  <si>
    <t>https://www.mad-learn.com</t>
  </si>
  <si>
    <t>MCLD-3270</t>
  </si>
  <si>
    <t>MagnetCA</t>
  </si>
  <si>
    <t>https://www.magnetca.com</t>
  </si>
  <si>
    <t>MCLD-3271</t>
  </si>
  <si>
    <t>Mahalearning Education Pvt Ltd.,</t>
  </si>
  <si>
    <t>https://www.mahalearning.com</t>
  </si>
  <si>
    <t>MCLD-3272</t>
  </si>
  <si>
    <t>Maieutic technologies pvt.ltd</t>
  </si>
  <si>
    <t>https://www.maieutictech.com</t>
  </si>
  <si>
    <t>MCLD-3273</t>
  </si>
  <si>
    <t>MaiTyme</t>
  </si>
  <si>
    <t>https://www.maityme.com</t>
  </si>
  <si>
    <t>MCLD-3274</t>
  </si>
  <si>
    <t>Maketric EdSolution</t>
  </si>
  <si>
    <t>MCLD-3275</t>
  </si>
  <si>
    <t>Mango Academy</t>
  </si>
  <si>
    <t>MCLD-3276</t>
  </si>
  <si>
    <t>Mango Languages</t>
  </si>
  <si>
    <t>https://www.mangolanguages.com</t>
  </si>
  <si>
    <t>MCLD-3277</t>
  </si>
  <si>
    <t>Marco Learning</t>
  </si>
  <si>
    <t>https://www.marcolearning.com</t>
  </si>
  <si>
    <t>MCLD-3278</t>
  </si>
  <si>
    <t>MARSTE Training Services (MTS)</t>
  </si>
  <si>
    <t>MCLD-3279</t>
  </si>
  <si>
    <t>Massive IT Solutions Private Limited</t>
  </si>
  <si>
    <t>https://www.massiveitsolutions.com</t>
  </si>
  <si>
    <t>MCLD-3280</t>
  </si>
  <si>
    <t>Masters Software System Pvt Ltd</t>
  </si>
  <si>
    <t>https://www.mastersoffice.com</t>
  </si>
  <si>
    <t>MCLD-3281</t>
  </si>
  <si>
    <t>Math Buddy</t>
  </si>
  <si>
    <t>https://www.mathbuddy.co</t>
  </si>
  <si>
    <t>MCLD-3282</t>
  </si>
  <si>
    <t>Meazure Learning</t>
  </si>
  <si>
    <t>https://www.meazurelearning.com</t>
  </si>
  <si>
    <t>MCLD-3283</t>
  </si>
  <si>
    <t>Mediology Software Pvt. Ltd.</t>
  </si>
  <si>
    <t>https://www.mediologysoftware.com</t>
  </si>
  <si>
    <t>MCLD-3284</t>
  </si>
  <si>
    <t>MEdRC Edutech Ltd</t>
  </si>
  <si>
    <t>https://www.medrcedu.com</t>
  </si>
  <si>
    <t>MCLD-3285</t>
  </si>
  <si>
    <t>Meduneter.com</t>
  </si>
  <si>
    <t>MCLD-3286</t>
  </si>
  <si>
    <t>Medvarsity Online Ltd.</t>
  </si>
  <si>
    <t>https://www.medvarsity.com</t>
  </si>
  <si>
    <t>MCLD-3287</t>
  </si>
  <si>
    <t>Meltingpot</t>
  </si>
  <si>
    <t>https://www.meltingpot.com</t>
  </si>
  <si>
    <t>MCLD-3288</t>
  </si>
  <si>
    <t>Memorytrix Innovations</t>
  </si>
  <si>
    <t>https://www.memorytrix.com</t>
  </si>
  <si>
    <t>MCLD-3289</t>
  </si>
  <si>
    <t>Mentor Nest - E Learning Solution</t>
  </si>
  <si>
    <t>MCLD-3290</t>
  </si>
  <si>
    <t>Meritnation.com</t>
  </si>
  <si>
    <t>https://www.meritnation.com</t>
  </si>
  <si>
    <t>MCLD-3291</t>
  </si>
  <si>
    <t>Metrice</t>
  </si>
  <si>
    <t>https://www.metrice.com</t>
  </si>
  <si>
    <t>MCLD-3292</t>
  </si>
  <si>
    <t>Mg Concept</t>
  </si>
  <si>
    <t>MCLD-3293</t>
  </si>
  <si>
    <t>MidSchoolMath</t>
  </si>
  <si>
    <t>https://www.midschoolmath.com</t>
  </si>
  <si>
    <t>MCLD-3294</t>
  </si>
  <si>
    <t>Miestro</t>
  </si>
  <si>
    <t>https://www.miestro.com</t>
  </si>
  <si>
    <t>MCLD-3295</t>
  </si>
  <si>
    <t>Miles Education</t>
  </si>
  <si>
    <t>https://www.mileseducation.com</t>
  </si>
  <si>
    <t>MCLD-3296</t>
  </si>
  <si>
    <t>Millionaire Coaching</t>
  </si>
  <si>
    <t>https://www.millionairecoaching.com</t>
  </si>
  <si>
    <t>MCLD-3297</t>
  </si>
  <si>
    <t>Mind Shaper Technologies Pvt. Ltd.</t>
  </si>
  <si>
    <t>https://www.mindshapertech.com</t>
  </si>
  <si>
    <t>MCLD-3298</t>
  </si>
  <si>
    <t>MindPlay</t>
  </si>
  <si>
    <t>https://www.mindplay.com</t>
  </si>
  <si>
    <t>MCLD-3299</t>
  </si>
  <si>
    <t>Mindvalley</t>
  </si>
  <si>
    <t>https://www.mindvalley.com</t>
  </si>
  <si>
    <t>MCLD-3300</t>
  </si>
  <si>
    <t>Mindworkzz</t>
  </si>
  <si>
    <t>https://www.mindworkzz.com</t>
  </si>
  <si>
    <t>MCLD-3301</t>
  </si>
  <si>
    <t>Missouri Online</t>
  </si>
  <si>
    <t>https://online.missouri.edu</t>
  </si>
  <si>
    <t>MCLD-3302</t>
  </si>
  <si>
    <t>Mittsure Technologies LLP</t>
  </si>
  <si>
    <t>https://www.mittsure.com</t>
  </si>
  <si>
    <t>MCLD-3303</t>
  </si>
  <si>
    <t>Model Engineering College</t>
  </si>
  <si>
    <t>https://www.mec.ac.in</t>
  </si>
  <si>
    <t>MCLD-3304</t>
  </si>
  <si>
    <t>MPA PROJECTS PRIVATE LIMITED</t>
  </si>
  <si>
    <t>MCLD-3305</t>
  </si>
  <si>
    <t>MPS Limited</t>
  </si>
  <si>
    <t>https://www.mpslimited.com</t>
  </si>
  <si>
    <t>MCLD-3306</t>
  </si>
  <si>
    <t>MRAcosta Consulting &amp; Publishing</t>
  </si>
  <si>
    <t>MCLD-3307</t>
  </si>
  <si>
    <t>MTG Learning Media Pvt. Ltd. (MTG Books)</t>
  </si>
  <si>
    <t>https://www.mtgbooks.com</t>
  </si>
  <si>
    <t>MCLD-3308</t>
  </si>
  <si>
    <t>MTUTOR (www.m-tutor.com)</t>
  </si>
  <si>
    <t>https://www.m-tutor.com</t>
  </si>
  <si>
    <t>MCLD-3309</t>
  </si>
  <si>
    <t>Multilingualbooks</t>
  </si>
  <si>
    <t>https://www.multilingualbooks.com</t>
  </si>
  <si>
    <t>MCLD-3310</t>
  </si>
  <si>
    <t>My Buddy Tutor</t>
  </si>
  <si>
    <t>https://www.mybuddytutor.com</t>
  </si>
  <si>
    <t>MCLD-3311</t>
  </si>
  <si>
    <t>My Tutee Pvt Ltd</t>
  </si>
  <si>
    <t>https://www.mytutee.in</t>
  </si>
  <si>
    <t>MCLD-3312</t>
  </si>
  <si>
    <t>MYCANVAS EDUCATION SERVICES PRIVATE LIMITED</t>
  </si>
  <si>
    <t>https://www.mycanvas.ai</t>
  </si>
  <si>
    <t>MCLD-3313</t>
  </si>
  <si>
    <t>mysmartsenses.com</t>
  </si>
  <si>
    <t>https://mysmartsenses.com</t>
  </si>
  <si>
    <t>MCLD-3314</t>
  </si>
  <si>
    <t>Narayana Academy</t>
  </si>
  <si>
    <t>https://www.narayanagroup.com</t>
  </si>
  <si>
    <t>MCLD-3315</t>
  </si>
  <si>
    <t>Narayana's The Learning App</t>
  </si>
  <si>
    <t>https://www.nlearnapp.com</t>
  </si>
  <si>
    <t>MCLD-3316</t>
  </si>
  <si>
    <t>National Geographic Learning</t>
  </si>
  <si>
    <t>https://www.eltngl.com</t>
  </si>
  <si>
    <t>MCLD-3317</t>
  </si>
  <si>
    <t>National Institute of Digital Education</t>
  </si>
  <si>
    <t>https://www.nide.co.in</t>
  </si>
  <si>
    <t>MCLD-3318</t>
  </si>
  <si>
    <t>NAVEX Global</t>
  </si>
  <si>
    <t>https://www.navex.com</t>
  </si>
  <si>
    <t>MCLD-3319</t>
  </si>
  <si>
    <t>Navigators British Academy</t>
  </si>
  <si>
    <t>MCLD-3320</t>
  </si>
  <si>
    <t>Navis Learning</t>
  </si>
  <si>
    <t>https://www.navislearning.com</t>
  </si>
  <si>
    <t>MCLD-3321</t>
  </si>
  <si>
    <t>Navitus Education Private Limited</t>
  </si>
  <si>
    <t>https://www.navitusedu.com</t>
  </si>
  <si>
    <t>MCLD-3322</t>
  </si>
  <si>
    <t>NBS Gurukul</t>
  </si>
  <si>
    <t>https://www.nbsgurukul.com</t>
  </si>
  <si>
    <t>MCLD-3323</t>
  </si>
  <si>
    <t>NCR Eduservices Pvt. Ltd.</t>
  </si>
  <si>
    <t>https://www.ncreduservices.com</t>
  </si>
  <si>
    <t>MCLD-3324</t>
  </si>
  <si>
    <t>Nedge Technologies Pvt. Ltd</t>
  </si>
  <si>
    <t>https://www.nedgetech.com</t>
  </si>
  <si>
    <t>MCLD-3325</t>
  </si>
  <si>
    <t>Net Imagine Educomp Pvt.Ltd</t>
  </si>
  <si>
    <t>https://www.netimagine.com</t>
  </si>
  <si>
    <t>MCLD-3326</t>
  </si>
  <si>
    <t>NetCom Learning</t>
  </si>
  <si>
    <t>https://www.netcomlearning.com</t>
  </si>
  <si>
    <t>MCLD-3327</t>
  </si>
  <si>
    <t>Netfinity Software Services Pvt Ltd</t>
  </si>
  <si>
    <t>https://www.netfinitysoft.com</t>
  </si>
  <si>
    <t>MCLD-3328</t>
  </si>
  <si>
    <t>NETWORKERS EDUHOME PRIVATE LIMITED</t>
  </si>
  <si>
    <t>MCLD-3329</t>
  </si>
  <si>
    <t>NexLearn</t>
  </si>
  <si>
    <t>https://www.nexlearn.com</t>
  </si>
  <si>
    <t>MCLD-3330</t>
  </si>
  <si>
    <t>Next Education India Pvt Ltd</t>
  </si>
  <si>
    <t>https://www.nexteducation.in</t>
  </si>
  <si>
    <t>MCLD-3331</t>
  </si>
  <si>
    <t>Next Generation Technologies Research Foundation</t>
  </si>
  <si>
    <t>MCLD-3332</t>
  </si>
  <si>
    <t>Next Step Test Preparation LLC</t>
  </si>
  <si>
    <t>https://www.nextsteptestprep.com</t>
  </si>
  <si>
    <t>MCLD-3333</t>
  </si>
  <si>
    <t>Next-Level Learning LLC</t>
  </si>
  <si>
    <t>MCLD-3334</t>
  </si>
  <si>
    <t>NEXTIAS, a Unit of Made Easy Group</t>
  </si>
  <si>
    <t>https://www.nextias.com</t>
  </si>
  <si>
    <t>MCLD-3335</t>
  </si>
  <si>
    <t>NextLeap</t>
  </si>
  <si>
    <t>https://www.nextleap.app</t>
  </si>
  <si>
    <t>MCLD-3336</t>
  </si>
  <si>
    <t>NISCHAL'S SMART LEARNING SOLUTIONS PVT. LTD,. BEGUMPET, HYDERABAD</t>
  </si>
  <si>
    <t>MCLD-3337</t>
  </si>
  <si>
    <t>NLB Services</t>
  </si>
  <si>
    <t>https://www.nlbservices.com</t>
  </si>
  <si>
    <t>MCLD-3338</t>
  </si>
  <si>
    <t>November Learning</t>
  </si>
  <si>
    <t>https://www.novemberlearning.com</t>
  </si>
  <si>
    <t>MCLD-3339</t>
  </si>
  <si>
    <t>NXLevel Solutions</t>
  </si>
  <si>
    <t>https://www.nxlevel.com</t>
  </si>
  <si>
    <t>MCLD-3340</t>
  </si>
  <si>
    <t>O'Reilly Media</t>
  </si>
  <si>
    <t>https://www.oreilly.com</t>
  </si>
  <si>
    <t>MCLD-3341</t>
  </si>
  <si>
    <t>Octopus Outsourcing Pvt Ltd</t>
  </si>
  <si>
    <t>https://www.octopusoutsourcing.com</t>
  </si>
  <si>
    <t>MCLD-3342</t>
  </si>
  <si>
    <t>Odiyan</t>
  </si>
  <si>
    <t>MCLD-3343</t>
  </si>
  <si>
    <t>Ohana Solutions</t>
  </si>
  <si>
    <t>https://www.ohana.solutions</t>
  </si>
  <si>
    <t>MCLD-3344</t>
  </si>
  <si>
    <t>OneHourLearning</t>
  </si>
  <si>
    <t>https://www.onehourlearning.com</t>
  </si>
  <si>
    <t>MCLD-3345</t>
  </si>
  <si>
    <t>OneValley</t>
  </si>
  <si>
    <t>https://www.onevalley.com</t>
  </si>
  <si>
    <t>MCLD-3346</t>
  </si>
  <si>
    <t>Online Success Institute</t>
  </si>
  <si>
    <t>https://www.onlinesuccessinstitute.com</t>
  </si>
  <si>
    <t>MCLD-3347</t>
  </si>
  <si>
    <t>OnlineEd</t>
  </si>
  <si>
    <t>https://www.onlineed.com</t>
  </si>
  <si>
    <t>MCLD-3348</t>
  </si>
  <si>
    <t>Onlinetutor4u</t>
  </si>
  <si>
    <t>https://www.onlinetutor4u.com</t>
  </si>
  <si>
    <t>MCLD-3349</t>
  </si>
  <si>
    <t>Orange Education Pvt Ltd</t>
  </si>
  <si>
    <t>https://www.orangeeducation.in</t>
  </si>
  <si>
    <t>MCLD-3350</t>
  </si>
  <si>
    <t>Ori Learning</t>
  </si>
  <si>
    <t>https://www.orilearning.com</t>
  </si>
  <si>
    <t>MCLD-3351</t>
  </si>
  <si>
    <t>Paathfind</t>
  </si>
  <si>
    <t>MCLD-3352</t>
  </si>
  <si>
    <t>Pacific Coast Academy</t>
  </si>
  <si>
    <t>https://www.pacificcoastacademy.org</t>
  </si>
  <si>
    <t>MCLD-3353</t>
  </si>
  <si>
    <t>Paddai Exam Prep</t>
  </si>
  <si>
    <t>https://www.paddai.in</t>
  </si>
  <si>
    <t>MCLD-3354</t>
  </si>
  <si>
    <t>Pan Learn</t>
  </si>
  <si>
    <t>MCLD-3355</t>
  </si>
  <si>
    <t>Pansophic Learning</t>
  </si>
  <si>
    <t>https://www.pansophiclearning.com</t>
  </si>
  <si>
    <t>MCLD-3356</t>
  </si>
  <si>
    <t>Paradiso Software</t>
  </si>
  <si>
    <t>https://www.paradisosolutions.com</t>
  </si>
  <si>
    <t>MCLD-3357</t>
  </si>
  <si>
    <t>Parallel Minds</t>
  </si>
  <si>
    <t>https://www.parallelminds.com</t>
  </si>
  <si>
    <t>MCLD-3358</t>
  </si>
  <si>
    <t>ParentSquare</t>
  </si>
  <si>
    <t>https://www.parentsquare.com</t>
  </si>
  <si>
    <t>MCLD-3359</t>
  </si>
  <si>
    <t>Pearson</t>
  </si>
  <si>
    <t>https://www.pearson.com</t>
  </si>
  <si>
    <t>MCLD-3360</t>
  </si>
  <si>
    <t>PedaSys Learning Technology India</t>
  </si>
  <si>
    <t>https://www.pedasys.com</t>
  </si>
  <si>
    <t>MCLD-3361</t>
  </si>
  <si>
    <t>PeerTeach</t>
  </si>
  <si>
    <t>MCLD-3362</t>
  </si>
  <si>
    <t>Pennsylvania College of Technology</t>
  </si>
  <si>
    <t>https://www.pct.edu</t>
  </si>
  <si>
    <t>MCLD-3363</t>
  </si>
  <si>
    <t>Persistent Systems</t>
  </si>
  <si>
    <t>https://www.persistent.com</t>
  </si>
  <si>
    <t>MCLD-3364</t>
  </si>
  <si>
    <t>Persona Learning</t>
  </si>
  <si>
    <t>https://www.persona-learning.com</t>
  </si>
  <si>
    <t>MCLD-3365</t>
  </si>
  <si>
    <t>Phillips Education</t>
  </si>
  <si>
    <t>MCLD-3366</t>
  </si>
  <si>
    <t>Phy Chem Math Solution (OPC) Pvt Ltd</t>
  </si>
  <si>
    <t>MCLD-3367</t>
  </si>
  <si>
    <t>Pixar Animation Studios</t>
  </si>
  <si>
    <t>https://www.pixar.com</t>
  </si>
  <si>
    <t>MCLD-3368</t>
  </si>
  <si>
    <t>Plant Genome Sciences India Pvt Ltd.</t>
  </si>
  <si>
    <t>https://www.plantgenome.com</t>
  </si>
  <si>
    <t>MCLD-3369</t>
  </si>
  <si>
    <t>PMG Learning Solutions</t>
  </si>
  <si>
    <t>https://www.pmglearningsolutions.com</t>
  </si>
  <si>
    <t>MCLD-3370</t>
  </si>
  <si>
    <t>POLYHOS ENGINEERS PRIVATE LIMITED</t>
  </si>
  <si>
    <t>https://www.polyhos.com</t>
  </si>
  <si>
    <t>MCLD-3371</t>
  </si>
  <si>
    <t>Portage College</t>
  </si>
  <si>
    <t>https://www.portagecollege.ca</t>
  </si>
  <si>
    <t>MCLD-3372</t>
  </si>
  <si>
    <t>Pratibhalaya</t>
  </si>
  <si>
    <t>MCLD-3373</t>
  </si>
  <si>
    <t>PreparationInfo</t>
  </si>
  <si>
    <t>https://www.preparationinfo.com</t>
  </si>
  <si>
    <t>MCLD-3374</t>
  </si>
  <si>
    <t>PrepLadder</t>
  </si>
  <si>
    <t>https://www.prepladder.com</t>
  </si>
  <si>
    <t>MCLD-3375</t>
  </si>
  <si>
    <t>PrepOnline NEET</t>
  </si>
  <si>
    <t>https://www.preponline.in</t>
  </si>
  <si>
    <t>MCLD-3376</t>
  </si>
  <si>
    <t>Prepp IAS</t>
  </si>
  <si>
    <t>https://www.preppias.com</t>
  </si>
  <si>
    <t>MCLD-3377</t>
  </si>
  <si>
    <t>PresenceLearning</t>
  </si>
  <si>
    <t>https://www.presencelearning.com</t>
  </si>
  <si>
    <t>MCLD-3378</t>
  </si>
  <si>
    <t>Primary Plus Media Pvt Ltd</t>
  </si>
  <si>
    <t>https://www.primaryplusmedia.com</t>
  </si>
  <si>
    <t>MCLD-3379</t>
  </si>
  <si>
    <t>Primero Knowledge Solutions</t>
  </si>
  <si>
    <t>https://www.primeroks.com</t>
  </si>
  <si>
    <t>MCLD-3380</t>
  </si>
  <si>
    <t>Professional Development Plus!</t>
  </si>
  <si>
    <t>https://www.pdpinc.org</t>
  </si>
  <si>
    <t>MCLD-3381</t>
  </si>
  <si>
    <t>Prometric</t>
  </si>
  <si>
    <t>https://www.prometric.com</t>
  </si>
  <si>
    <t>MCLD-3382</t>
  </si>
  <si>
    <t>Purple Iris Press, LLC</t>
  </si>
  <si>
    <t>https://www.purpleirispress.com</t>
  </si>
  <si>
    <t>MCLD-3383</t>
  </si>
  <si>
    <t>PVI, PeerView Institute for Medical Education</t>
  </si>
  <si>
    <t>https://www.peerview.com</t>
  </si>
  <si>
    <t>MCLD-3384</t>
  </si>
  <si>
    <t>QandItoday</t>
  </si>
  <si>
    <t>MCLD-3385</t>
  </si>
  <si>
    <t>QBS Learning</t>
  </si>
  <si>
    <t>https://www.qbslearning.com</t>
  </si>
  <si>
    <t>MCLD-3386</t>
  </si>
  <si>
    <t>QLytix</t>
  </si>
  <si>
    <t>MCLD-3387</t>
  </si>
  <si>
    <t>Quartz Academy</t>
  </si>
  <si>
    <t>MCLD-3388</t>
  </si>
  <si>
    <t>Raah Educators Pvt. Ltd</t>
  </si>
  <si>
    <t>https://www.raaheducators.com</t>
  </si>
  <si>
    <t>MCLD-3389</t>
  </si>
  <si>
    <t>RaceLearning</t>
  </si>
  <si>
    <t>MCLD-3390</t>
  </si>
  <si>
    <t>Rajiv Gandhi Proudyogiki Vishvavidyalay</t>
  </si>
  <si>
    <t>https://www.rgpv.ac.in</t>
  </si>
  <si>
    <t>MCLD-3391</t>
  </si>
  <si>
    <t>Rankplus</t>
  </si>
  <si>
    <t>MCLD-3392</t>
  </si>
  <si>
    <t>Ready Training Online (RTO)</t>
  </si>
  <si>
    <t>https://www.readytrainingonline.com</t>
  </si>
  <si>
    <t>MCLD-3393</t>
  </si>
  <si>
    <t>Reanas EduTech Pvt Ltd</t>
  </si>
  <si>
    <t>https://www.reanasedutech.com</t>
  </si>
  <si>
    <t>MCLD-3394</t>
  </si>
  <si>
    <t>Recorded Books, LLC</t>
  </si>
  <si>
    <t>https://www.recordedbooks.com</t>
  </si>
  <si>
    <t>MCLD-3395</t>
  </si>
  <si>
    <t>RediLearning, Corp.</t>
  </si>
  <si>
    <t>https://www.redilearning.com</t>
  </si>
  <si>
    <t>MCLD-3396</t>
  </si>
  <si>
    <t>ReMar Review</t>
  </si>
  <si>
    <t>https://www.remarreview.com</t>
  </si>
  <si>
    <t>MCLD-3397</t>
  </si>
  <si>
    <t>Remark Xpert Services</t>
  </si>
  <si>
    <t>https://www.remarkxpert.com</t>
  </si>
  <si>
    <t>MCLD-3398</t>
  </si>
  <si>
    <t>Renaissance eServices Ltd.</t>
  </si>
  <si>
    <t>https://www.renaissance-eservices.com</t>
  </si>
  <si>
    <t>MCLD-3399</t>
  </si>
  <si>
    <t>Renrite</t>
  </si>
  <si>
    <t>https://www.renrite.com</t>
  </si>
  <si>
    <t>MCLD-3400</t>
  </si>
  <si>
    <t>Revisewise Education Solution Pvt. Ltd.</t>
  </si>
  <si>
    <t>https://www.revisewise.com</t>
  </si>
  <si>
    <t>MCLD-3401</t>
  </si>
  <si>
    <t>Rio Salado College</t>
  </si>
  <si>
    <t>https://www.riosalado.edu</t>
  </si>
  <si>
    <t>MCLD-3402</t>
  </si>
  <si>
    <t>RM Education Solutions India Pvt Ltd.</t>
  </si>
  <si>
    <t>https://www.rmeducation.com</t>
  </si>
  <si>
    <t>MCLD-3403</t>
  </si>
  <si>
    <t>Robert Kennedy College, ZÃƒÂ¼rich, Switzerland</t>
  </si>
  <si>
    <t>https://www.rkc.edu</t>
  </si>
  <si>
    <t>MCLD-3404</t>
  </si>
  <si>
    <t>S2MTrainings</t>
  </si>
  <si>
    <t>https://www.s2mtrainings.com</t>
  </si>
  <si>
    <t>MCLD-3405</t>
  </si>
  <si>
    <t>Safe Green Day Skill Development OPC Pvt. Ltd.</t>
  </si>
  <si>
    <t>MCLD-3406</t>
  </si>
  <si>
    <t>Sakaar Corporate Services Pvt Ltd</t>
  </si>
  <si>
    <t>https://www.sakaarcorp.com</t>
  </si>
  <si>
    <t>MCLD-3407</t>
  </si>
  <si>
    <t>SALS Educational Academy Private Limited</t>
  </si>
  <si>
    <t>https://www.salseducationalacademy.com</t>
  </si>
  <si>
    <t>MCLD-3408</t>
  </si>
  <si>
    <t>Samanvit Solutions</t>
  </si>
  <si>
    <t>https://www.samanvitsolutions.com</t>
  </si>
  <si>
    <t>MCLD-3409</t>
  </si>
  <si>
    <t>Sara Learning Global</t>
  </si>
  <si>
    <t>https://www.saralearningglobal.com</t>
  </si>
  <si>
    <t>MCLD-3410</t>
  </si>
  <si>
    <t>sathguru Academy</t>
  </si>
  <si>
    <t>MCLD-3411</t>
  </si>
  <si>
    <t>Savvas Learning Company</t>
  </si>
  <si>
    <t>https://www.savvas.com</t>
  </si>
  <si>
    <t>MCLD-3412</t>
  </si>
  <si>
    <t>Saylor Academy</t>
  </si>
  <si>
    <t>https://www.saylor.org</t>
  </si>
  <si>
    <t>MCLD-3413</t>
  </si>
  <si>
    <t>SChand Group</t>
  </si>
  <si>
    <t>https://www.schandgroup.com</t>
  </si>
  <si>
    <t>MCLD-3414</t>
  </si>
  <si>
    <t>Scholartude Webeducation Pvt Ltd</t>
  </si>
  <si>
    <t>https://www.scholartude.com</t>
  </si>
  <si>
    <t>MCLD-3415</t>
  </si>
  <si>
    <t>Scholastic</t>
  </si>
  <si>
    <t>https://www.scholastic.com</t>
  </si>
  <si>
    <t>MCLD-3416</t>
  </si>
  <si>
    <t>Schoogle-TGES</t>
  </si>
  <si>
    <t>MCLD-3417</t>
  </si>
  <si>
    <t>Schoox, Inc.</t>
  </si>
  <si>
    <t>https://www.schoox.com</t>
  </si>
  <si>
    <t>MCLD-3418</t>
  </si>
  <si>
    <t>Science Interactive</t>
  </si>
  <si>
    <t>https://www.scienceinteractive.com</t>
  </si>
  <si>
    <t>MCLD-3419</t>
  </si>
  <si>
    <t>SCOLA</t>
  </si>
  <si>
    <t>https://www.scola.org</t>
  </si>
  <si>
    <t>MCLD-3420</t>
  </si>
  <si>
    <t>Albert | Learn By Doing</t>
  </si>
  <si>
    <t>MCLD-3421</t>
  </si>
  <si>
    <t>https://chandra.global/index.php</t>
  </si>
  <si>
    <t>MCLD-3422</t>
  </si>
  <si>
    <t>Dreambig IT Solutions India Pvt.Ltd.</t>
  </si>
  <si>
    <t>https://www.dreambigit.com</t>
  </si>
  <si>
    <t>MCLD-3423</t>
  </si>
  <si>
    <t>OPENMIND E- DESIGN PRIVATE LIMITED</t>
  </si>
  <si>
    <t>https://www.openmindedesign.in</t>
  </si>
  <si>
    <t>MCLD-3424</t>
  </si>
  <si>
    <t>Questt | Unique Study Plan</t>
  </si>
  <si>
    <t>MCLD-3425</t>
  </si>
  <si>
    <t>ShapeMySkills Pvt. Ltd.</t>
  </si>
  <si>
    <t>https://www.shapemyskills.com</t>
  </si>
  <si>
    <t>MCLD-3426</t>
  </si>
  <si>
    <t>Sify eLearning (North America)</t>
  </si>
  <si>
    <t>https://elearning.sifycorp.com</t>
  </si>
  <si>
    <t>MCLD-3427</t>
  </si>
  <si>
    <t>Six Red Marbles</t>
  </si>
  <si>
    <t>https://www.sixredmarbles.com</t>
  </si>
  <si>
    <t>MCLD-3428</t>
  </si>
  <si>
    <t>Skill-Lync</t>
  </si>
  <si>
    <t>https://skill-lync.com</t>
  </si>
  <si>
    <t>MCLD-3429</t>
  </si>
  <si>
    <t>SkillEd India | Powered by KEDMAN</t>
  </si>
  <si>
    <t>https://www.skilledindia.com</t>
  </si>
  <si>
    <t>MCLD-3430</t>
  </si>
  <si>
    <t>SkillWorks, Inc.</t>
  </si>
  <si>
    <t>https://www.skillworks.com</t>
  </si>
  <si>
    <t>MCLD-3431</t>
  </si>
  <si>
    <t>Spaid eLearning Associates</t>
  </si>
  <si>
    <t>https://www.spaidelearning.com</t>
  </si>
  <si>
    <t>MCLD-3432</t>
  </si>
  <si>
    <t>Spatial Thoughts</t>
  </si>
  <si>
    <t>https://www.spatialthoughts.com</t>
  </si>
  <si>
    <t>MCLD-3433</t>
  </si>
  <si>
    <t>Speed Learnerz</t>
  </si>
  <si>
    <t>https://www.speedlearnerz.com</t>
  </si>
  <si>
    <t>MCLD-3434</t>
  </si>
  <si>
    <t>Spider Learning, Inc.</t>
  </si>
  <si>
    <t>https://www.spiderlearning.com</t>
  </si>
  <si>
    <t>MCLD-3435</t>
  </si>
  <si>
    <t>StraighterLine</t>
  </si>
  <si>
    <t>https://www.straighterline.com</t>
  </si>
  <si>
    <t>MCLD-3436</t>
  </si>
  <si>
    <t>Stride, Inc.</t>
  </si>
  <si>
    <t>https://www.stridelearning.com</t>
  </si>
  <si>
    <t>MCLD-3437</t>
  </si>
  <si>
    <t>Study IQ</t>
  </si>
  <si>
    <t>https://www.studyiq.com</t>
  </si>
  <si>
    <t>MCLD-3438</t>
  </si>
  <si>
    <t>Succeed Technologies Pvt. Ltd.</t>
  </si>
  <si>
    <t>https://www.succeedtech.com</t>
  </si>
  <si>
    <t>MCLD-3439</t>
  </si>
  <si>
    <t>Symbiosis Educational Consultants</t>
  </si>
  <si>
    <t>https://www.symbiosisedu.com</t>
  </si>
  <si>
    <t>MCLD-3440</t>
  </si>
  <si>
    <t>Synchrony</t>
  </si>
  <si>
    <t>https://www.synchrony.com</t>
  </si>
  <si>
    <t>MCLD-3441</t>
  </si>
  <si>
    <t>TalentSprint</t>
  </si>
  <si>
    <t>https://www.talentsprint.com</t>
  </si>
  <si>
    <t>MCLD-3442</t>
  </si>
  <si>
    <t>Tata ClassEdge</t>
  </si>
  <si>
    <t>https://www.tataclassedge.com</t>
  </si>
  <si>
    <t>MCLD-3443</t>
  </si>
  <si>
    <t>TeachTown</t>
  </si>
  <si>
    <t>https://www.teachtown.com</t>
  </si>
  <si>
    <t>MCLD-3444</t>
  </si>
  <si>
    <t>Techlearning</t>
  </si>
  <si>
    <t>https://www.techlearning.com</t>
  </si>
  <si>
    <t>MCLD-3445</t>
  </si>
  <si>
    <t>Technipenergies</t>
  </si>
  <si>
    <t>https://www.technipenergies.com</t>
  </si>
  <si>
    <t>MCLD-3446</t>
  </si>
  <si>
    <t>Testbook</t>
  </si>
  <si>
    <t>https://testbook.com</t>
  </si>
  <si>
    <t>MCLD-3447</t>
  </si>
  <si>
    <t>The Learning Accelerator</t>
  </si>
  <si>
    <t>https://learningaccelerator.org</t>
  </si>
  <si>
    <t>MCLD-3448</t>
  </si>
  <si>
    <t>The Princeton Review</t>
  </si>
  <si>
    <t>https://www.princetonreview.com</t>
  </si>
  <si>
    <t>MCLD-3449</t>
  </si>
  <si>
    <t>The Wise Blend Productions</t>
  </si>
  <si>
    <t>https://www.thewiseblend.com</t>
  </si>
  <si>
    <t>MCLD-3450</t>
  </si>
  <si>
    <t>Thinkist</t>
  </si>
  <si>
    <t>https://thinkist.com</t>
  </si>
  <si>
    <t>MCLD-3451</t>
  </si>
  <si>
    <t>ThinkPlayful</t>
  </si>
  <si>
    <t>https://www.thinkplayful.com</t>
  </si>
  <si>
    <t>MCLD-3452</t>
  </si>
  <si>
    <t>Thought Industries</t>
  </si>
  <si>
    <t>https://www.thoughtindustries.com</t>
  </si>
  <si>
    <t>MCLD-3453</t>
  </si>
  <si>
    <t>Trinity Education Group</t>
  </si>
  <si>
    <t>https://www.trinityeducationgroup.com</t>
  </si>
  <si>
    <t>MCLD-3454</t>
  </si>
  <si>
    <t>Trivium Education Pvt Ltd</t>
  </si>
  <si>
    <t>https://www.triviumeducation.com</t>
  </si>
  <si>
    <t>MCLD-3455</t>
  </si>
  <si>
    <t>Turito Inc.</t>
  </si>
  <si>
    <t>https://www.turito.com</t>
  </si>
  <si>
    <t>MCLD-3456</t>
  </si>
  <si>
    <t>Tutor.com</t>
  </si>
  <si>
    <t>https://www.tutor.com</t>
  </si>
  <si>
    <t>MCLD-3457</t>
  </si>
  <si>
    <t>Tutorials Point India Private Limited</t>
  </si>
  <si>
    <t>https://www.tutorialspoint.com</t>
  </si>
  <si>
    <t>MCLD-3458</t>
  </si>
  <si>
    <t>UL Solutions</t>
  </si>
  <si>
    <t>https://www.ul.com</t>
  </si>
  <si>
    <t>MCLD-3459</t>
  </si>
  <si>
    <t>Upside Learning Solutions</t>
  </si>
  <si>
    <t>https://www.upsidelearning.com</t>
  </si>
  <si>
    <t>MCLD-3460</t>
  </si>
  <si>
    <t>UTKARSH CLASSES</t>
  </si>
  <si>
    <t>https://www.utkarsh.com</t>
  </si>
  <si>
    <t>MCLD-3461</t>
  </si>
  <si>
    <t>Verizon</t>
  </si>
  <si>
    <t>https://www.verizon.com</t>
  </si>
  <si>
    <t>MCLD-3462</t>
  </si>
  <si>
    <t>Vidura Digital Learning Pvt Ltd</t>
  </si>
  <si>
    <t>https://www.viduradigital.com</t>
  </si>
  <si>
    <t>MCLD-3463</t>
  </si>
  <si>
    <t>Vidwath Innovative solutions pvt. ltd.</t>
  </si>
  <si>
    <t>https://www.vidwathinnovative.com</t>
  </si>
  <si>
    <t>MCLD-3464</t>
  </si>
  <si>
    <t>Vidya Mantra EduSystems</t>
  </si>
  <si>
    <t>https://www.vidyamantra.com</t>
  </si>
  <si>
    <t>MCLD-3465</t>
  </si>
  <si>
    <t>Voice of Reason Studios, LLC</t>
  </si>
  <si>
    <t>https://www.voiceofreasonstudios.com</t>
  </si>
  <si>
    <t>MCLD-3466</t>
  </si>
  <si>
    <t>WhiteHat Jr</t>
  </si>
  <si>
    <t>https://www.whitehatjr.com</t>
  </si>
  <si>
    <t>MCLD-3467</t>
  </si>
  <si>
    <t>Wiingy</t>
  </si>
  <si>
    <t>https://www.wiingy.com</t>
  </si>
  <si>
    <t>MCLD-3468</t>
  </si>
  <si>
    <t>WorldLearnEasy</t>
  </si>
  <si>
    <t>https://www.worldlearneasy.com</t>
  </si>
  <si>
    <t>MCLD-3469</t>
  </si>
  <si>
    <t>Wriety</t>
  </si>
  <si>
    <t>https://www.wriety.com</t>
  </si>
  <si>
    <t>MCLD-3470</t>
  </si>
  <si>
    <t>Write the World</t>
  </si>
  <si>
    <t>https://www.writetheworld.com</t>
  </si>
  <si>
    <t>MCLD-3471</t>
  </si>
  <si>
    <t>XYLEM LEARNING</t>
  </si>
  <si>
    <t>https://www.xylemlearning.com</t>
  </si>
  <si>
    <t>MCLD-3472</t>
  </si>
  <si>
    <t>Yeti Academy</t>
  </si>
  <si>
    <t>https://www.yetiacademy.com</t>
  </si>
  <si>
    <t>MCLD-3473</t>
  </si>
  <si>
    <t>ZaneEducation.com</t>
  </si>
  <si>
    <t>https://zaneeducation.com</t>
  </si>
  <si>
    <t>MCLD-3474</t>
  </si>
  <si>
    <t>https://www.zeuslearning.com</t>
  </si>
  <si>
    <t>MCLD-3475</t>
  </si>
  <si>
    <t>BookNook</t>
  </si>
  <si>
    <t>https://www.booknooklearning.com</t>
  </si>
  <si>
    <t>MCLD-3476</t>
  </si>
  <si>
    <t>Edpuzzle</t>
  </si>
  <si>
    <t>https://edpuzzle.com</t>
  </si>
  <si>
    <t>MCLD-3477</t>
  </si>
  <si>
    <t>IXL</t>
  </si>
  <si>
    <t>https://www.ixl.com</t>
  </si>
  <si>
    <t>MCLD-3478</t>
  </si>
  <si>
    <t>LearningMate</t>
  </si>
  <si>
    <t>https://www.learningmate.com</t>
  </si>
  <si>
    <t>MCLD-3479</t>
  </si>
  <si>
    <t>Proximity Learning</t>
  </si>
  <si>
    <t>https://www.proxlearn.com</t>
  </si>
  <si>
    <t>MCLD-3480</t>
  </si>
  <si>
    <t>Teaching strategies</t>
  </si>
  <si>
    <t>https://teachingstrategies.com</t>
  </si>
  <si>
    <t>MCLD-3481</t>
  </si>
  <si>
    <t>ACM</t>
  </si>
  <si>
    <t>https://www.acm.org</t>
  </si>
  <si>
    <t>MCLD-3482</t>
  </si>
  <si>
    <t>AHIMA</t>
  </si>
  <si>
    <t>https://www.ahima.org</t>
  </si>
  <si>
    <t>MCLD-3483</t>
  </si>
  <si>
    <t>Alpha Education for Publishing &amp; Distribution FZ LLC</t>
  </si>
  <si>
    <t>https://alpha-publishing.ae</t>
  </si>
  <si>
    <t>MCLD-3484</t>
  </si>
  <si>
    <t>American Chemical Society</t>
  </si>
  <si>
    <t>https://www.acs.org</t>
  </si>
  <si>
    <t>MCLD-3485</t>
  </si>
  <si>
    <t>American College of Obstetricians and Gynecologists</t>
  </si>
  <si>
    <t>https://www.acog.org</t>
  </si>
  <si>
    <t>MCLD-3486</t>
  </si>
  <si>
    <t>American Dental Association</t>
  </si>
  <si>
    <t>https://www.ada.org</t>
  </si>
  <si>
    <t>MCLD-3487</t>
  </si>
  <si>
    <t>American Speech-Language-Hearing Association</t>
  </si>
  <si>
    <t>https://www.asha.org</t>
  </si>
  <si>
    <t>MCLD-3488</t>
  </si>
  <si>
    <t>ANI</t>
  </si>
  <si>
    <t>https://www.aninews.in</t>
  </si>
  <si>
    <t>MCLD-3489</t>
  </si>
  <si>
    <t>Applied Radiology</t>
  </si>
  <si>
    <t>https://www.appliedradiology.com</t>
  </si>
  <si>
    <t>MCLD-3490</t>
  </si>
  <si>
    <t>Arabesque</t>
  </si>
  <si>
    <t>https://www.arabesque.com</t>
  </si>
  <si>
    <t>MCLD-3491</t>
  </si>
  <si>
    <t>Ascend Learning, LLC</t>
  </si>
  <si>
    <t>https://www.ascendlearning.com</t>
  </si>
  <si>
    <t>MCLD-3492</t>
  </si>
  <si>
    <t>ASM</t>
  </si>
  <si>
    <t>https://www.asm.org</t>
  </si>
  <si>
    <t>MCLD-3493</t>
  </si>
  <si>
    <t>ASM International</t>
  </si>
  <si>
    <t>https://www.asminternational.org</t>
  </si>
  <si>
    <t>MCLD-3494</t>
  </si>
  <si>
    <t>ASTM International</t>
  </si>
  <si>
    <t>https://www.astm.org</t>
  </si>
  <si>
    <t>MCLD-3495</t>
  </si>
  <si>
    <t>AZO</t>
  </si>
  <si>
    <t>https://www.azom.com</t>
  </si>
  <si>
    <t>MCLD-3496</t>
  </si>
  <si>
    <t>AZoNetwork UK Ltd</t>
  </si>
  <si>
    <t>https://www.azonetwork.com</t>
  </si>
  <si>
    <t>MCLD-3497</t>
  </si>
  <si>
    <t>Barnes &amp; Noble</t>
  </si>
  <si>
    <t>https://www.barnesandnoble.com</t>
  </si>
  <si>
    <t>MCLD-3498</t>
  </si>
  <si>
    <t>Brill</t>
  </si>
  <si>
    <t>https://www.brill.com</t>
  </si>
  <si>
    <t>MCLD-3499</t>
  </si>
  <si>
    <t>BSI</t>
  </si>
  <si>
    <t>https://www.bsigroup.com</t>
  </si>
  <si>
    <t>MCLD-3500</t>
  </si>
  <si>
    <t>Bulls</t>
  </si>
  <si>
    <t>MCLD-3501</t>
  </si>
  <si>
    <t>CABI</t>
  </si>
  <si>
    <t>https://www.cabi.org</t>
  </si>
  <si>
    <t>MCLD-3502</t>
  </si>
  <si>
    <t>Canion Creations, LLC</t>
  </si>
  <si>
    <t>https://www.canioncreations.com</t>
  </si>
  <si>
    <t>MCLD-3503</t>
  </si>
  <si>
    <t>Chegg</t>
  </si>
  <si>
    <t>https://www.chegg.com</t>
  </si>
  <si>
    <t>MCLD-3504</t>
  </si>
  <si>
    <t>Chemical Abstracts Service</t>
  </si>
  <si>
    <t>https://www.cas.org</t>
  </si>
  <si>
    <t>MCLD-3505</t>
  </si>
  <si>
    <t>Clarivate US LLC</t>
  </si>
  <si>
    <t>https://clarivate.com</t>
  </si>
  <si>
    <t>MCLD-3506</t>
  </si>
  <si>
    <t>Connections Education LLC</t>
  </si>
  <si>
    <t>https://www.connectionsacademy.com</t>
  </si>
  <si>
    <t>MCLD-3507</t>
  </si>
  <si>
    <t>Cornelsen</t>
  </si>
  <si>
    <t>https://www.cornelsen.de</t>
  </si>
  <si>
    <t>MCLD-3508</t>
  </si>
  <si>
    <t>CUP Books</t>
  </si>
  <si>
    <t>https://www.cambridge.org</t>
  </si>
  <si>
    <t>MCLD-3509</t>
  </si>
  <si>
    <t>Curriculum Associates, LLC</t>
  </si>
  <si>
    <t>https://www.curriculumassociates.com</t>
  </si>
  <si>
    <t>MCLD-3510</t>
  </si>
  <si>
    <t>D&amp;B Business Info Solutions UC</t>
  </si>
  <si>
    <t>https://www.dnb.com</t>
  </si>
  <si>
    <t>MCLD-3511</t>
  </si>
  <si>
    <t>Deloitte LLP</t>
  </si>
  <si>
    <t>https://www.deloitte.com</t>
  </si>
  <si>
    <t>MCLD-3512</t>
  </si>
  <si>
    <t>Desmos</t>
  </si>
  <si>
    <t>https://www.desmos.com</t>
  </si>
  <si>
    <t>MCLD-3513</t>
  </si>
  <si>
    <t>EDP Sciences</t>
  </si>
  <si>
    <t>https://www.edpsciences.org</t>
  </si>
  <si>
    <t>MCLD-3514</t>
  </si>
  <si>
    <t>Education.com</t>
  </si>
  <si>
    <t>https://www.education.com</t>
  </si>
  <si>
    <t>MCLD-3515</t>
  </si>
  <si>
    <t>Elsevier Journals</t>
  </si>
  <si>
    <t>https://www.elsevier.com</t>
  </si>
  <si>
    <t>MCLD-3516</t>
  </si>
  <si>
    <t>EPAC</t>
  </si>
  <si>
    <t>https://www.epac.com</t>
  </si>
  <si>
    <t>MCLD-3517</t>
  </si>
  <si>
    <t>Forrester</t>
  </si>
  <si>
    <t>https://www.forrester.com</t>
  </si>
  <si>
    <t>MCLD-3518</t>
  </si>
  <si>
    <t>Frontiers</t>
  </si>
  <si>
    <t>https://www.frontiersin.org</t>
  </si>
  <si>
    <t>MCLD-3519</t>
  </si>
  <si>
    <t>Goodheart-Willcox</t>
  </si>
  <si>
    <t>https://www.g-w.com</t>
  </si>
  <si>
    <t>MCLD-3520</t>
  </si>
  <si>
    <t>HMH</t>
  </si>
  <si>
    <t>https://www.hmhco.com</t>
  </si>
  <si>
    <t>MCLD-3521</t>
  </si>
  <si>
    <t>Hindawi</t>
  </si>
  <si>
    <t>https://www.hindawi.com</t>
  </si>
  <si>
    <t>MCLD-3522</t>
  </si>
  <si>
    <t>INTECH</t>
  </si>
  <si>
    <t>https://www.intechopen.com</t>
  </si>
  <si>
    <t>MCLD-3523</t>
  </si>
  <si>
    <t>Lexis Nexis</t>
  </si>
  <si>
    <t>https://www.lexisnexis.com</t>
  </si>
  <si>
    <t>MCLD-3524</t>
  </si>
  <si>
    <t>LinkedIn Corporation</t>
  </si>
  <si>
    <t>https://www.linkedin.com</t>
  </si>
  <si>
    <t>MCLD-3525</t>
  </si>
  <si>
    <t>Macmillan</t>
  </si>
  <si>
    <t>https://www.macmillan.com</t>
  </si>
  <si>
    <t>MCLD-3526</t>
  </si>
  <si>
    <t>MIT Press</t>
  </si>
  <si>
    <t>https://mitpress.mit.edu</t>
  </si>
  <si>
    <t>MCLD-3527</t>
  </si>
  <si>
    <t>Oxford University Press</t>
  </si>
  <si>
    <t>https://global.oup.com</t>
  </si>
  <si>
    <t>MCLD-3528</t>
  </si>
  <si>
    <t>Springer</t>
  </si>
  <si>
    <t>https://www.springer.com</t>
  </si>
  <si>
    <t>MCLD-3529</t>
  </si>
  <si>
    <t>Taylor &amp; Francis</t>
  </si>
  <si>
    <t>https://www.tandfonline.com</t>
  </si>
  <si>
    <t>MCLD-3530</t>
  </si>
  <si>
    <t>Thomson Reuters</t>
  </si>
  <si>
    <t>https://www.thomsonreuters.com</t>
  </si>
  <si>
    <t>MCLD-3531</t>
  </si>
  <si>
    <t>Wiley</t>
  </si>
  <si>
    <t>https://www.wiley.com</t>
  </si>
  <si>
    <t>MCLD-3532</t>
  </si>
  <si>
    <t>Wolters Kluwer</t>
  </si>
  <si>
    <t>https://www.wolterskluwer.com</t>
  </si>
  <si>
    <t>MCLD-3533</t>
  </si>
  <si>
    <t>Zaner-Bloser</t>
  </si>
  <si>
    <t>https://www.zaner-bloser.com</t>
  </si>
  <si>
    <t>MCLD-3534</t>
  </si>
  <si>
    <t>https://amnet.com/</t>
  </si>
  <si>
    <t>MCLD-3535</t>
  </si>
  <si>
    <t>Abacus AI</t>
  </si>
  <si>
    <t>https://abacus.ai/</t>
  </si>
  <si>
    <t>MCLD-3536</t>
  </si>
  <si>
    <t>Zoho</t>
  </si>
  <si>
    <t>https://www.zoho.com/</t>
  </si>
  <si>
    <t>MCLD-3537</t>
  </si>
  <si>
    <t>Disha Publication Inc</t>
  </si>
  <si>
    <t>MCLD-3538</t>
  </si>
  <si>
    <t>Oswaal Books</t>
  </si>
  <si>
    <t>https://oswaalbooks.com/</t>
  </si>
  <si>
    <t>MCLD-3539</t>
  </si>
  <si>
    <t>acolad</t>
  </si>
  <si>
    <t>https://www.acolad.com/</t>
  </si>
  <si>
    <t>MCLD-3540</t>
  </si>
  <si>
    <t>turing.com</t>
  </si>
  <si>
    <t>MCLD-3541</t>
  </si>
  <si>
    <t>Integra Software Services Private Ltd</t>
  </si>
  <si>
    <t>http://www.integranxt.com/</t>
  </si>
  <si>
    <t>MCLD-3542</t>
  </si>
  <si>
    <t>Kriyadocs</t>
  </si>
  <si>
    <t>https://www.kriyadocs.com/</t>
  </si>
  <si>
    <t>MCLD-3543</t>
  </si>
  <si>
    <t>sagepub.in</t>
  </si>
  <si>
    <t>MCLD-3544</t>
  </si>
  <si>
    <t>MCLD-3545</t>
  </si>
  <si>
    <t>tnq.co.in</t>
  </si>
  <si>
    <t>MCLD-3546</t>
  </si>
  <si>
    <t>thomsondigital.com</t>
  </si>
  <si>
    <t>MCLD-3547</t>
  </si>
  <si>
    <t>TIH | IIT Bombay</t>
  </si>
  <si>
    <t>Localization</t>
  </si>
  <si>
    <t>https://tihiitb.org/</t>
  </si>
  <si>
    <t>https://www.linkedin.com/company/technology-innovation-hub/</t>
  </si>
  <si>
    <t>office.tih@tihiitb.org</t>
  </si>
  <si>
    <t>StartUp</t>
  </si>
  <si>
    <t>Low</t>
  </si>
  <si>
    <t>MCLD-3548</t>
  </si>
  <si>
    <t>volga partners</t>
  </si>
  <si>
    <t>Technology</t>
  </si>
  <si>
    <t>http://www.volgapartners.com/</t>
  </si>
  <si>
    <t>https://www.linkedin.com/company/volga-partners/about/</t>
  </si>
  <si>
    <t>contactus@volgapartners.com</t>
  </si>
  <si>
    <t>High</t>
  </si>
  <si>
    <t>MCLD-3549</t>
  </si>
  <si>
    <t>Sigma Ai</t>
  </si>
  <si>
    <t>https://sigma.ai/</t>
  </si>
  <si>
    <t>https://www.linkedin.com/company/sigma-ai/about/</t>
  </si>
  <si>
    <t>Enterprise</t>
  </si>
  <si>
    <t>MCLD-3550</t>
  </si>
  <si>
    <t>Magic Edtech</t>
  </si>
  <si>
    <t>MCLD-3551</t>
  </si>
  <si>
    <t>Relias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</si>
</sst>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quot;-&quot;mmm&quot;-&quot;yyyy"/>
    <numFmt numFmtId="165" formatCode="dd/MM/yyyy"/>
    <numFmt numFmtId="166" formatCode="HH:mm:ss"/>
    <numFmt numFmtId="167" formatCode="dd&quot;-&quot;mmm&quot;-&quot;yyyy"/>
    <numFmt numFmtId="168" formatCode="m/d/yyyy h:mm:ss"/>
    <numFmt numFmtId="169" formatCode="hh:mm"/>
    <numFmt numFmtId="170" formatCode="yyyy-mm-dd"/>
    <numFmt numFmtId="171" formatCode="d/m/yyyy"/>
    <numFmt numFmtId="172" formatCode="[$₹]#,##0"/>
  </numFmts>
  <fonts count="22">
    <font>
      <sz val="10.0"/>
      <color rgb="FF000000"/>
      <name val="Arial"/>
      <scheme val="minor"/>
    </font>
    <font>
      <b/>
      <sz val="11.0"/>
      <color rgb="FFFFFFFF"/>
      <name val="Calibri"/>
    </font>
    <font>
      <b/>
      <color rgb="FFFFFFFF"/>
      <name val="Arial"/>
      <scheme val="minor"/>
    </font>
    <font>
      <color theme="1"/>
      <name val="Arial"/>
      <scheme val="minor"/>
    </font>
    <font>
      <b/>
      <color theme="1"/>
      <name val="Arial"/>
      <scheme val="minor"/>
    </font>
    <font>
      <color theme="1"/>
      <name val="Arial"/>
    </font>
    <font>
      <sz val="11.0"/>
      <color rgb="FF000000"/>
      <name val="&quot;Aptos Narrow&quot;"/>
    </font>
    <font>
      <u/>
      <sz val="11.0"/>
      <color rgb="FF000000"/>
      <name val="&quot;Aptos Narrow&quot;"/>
    </font>
    <font>
      <u/>
      <color rgb="FF0000FF"/>
    </font>
    <font>
      <sz val="11.0"/>
      <color theme="1"/>
      <name val="Calibri"/>
    </font>
    <font>
      <sz val="11.0"/>
      <color rgb="FF000000"/>
      <name val="Arial"/>
    </font>
    <font>
      <sz val="11.0"/>
      <color theme="1"/>
      <name val="Arial"/>
    </font>
    <font>
      <u/>
      <sz val="11.0"/>
      <color rgb="FF000000"/>
      <name val="&quot;Aptos Narrow&quot;"/>
    </font>
    <font>
      <b/>
      <sz val="11.0"/>
      <color theme="1"/>
      <name val="Aptos Narrow"/>
    </font>
    <font>
      <sz val="11.0"/>
      <color theme="1"/>
      <name val="Aptos Narrow"/>
    </font>
    <font>
      <color rgb="FFFFFFFF"/>
      <name val="Arial"/>
      <scheme val="minor"/>
    </font>
    <font>
      <u/>
      <color rgb="FF0000FF"/>
    </font>
    <font>
      <color theme="1"/>
      <name val="Roboto"/>
    </font>
    <font>
      <b/>
      <sz val="24.0"/>
      <color rgb="FF1A1B1F"/>
      <name val="Montserrat"/>
    </font>
    <font>
      <u/>
      <sz val="11.0"/>
      <color rgb="FF000000"/>
      <name val="Arial"/>
    </font>
    <font>
      <u/>
      <color rgb="FF0000FF"/>
    </font>
    <font>
      <u/>
      <sz val="11.0"/>
      <color rgb="FF0000FF"/>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F8F8FF"/>
        <bgColor rgb="FFF8F8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center" shrinkToFit="0" vertical="center" wrapText="1"/>
    </xf>
    <xf borderId="0" fillId="2" fontId="1" numFmtId="164" xfId="0" applyAlignment="1" applyFill="1" applyFont="1" applyNumberFormat="1">
      <alignment horizontal="center" shrinkToFit="0" vertical="center" wrapText="1"/>
    </xf>
    <xf borderId="0" fillId="2" fontId="1" numFmtId="1" xfId="0" applyAlignment="1" applyFill="1" applyFont="1" applyNumberFormat="1">
      <alignment horizontal="center" shrinkToFit="0" vertical="center" wrapText="0"/>
    </xf>
    <xf borderId="0" fillId="2" fontId="1" numFmtId="165" xfId="0" applyAlignment="1" applyFill="1" applyFont="1" applyNumberFormat="1">
      <alignment horizontal="center" shrinkToFit="0" vertical="center" wrapText="1"/>
    </xf>
    <xf borderId="0" fillId="2" fontId="1" numFmtId="1" xfId="0" applyAlignment="1" applyFill="1" applyFont="1" applyNumberFormat="1">
      <alignment horizontal="center" shrinkToFit="0" vertical="center" wrapText="1"/>
    </xf>
    <xf borderId="0" fillId="2" fontId="2" numFmtId="0" xfId="0" applyAlignment="1" applyFill="1" applyFont="1">
      <alignment horizontal="center" readingOrder="0" shrinkToFit="0" vertical="center" wrapText="1"/>
    </xf>
    <xf borderId="0" fillId="2" fontId="1" numFmtId="164" xfId="0" applyAlignment="1" applyFill="1" applyFont="1" applyNumberFormat="1">
      <alignment horizontal="center" shrinkToFit="0" vertical="center" wrapText="1"/>
    </xf>
    <xf borderId="0" fillId="2" fontId="1" numFmtId="166" xfId="0" applyAlignment="1" applyFill="1" applyFont="1" applyNumberFormat="1">
      <alignment horizontal="center" shrinkToFit="0" vertical="center" wrapText="1"/>
    </xf>
    <xf borderId="0" fillId="2" fontId="2" numFmtId="0" xfId="0" applyAlignment="1" applyFill="1" applyFont="1">
      <alignment horizontal="center" readingOrder="0" shrinkToFit="0" vertical="center" wrapText="0"/>
    </xf>
    <xf borderId="0" fillId="2" fontId="1" numFmtId="167" xfId="0" applyAlignment="1" applyFill="1" applyFont="1" applyNumberFormat="1">
      <alignment horizontal="center" shrinkToFit="0" vertical="center" wrapText="1"/>
    </xf>
    <xf borderId="0" fillId="0" fontId="3" numFmtId="0" xfId="0" applyAlignment="1" applyFont="1">
      <alignment horizontal="center" vertical="center"/>
    </xf>
    <xf borderId="0" fillId="0" fontId="4" numFmtId="0" xfId="0" applyAlignment="1" applyFont="1">
      <alignment horizontal="center" vertical="center"/>
    </xf>
    <xf borderId="0" fillId="0" fontId="3" numFmtId="165" xfId="0" applyAlignment="1" applyFont="1" applyNumberFormat="1">
      <alignment readingOrder="0"/>
    </xf>
    <xf borderId="0" fillId="0" fontId="3" numFmtId="164" xfId="0" applyAlignment="1" applyFont="1" applyNumberFormat="1">
      <alignment readingOrder="0"/>
    </xf>
    <xf borderId="0" fillId="0" fontId="3" numFmtId="0" xfId="0" applyFont="1"/>
    <xf borderId="0" fillId="0" fontId="5" numFmtId="0" xfId="0" applyAlignment="1" applyFont="1">
      <alignment readingOrder="0" vertical="bottom"/>
    </xf>
    <xf borderId="0" fillId="0" fontId="3" numFmtId="0" xfId="0" applyAlignment="1" applyFont="1">
      <alignment readingOrder="0" shrinkToFit="0" wrapText="0"/>
    </xf>
    <xf borderId="0" fillId="0" fontId="3" numFmtId="0" xfId="0" applyAlignment="1" applyFont="1">
      <alignment readingOrder="0"/>
    </xf>
    <xf borderId="0" fillId="0" fontId="6" numFmtId="0" xfId="0" applyAlignment="1" applyFont="1">
      <alignment readingOrder="0" shrinkToFit="0" vertical="bottom" wrapText="0"/>
    </xf>
    <xf borderId="0" fillId="0" fontId="5" numFmtId="0" xfId="0" applyAlignment="1" applyFont="1">
      <alignment vertical="bottom"/>
    </xf>
    <xf borderId="0" fillId="0" fontId="7" numFmtId="0" xfId="0" applyAlignment="1" applyFont="1">
      <alignment readingOrder="0" shrinkToFit="0" vertical="bottom" wrapText="0"/>
    </xf>
    <xf borderId="0" fillId="0" fontId="6" numFmtId="0" xfId="0" applyAlignment="1" applyFont="1">
      <alignment horizontal="left" readingOrder="0" shrinkToFit="0" vertical="bottom" wrapText="0"/>
    </xf>
    <xf borderId="0" fillId="0" fontId="8" numFmtId="0" xfId="0" applyAlignment="1" applyFont="1">
      <alignment readingOrder="0"/>
    </xf>
    <xf borderId="0" fillId="0" fontId="3" numFmtId="0" xfId="0" applyAlignment="1" applyFont="1">
      <alignment readingOrder="0"/>
    </xf>
    <xf borderId="0" fillId="0" fontId="9" numFmtId="0" xfId="0" applyAlignment="1" applyFont="1">
      <alignment readingOrder="0" vertical="bottom"/>
    </xf>
    <xf borderId="0" fillId="0" fontId="6" numFmtId="0" xfId="0" applyAlignment="1" applyFont="1">
      <alignment shrinkToFit="0" vertical="bottom" wrapText="0"/>
    </xf>
    <xf borderId="0" fillId="0" fontId="3" numFmtId="165" xfId="0" applyFont="1" applyNumberFormat="1"/>
    <xf borderId="0" fillId="0" fontId="3" numFmtId="164" xfId="0" applyFont="1" applyNumberFormat="1"/>
    <xf borderId="0" fillId="0" fontId="3" numFmtId="164" xfId="0" applyFont="1" applyNumberFormat="1"/>
    <xf borderId="0" fillId="0" fontId="3" numFmtId="166" xfId="0" applyFont="1" applyNumberFormat="1"/>
    <xf borderId="0" fillId="0" fontId="3" numFmtId="0" xfId="0" applyFont="1"/>
    <xf borderId="0" fillId="0" fontId="3" numFmtId="1" xfId="0" applyFont="1" applyNumberFormat="1"/>
    <xf borderId="0" fillId="0" fontId="3" numFmtId="14" xfId="0" applyAlignment="1" applyFont="1" applyNumberFormat="1">
      <alignment readingOrder="0"/>
    </xf>
    <xf borderId="0" fillId="0" fontId="3" numFmtId="168" xfId="0" applyAlignment="1" applyFont="1" applyNumberFormat="1">
      <alignment readingOrder="0"/>
    </xf>
    <xf borderId="0" fillId="0" fontId="6" numFmtId="0" xfId="0" applyAlignment="1" applyFont="1">
      <alignment shrinkToFit="0" vertical="bottom" wrapText="0"/>
    </xf>
    <xf borderId="0" fillId="0" fontId="6" numFmtId="0" xfId="0" applyAlignment="1" applyFont="1">
      <alignment readingOrder="0" shrinkToFit="0" vertical="bottom" wrapText="0"/>
    </xf>
    <xf borderId="0" fillId="0" fontId="5" numFmtId="14" xfId="0" applyAlignment="1" applyFont="1" applyNumberFormat="1">
      <alignment readingOrder="0" vertical="bottom"/>
    </xf>
    <xf borderId="0" fillId="0" fontId="3" numFmtId="166" xfId="0" applyAlignment="1" applyFont="1" applyNumberFormat="1">
      <alignment readingOrder="0"/>
    </xf>
    <xf borderId="0" fillId="0" fontId="6" numFmtId="0" xfId="0" applyAlignment="1" applyFont="1">
      <alignment horizontal="right" readingOrder="0" shrinkToFit="0" vertical="bottom" wrapText="0"/>
    </xf>
    <xf borderId="0" fillId="0" fontId="6" numFmtId="0" xfId="0" applyAlignment="1" applyFont="1">
      <alignment shrinkToFit="0" vertical="bottom" wrapText="0"/>
    </xf>
    <xf borderId="0" fillId="0" fontId="9" numFmtId="0" xfId="0" applyAlignment="1" applyFont="1">
      <alignment vertical="bottom"/>
    </xf>
    <xf borderId="0" fillId="0" fontId="10" numFmtId="0" xfId="0" applyAlignment="1" applyFont="1">
      <alignment readingOrder="0" shrinkToFit="0" vertical="bottom" wrapText="0"/>
    </xf>
    <xf borderId="0" fillId="0" fontId="11" numFmtId="0" xfId="0" applyAlignment="1" applyFont="1">
      <alignment readingOrder="0" vertical="bottom"/>
    </xf>
    <xf borderId="0" fillId="0" fontId="3" numFmtId="0" xfId="0" applyAlignment="1" applyFont="1">
      <alignment shrinkToFit="0" wrapText="0"/>
    </xf>
    <xf borderId="0" fillId="0" fontId="12" numFmtId="0" xfId="0" applyAlignment="1" applyFont="1">
      <alignment readingOrder="0" shrinkToFit="0" vertical="bottom" wrapText="0"/>
    </xf>
    <xf borderId="0" fillId="2" fontId="2" numFmtId="0" xfId="0" applyAlignment="1" applyFill="1" applyFont="1">
      <alignment horizontal="left" readingOrder="0" shrinkToFit="0" vertical="center" wrapText="1"/>
    </xf>
    <xf borderId="0" fillId="2" fontId="2" numFmtId="0" xfId="0" applyAlignment="1" applyFill="1" applyFont="1">
      <alignment horizontal="center" shrinkToFit="0" vertical="center" wrapText="1"/>
    </xf>
    <xf borderId="0" fillId="0" fontId="3" numFmtId="0" xfId="0" applyAlignment="1" applyFont="1">
      <alignment horizontal="left"/>
    </xf>
    <xf borderId="0" fillId="2" fontId="2" numFmtId="165" xfId="0" applyAlignment="1" applyFill="1" applyFont="1" applyNumberFormat="1">
      <alignment horizontal="center" readingOrder="0" shrinkToFit="0" vertical="center" wrapText="1"/>
    </xf>
    <xf borderId="0" fillId="3" fontId="2" numFmtId="0" xfId="0" applyAlignment="1" applyFill="1" applyFont="1">
      <alignment horizontal="center" shrinkToFit="0" vertical="center" wrapText="1"/>
    </xf>
    <xf borderId="0" fillId="0" fontId="3" numFmtId="169" xfId="0" applyAlignment="1" applyFont="1" applyNumberFormat="1">
      <alignment readingOrder="0"/>
    </xf>
    <xf borderId="0" fillId="2" fontId="2" numFmtId="0" xfId="0" applyAlignment="1" applyFill="1" applyFont="1">
      <alignment readingOrder="0" shrinkToFit="0" vertical="center" wrapText="1"/>
    </xf>
    <xf borderId="0" fillId="0" fontId="4" numFmtId="0" xfId="0" applyAlignment="1" applyFont="1">
      <alignment shrinkToFit="0" vertical="center" wrapText="1"/>
    </xf>
    <xf borderId="0" fillId="0" fontId="3" numFmtId="170" xfId="0" applyAlignment="1" applyFont="1" applyNumberFormat="1">
      <alignment readingOrder="0"/>
    </xf>
    <xf borderId="0" fillId="0" fontId="4" numFmtId="0" xfId="0" applyFont="1"/>
    <xf borderId="0" fillId="0" fontId="4" numFmtId="0" xfId="0" applyAlignment="1" applyFont="1">
      <alignment horizontal="center" shrinkToFit="0" vertical="center" wrapText="1"/>
    </xf>
    <xf borderId="0" fillId="2" fontId="1" numFmtId="167" xfId="0" applyAlignment="1" applyFill="1" applyFont="1" applyNumberFormat="1">
      <alignment horizontal="center" shrinkToFit="0" vertical="center" wrapText="1"/>
    </xf>
    <xf borderId="0" fillId="0" fontId="13" numFmtId="0" xfId="0" applyAlignment="1" applyFont="1">
      <alignment vertical="bottom"/>
    </xf>
    <xf borderId="0" fillId="0" fontId="13" numFmtId="0" xfId="0" applyAlignment="1" applyFont="1">
      <alignment vertical="bottom"/>
    </xf>
    <xf borderId="0" fillId="0" fontId="14" numFmtId="0" xfId="0" applyAlignment="1" applyFont="1">
      <alignment vertical="bottom"/>
    </xf>
    <xf borderId="0" fillId="0" fontId="14" numFmtId="0" xfId="0" applyAlignment="1" applyFont="1">
      <alignment vertical="bottom"/>
    </xf>
    <xf borderId="0" fillId="0" fontId="14" numFmtId="0" xfId="0" applyAlignment="1" applyFont="1">
      <alignment horizontal="center" vertical="bottom"/>
    </xf>
    <xf borderId="0" fillId="0" fontId="14" numFmtId="11" xfId="0" applyAlignment="1" applyFont="1" applyNumberFormat="1">
      <alignment horizontal="right" vertical="bottom"/>
    </xf>
    <xf borderId="0" fillId="0" fontId="14" numFmtId="171" xfId="0" applyAlignment="1" applyFont="1" applyNumberFormat="1">
      <alignment horizontal="right" vertical="bottom"/>
    </xf>
    <xf borderId="0" fillId="0" fontId="14" numFmtId="0" xfId="0" applyAlignment="1" applyFont="1">
      <alignment horizontal="right" vertical="bottom"/>
    </xf>
    <xf borderId="0" fillId="2" fontId="15" numFmtId="0" xfId="0" applyAlignment="1" applyFill="1" applyFont="1">
      <alignment horizontal="center" readingOrder="0"/>
    </xf>
    <xf borderId="1" fillId="0" fontId="16" numFmtId="0" xfId="0" applyBorder="1" applyFont="1"/>
    <xf borderId="1" fillId="0" fontId="3" numFmtId="0" xfId="0" applyAlignment="1" applyBorder="1" applyFont="1">
      <alignment readingOrder="0"/>
    </xf>
    <xf borderId="1" fillId="0" fontId="3" numFmtId="0" xfId="0" applyBorder="1" applyFont="1"/>
    <xf borderId="0" fillId="0" fontId="3" numFmtId="172" xfId="0" applyAlignment="1" applyFont="1" applyNumberFormat="1">
      <alignment readingOrder="0"/>
    </xf>
    <xf borderId="0" fillId="0" fontId="3" numFmtId="172" xfId="0" applyAlignment="1" applyFont="1" applyNumberFormat="1">
      <alignment readingOrder="0"/>
    </xf>
    <xf borderId="0" fillId="0" fontId="3" numFmtId="10" xfId="0" applyAlignment="1" applyFont="1" applyNumberFormat="1">
      <alignment readingOrder="0"/>
    </xf>
    <xf borderId="0" fillId="0" fontId="3" numFmtId="172" xfId="0" applyFont="1" applyNumberFormat="1"/>
    <xf borderId="0" fillId="0" fontId="3" numFmtId="172" xfId="0" applyFont="1" applyNumberFormat="1"/>
    <xf borderId="0" fillId="4" fontId="17" numFmtId="0" xfId="0" applyFill="1" applyFont="1"/>
    <xf borderId="0" fillId="4" fontId="18" numFmtId="0" xfId="0" applyAlignment="1" applyFill="1" applyFont="1">
      <alignment horizontal="left" vertical="center"/>
    </xf>
    <xf borderId="0" fillId="0" fontId="6" numFmtId="0" xfId="0" applyAlignment="1" applyFont="1">
      <alignment horizontal="left" shrinkToFit="0" vertical="bottom" wrapText="0"/>
    </xf>
    <xf borderId="0" fillId="0" fontId="19" numFmtId="0" xfId="0" applyAlignment="1" applyFont="1">
      <alignment readingOrder="0" shrinkToFit="0" vertical="bottom" wrapText="0"/>
    </xf>
    <xf borderId="0" fillId="0" fontId="20" numFmtId="0" xfId="0" applyAlignment="1" applyFont="1">
      <alignment readingOrder="0"/>
    </xf>
    <xf borderId="0" fillId="0" fontId="10" numFmtId="0" xfId="0" applyAlignment="1" applyFont="1">
      <alignment horizontal="left" readingOrder="0" shrinkToFit="0" vertical="bottom" wrapText="0"/>
    </xf>
    <xf borderId="0" fillId="0" fontId="2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1A1B1F"/>
                </a:solidFill>
                <a:latin typeface="Montserrat"/>
              </a:defRPr>
            </a:pPr>
            <a:r>
              <a:rPr b="0" sz="1400">
                <a:solidFill>
                  <a:srgbClr val="1A1B1F"/>
                </a:solidFill>
                <a:latin typeface="Montserrat"/>
              </a:rPr>
              <a:t>Monthly Revenue vs Target</a:t>
            </a:r>
          </a:p>
        </c:rich>
      </c:tx>
      <c:overlay val="0"/>
    </c:title>
    <c:plotArea>
      <c:layout/>
      <c:barChart>
        <c:barDir val="col"/>
        <c:ser>
          <c:idx val="0"/>
          <c:order val="0"/>
          <c:tx>
            <c:strRef>
              <c:f>Dashboard_Data!$E$1</c:f>
            </c:strRef>
          </c:tx>
          <c:spPr>
            <a:solidFill>
              <a:srgbClr val="435E91"/>
            </a:solidFill>
            <a:ln cmpd="sng">
              <a:noFill/>
            </a:ln>
          </c:spPr>
          <c:cat>
            <c:strRef>
              <c:f>Dashboard_Data!$D$2:$D$13</c:f>
            </c:strRef>
          </c:cat>
          <c:val>
            <c:numRef>
              <c:f>Dashboard_Data!$E$2:$E$13</c:f>
              <c:numCache/>
            </c:numRef>
          </c:val>
        </c:ser>
        <c:axId val="697750762"/>
        <c:axId val="1671933474"/>
      </c:barChart>
      <c:lineChart>
        <c:varyColors val="0"/>
        <c:ser>
          <c:idx val="1"/>
          <c:order val="1"/>
          <c:tx>
            <c:strRef>
              <c:f>Dashboard_Data!$F$1</c:f>
            </c:strRef>
          </c:tx>
          <c:spPr>
            <a:ln cmpd="sng">
              <a:solidFill>
                <a:srgbClr val="DBE1F8"/>
              </a:solidFill>
            </a:ln>
          </c:spPr>
          <c:marker>
            <c:symbol val="none"/>
          </c:marker>
          <c:cat>
            <c:strRef>
              <c:f>Dashboard_Data!$D$2:$D$13</c:f>
            </c:strRef>
          </c:cat>
          <c:val>
            <c:numRef>
              <c:f>Dashboard_Data!$F$2:$F$13</c:f>
              <c:numCache/>
            </c:numRef>
          </c:val>
          <c:smooth val="0"/>
        </c:ser>
        <c:axId val="697750762"/>
        <c:axId val="1671933474"/>
      </c:lineChart>
      <c:catAx>
        <c:axId val="697750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1933474"/>
      </c:catAx>
      <c:valAx>
        <c:axId val="1671933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97750762"/>
      </c:valAx>
    </c:plotArea>
    <c:legend>
      <c:legendPos val="b"/>
      <c:overlay val="0"/>
      <c:txPr>
        <a:bodyPr/>
        <a:lstStyle/>
        <a:p>
          <a:pPr lvl="0">
            <a:defRPr b="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1A1B1F"/>
                </a:solidFill>
                <a:latin typeface="Montserrat"/>
              </a:defRPr>
            </a:pPr>
            <a:r>
              <a:rPr b="0" sz="1400">
                <a:solidFill>
                  <a:srgbClr val="1A1B1F"/>
                </a:solidFill>
                <a:latin typeface="Montserrat"/>
              </a:rPr>
              <a:t>Leads by Source</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Dashboard_Data!$H$1:$H$6</c:f>
            </c:strRef>
          </c:cat>
          <c:val>
            <c:numRef>
              <c:f>Dashboard_Data!$I$1:$I$6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1A1B1F"/>
                </a:solidFill>
                <a:latin typeface="Montserrat"/>
              </a:defRPr>
            </a:pPr>
            <a:r>
              <a:rPr b="0" sz="1400">
                <a:solidFill>
                  <a:srgbClr val="1A1B1F"/>
                </a:solidFill>
                <a:latin typeface="Montserrat"/>
              </a:rPr>
              <a:t>Revenue by Sales Rep</a:t>
            </a:r>
          </a:p>
        </c:rich>
      </c:tx>
      <c:overlay val="0"/>
    </c:title>
    <c:plotArea>
      <c:layout/>
      <c:barChart>
        <c:barDir val="bar"/>
        <c:ser>
          <c:idx val="0"/>
          <c:order val="0"/>
          <c:tx>
            <c:strRef>
              <c:f>Dashboard_Data!$L$1</c:f>
            </c:strRef>
          </c:tx>
          <c:spPr>
            <a:solidFill>
              <a:srgbClr val="435E91"/>
            </a:solidFill>
            <a:ln cmpd="sng">
              <a:noFill/>
            </a:ln>
          </c:spPr>
          <c:cat>
            <c:strRef>
              <c:f>Dashboard_Data!$K$2:$K$6</c:f>
            </c:strRef>
          </c:cat>
          <c:val>
            <c:numRef>
              <c:f>Dashboard_Data!$L$2:$L$6</c:f>
              <c:numCache/>
            </c:numRef>
          </c:val>
        </c:ser>
        <c:axId val="721595652"/>
        <c:axId val="781868247"/>
      </c:barChart>
      <c:catAx>
        <c:axId val="7215956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Sales Rep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1868247"/>
      </c:catAx>
      <c:valAx>
        <c:axId val="7818682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1595652"/>
        <c:crosses val="max"/>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chart" Target="../charts/chart1.xml"/><Relationship Id="rId6" Type="http://schemas.openxmlformats.org/officeDocument/2006/relationships/chart" Target="../charts/chart2.xml"/><Relationship Id="rId7"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3</xdr:row>
      <xdr:rowOff>95250</xdr:rowOff>
    </xdr:from>
    <xdr:ext cx="2190750" cy="1143000"/>
    <xdr:pic>
      <xdr:nvPicPr>
        <xdr:cNvPr id="266292620" name="Chart1">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3</xdr:row>
      <xdr:rowOff>95250</xdr:rowOff>
    </xdr:from>
    <xdr:ext cx="2190750" cy="1143000"/>
    <xdr:pic>
      <xdr:nvPicPr>
        <xdr:cNvPr id="180419035" name="Chart2">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xdr:colOff>
      <xdr:row>3</xdr:row>
      <xdr:rowOff>95250</xdr:rowOff>
    </xdr:from>
    <xdr:ext cx="2190750" cy="1143000"/>
    <xdr:pic>
      <xdr:nvPicPr>
        <xdr:cNvPr id="1764559550" name="Chart3">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95250</xdr:colOff>
      <xdr:row>3</xdr:row>
      <xdr:rowOff>95250</xdr:rowOff>
    </xdr:from>
    <xdr:ext cx="2190750" cy="1143000"/>
    <xdr:pic>
      <xdr:nvPicPr>
        <xdr:cNvPr id="472529599" name="Chart4">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95250</xdr:colOff>
      <xdr:row>7</xdr:row>
      <xdr:rowOff>95250</xdr:rowOff>
    </xdr:from>
    <xdr:ext cx="4572000" cy="2857500"/>
    <xdr:graphicFrame>
      <xdr:nvGraphicFramePr>
        <xdr:cNvPr id="5" name="Chart 5" title="Monthly Revenue vs Targe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95250</xdr:colOff>
      <xdr:row>7</xdr:row>
      <xdr:rowOff>95250</xdr:rowOff>
    </xdr:from>
    <xdr:ext cx="4572000" cy="2857500"/>
    <xdr:graphicFrame>
      <xdr:nvGraphicFramePr>
        <xdr:cNvPr id="6" name="Chart 6" title="Leads by Source"/>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95250</xdr:colOff>
      <xdr:row>23</xdr:row>
      <xdr:rowOff>95250</xdr:rowOff>
    </xdr:from>
    <xdr:ext cx="9334500" cy="2857500"/>
    <xdr:graphicFrame>
      <xdr:nvGraphicFramePr>
        <xdr:cNvPr id="7" name="Chart 7" title="Revenue by Sales Rep"/>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muenot.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muenot.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kaiden.ai" TargetMode="External"/><Relationship Id="rId391" Type="http://schemas.openxmlformats.org/officeDocument/2006/relationships/hyperlink" Target="https://www.doubtnut.com" TargetMode="External"/><Relationship Id="rId390" Type="http://schemas.openxmlformats.org/officeDocument/2006/relationships/hyperlink" Target="https://mai.ai" TargetMode="External"/><Relationship Id="rId2180" Type="http://schemas.openxmlformats.org/officeDocument/2006/relationships/hyperlink" Target="https://www.volumelearning.com" TargetMode="External"/><Relationship Id="rId2181" Type="http://schemas.openxmlformats.org/officeDocument/2006/relationships/hyperlink" Target="https://www.seriouslabs.co" TargetMode="External"/><Relationship Id="rId2182" Type="http://schemas.openxmlformats.org/officeDocument/2006/relationships/hyperlink" Target="https://www.innovateus.gov" TargetMode="External"/><Relationship Id="rId2183" Type="http://schemas.openxmlformats.org/officeDocument/2006/relationships/hyperlink" Target="http://professorbob.ai" TargetMode="External"/><Relationship Id="rId385" Type="http://schemas.openxmlformats.org/officeDocument/2006/relationships/hyperlink" Target="https://toptierlessons.com" TargetMode="External"/><Relationship Id="rId2184" Type="http://schemas.openxmlformats.org/officeDocument/2006/relationships/hyperlink" Target="https://www.professorbob.ai" TargetMode="External"/><Relationship Id="rId384" Type="http://schemas.openxmlformats.org/officeDocument/2006/relationships/hyperlink" Target="https://cograder.com" TargetMode="External"/><Relationship Id="rId2185" Type="http://schemas.openxmlformats.org/officeDocument/2006/relationships/hyperlink" Target="https://www.skillsunion.com" TargetMode="External"/><Relationship Id="rId383" Type="http://schemas.openxmlformats.org/officeDocument/2006/relationships/hyperlink" Target="https://derivita.com" TargetMode="External"/><Relationship Id="rId2186" Type="http://schemas.openxmlformats.org/officeDocument/2006/relationships/hyperlink" Target="https://www.writelab.com" TargetMode="External"/><Relationship Id="rId382" Type="http://schemas.openxmlformats.org/officeDocument/2006/relationships/hyperlink" Target="https://codecombat.com" TargetMode="External"/><Relationship Id="rId2187" Type="http://schemas.openxmlformats.org/officeDocument/2006/relationships/hyperlink" Target="https://www.dugga.com" TargetMode="External"/><Relationship Id="rId389" Type="http://schemas.openxmlformats.org/officeDocument/2006/relationships/hyperlink" Target="https://lablabee.com" TargetMode="External"/><Relationship Id="rId2188" Type="http://schemas.openxmlformats.org/officeDocument/2006/relationships/hyperlink" Target="https://www.readaskchat.com" TargetMode="External"/><Relationship Id="rId388" Type="http://schemas.openxmlformats.org/officeDocument/2006/relationships/hyperlink" Target="https://www.amazingtalker.com" TargetMode="External"/><Relationship Id="rId2189" Type="http://schemas.openxmlformats.org/officeDocument/2006/relationships/hyperlink" Target="https://www.krenovator.com" TargetMode="External"/><Relationship Id="rId387" Type="http://schemas.openxmlformats.org/officeDocument/2006/relationships/hyperlink" Target="https://mindstone.com" TargetMode="External"/><Relationship Id="rId386" Type="http://schemas.openxmlformats.org/officeDocument/2006/relationships/hyperlink" Target="https://hilink.co" TargetMode="External"/><Relationship Id="rId381" Type="http://schemas.openxmlformats.org/officeDocument/2006/relationships/hyperlink" Target="https://educup.io" TargetMode="External"/><Relationship Id="rId380" Type="http://schemas.openxmlformats.org/officeDocument/2006/relationships/hyperlink" Target="https://shoonya.ai" TargetMode="External"/><Relationship Id="rId379" Type="http://schemas.openxmlformats.org/officeDocument/2006/relationships/hyperlink" Target="https://www.learnosity.com" TargetMode="External"/><Relationship Id="rId2170" Type="http://schemas.openxmlformats.org/officeDocument/2006/relationships/hyperlink" Target="https://www.cinematichealtheducation.com" TargetMode="External"/><Relationship Id="rId2171" Type="http://schemas.openxmlformats.org/officeDocument/2006/relationships/hyperlink" Target="https://www.freshgrade.com" TargetMode="External"/><Relationship Id="rId2172" Type="http://schemas.openxmlformats.org/officeDocument/2006/relationships/hyperlink" Target="https://www.learncoach.com" TargetMode="External"/><Relationship Id="rId374" Type="http://schemas.openxmlformats.org/officeDocument/2006/relationships/hyperlink" Target="https://learnswell.com" TargetMode="External"/><Relationship Id="rId2173" Type="http://schemas.openxmlformats.org/officeDocument/2006/relationships/hyperlink" Target="https://www.stockedge.com" TargetMode="External"/><Relationship Id="rId373" Type="http://schemas.openxmlformats.org/officeDocument/2006/relationships/hyperlink" Target="https://ula.me" TargetMode="External"/><Relationship Id="rId2174" Type="http://schemas.openxmlformats.org/officeDocument/2006/relationships/hyperlink" Target="http://edugo.ai" TargetMode="External"/><Relationship Id="rId372" Type="http://schemas.openxmlformats.org/officeDocument/2006/relationships/hyperlink" Target="http://ula.me" TargetMode="External"/><Relationship Id="rId2175" Type="http://schemas.openxmlformats.org/officeDocument/2006/relationships/hyperlink" Target="https://www.edugo.ai" TargetMode="External"/><Relationship Id="rId371" Type="http://schemas.openxmlformats.org/officeDocument/2006/relationships/hyperlink" Target="https://degreesight.com" TargetMode="External"/><Relationship Id="rId2176" Type="http://schemas.openxmlformats.org/officeDocument/2006/relationships/hyperlink" Target="https://www.presentr.io" TargetMode="External"/><Relationship Id="rId378" Type="http://schemas.openxmlformats.org/officeDocument/2006/relationships/hyperlink" Target="https://bcas.co" TargetMode="External"/><Relationship Id="rId2177" Type="http://schemas.openxmlformats.org/officeDocument/2006/relationships/hyperlink" Target="https://www.coconala.com" TargetMode="External"/><Relationship Id="rId377" Type="http://schemas.openxmlformats.org/officeDocument/2006/relationships/hyperlink" Target="https://egg.live" TargetMode="External"/><Relationship Id="rId2178" Type="http://schemas.openxmlformats.org/officeDocument/2006/relationships/hyperlink" Target="https://www.learningexplorer.ai" TargetMode="External"/><Relationship Id="rId376" Type="http://schemas.openxmlformats.org/officeDocument/2006/relationships/hyperlink" Target="https://fiveable.me" TargetMode="External"/><Relationship Id="rId2179" Type="http://schemas.openxmlformats.org/officeDocument/2006/relationships/hyperlink" Target="https://www.griky.com" TargetMode="External"/><Relationship Id="rId375" Type="http://schemas.openxmlformats.org/officeDocument/2006/relationships/hyperlink" Target="https://beginlearning.com" TargetMode="External"/><Relationship Id="rId2190" Type="http://schemas.openxmlformats.org/officeDocument/2006/relationships/hyperlink" Target="https://www.howtoo.com" TargetMode="External"/><Relationship Id="rId2191" Type="http://schemas.openxmlformats.org/officeDocument/2006/relationships/hyperlink" Target="https://www.edu101.com" TargetMode="External"/><Relationship Id="rId2192" Type="http://schemas.openxmlformats.org/officeDocument/2006/relationships/hyperlink" Target="https://www.dreamshaper.ai" TargetMode="External"/><Relationship Id="rId2193" Type="http://schemas.openxmlformats.org/officeDocument/2006/relationships/hyperlink" Target="https://www.inlustro.com" TargetMode="External"/><Relationship Id="rId2194" Type="http://schemas.openxmlformats.org/officeDocument/2006/relationships/hyperlink" Target="https://www.mentza.com" TargetMode="External"/><Relationship Id="rId396" Type="http://schemas.openxmlformats.org/officeDocument/2006/relationships/hyperlink" Target="https://alba.education" TargetMode="External"/><Relationship Id="rId2195" Type="http://schemas.openxmlformats.org/officeDocument/2006/relationships/hyperlink" Target="https://www.aviotron.com" TargetMode="External"/><Relationship Id="rId395" Type="http://schemas.openxmlformats.org/officeDocument/2006/relationships/hyperlink" Target="https://www.coderhouse.com" TargetMode="External"/><Relationship Id="rId2196" Type="http://schemas.openxmlformats.org/officeDocument/2006/relationships/hyperlink" Target="https://www.magnilearn.com" TargetMode="External"/><Relationship Id="rId394" Type="http://schemas.openxmlformats.org/officeDocument/2006/relationships/hyperlink" Target="https://www.thinkcerca.com" TargetMode="External"/><Relationship Id="rId2197" Type="http://schemas.openxmlformats.org/officeDocument/2006/relationships/hyperlink" Target="https://www.forclassmates.com" TargetMode="External"/><Relationship Id="rId393" Type="http://schemas.openxmlformats.org/officeDocument/2006/relationships/hyperlink" Target="https://virohan.com" TargetMode="External"/><Relationship Id="rId2198" Type="http://schemas.openxmlformats.org/officeDocument/2006/relationships/hyperlink" Target="https://www.gameplanlearning.com" TargetMode="External"/><Relationship Id="rId2199" Type="http://schemas.openxmlformats.org/officeDocument/2006/relationships/hyperlink" Target="https://www.neoscholars.com" TargetMode="External"/><Relationship Id="rId399" Type="http://schemas.openxmlformats.org/officeDocument/2006/relationships/hyperlink" Target="https://www.wonderworkshop.com" TargetMode="External"/><Relationship Id="rId398" Type="http://schemas.openxmlformats.org/officeDocument/2006/relationships/hyperlink" Target="https://scholarlysoftware.com" TargetMode="External"/><Relationship Id="rId397" Type="http://schemas.openxmlformats.org/officeDocument/2006/relationships/hyperlink" Target="https://turingdream.com" TargetMode="External"/><Relationship Id="rId1730" Type="http://schemas.openxmlformats.org/officeDocument/2006/relationships/hyperlink" Target="https://www.ituonline.com" TargetMode="External"/><Relationship Id="rId1731" Type="http://schemas.openxmlformats.org/officeDocument/2006/relationships/hyperlink" Target="https://www.itutorgroup.com" TargetMode="External"/><Relationship Id="rId1732" Type="http://schemas.openxmlformats.org/officeDocument/2006/relationships/hyperlink" Target="http://ixambee.com" TargetMode="External"/><Relationship Id="rId1733" Type="http://schemas.openxmlformats.org/officeDocument/2006/relationships/hyperlink" Target="https://www.ixambee.com" TargetMode="External"/><Relationship Id="rId1734" Type="http://schemas.openxmlformats.org/officeDocument/2006/relationships/hyperlink" Target="https://www.jackrabbitlearningexperience.com" TargetMode="External"/><Relationship Id="rId1735" Type="http://schemas.openxmlformats.org/officeDocument/2006/relationships/hyperlink" Target="https://www.jadoonias.com" TargetMode="External"/><Relationship Id="rId1736" Type="http://schemas.openxmlformats.org/officeDocument/2006/relationships/hyperlink" Target="https://www.jaggloballearning.com" TargetMode="External"/><Relationship Id="rId1737" Type="http://schemas.openxmlformats.org/officeDocument/2006/relationships/hyperlink" Target="https://www.jaypeebrothers.com" TargetMode="External"/><Relationship Id="rId1738" Type="http://schemas.openxmlformats.org/officeDocument/2006/relationships/hyperlink" Target="https://www.jdmonesource.com" TargetMode="External"/><Relationship Id="rId1739" Type="http://schemas.openxmlformats.org/officeDocument/2006/relationships/hyperlink" Target="https://www.joshguru.com" TargetMode="External"/><Relationship Id="rId1720" Type="http://schemas.openxmlformats.org/officeDocument/2006/relationships/hyperlink" Target="https://www.infoprolearning.com" TargetMode="External"/><Relationship Id="rId1721" Type="http://schemas.openxmlformats.org/officeDocument/2006/relationships/hyperlink" Target="https://www.ingeniusprep.com" TargetMode="External"/><Relationship Id="rId1722" Type="http://schemas.openxmlformats.org/officeDocument/2006/relationships/hyperlink" Target="https://www.iknowvativeedge.com" TargetMode="External"/><Relationship Id="rId1723" Type="http://schemas.openxmlformats.org/officeDocument/2006/relationships/hyperlink" Target="https://innovativelearning.com" TargetMode="External"/><Relationship Id="rId1724" Type="http://schemas.openxmlformats.org/officeDocument/2006/relationships/hyperlink" Target="https://www.inurture.co.in" TargetMode="External"/><Relationship Id="rId1725" Type="http://schemas.openxmlformats.org/officeDocument/2006/relationships/hyperlink" Target="https://www.invince.com" TargetMode="External"/><Relationship Id="rId1726" Type="http://schemas.openxmlformats.org/officeDocument/2006/relationships/hyperlink" Target="https://www.isaksham.in" TargetMode="External"/><Relationship Id="rId1727" Type="http://schemas.openxmlformats.org/officeDocument/2006/relationships/hyperlink" Target="https://www.ispringsolutions.com" TargetMode="External"/><Relationship Id="rId1728" Type="http://schemas.openxmlformats.org/officeDocument/2006/relationships/hyperlink" Target="https://www.itct.in" TargetMode="External"/><Relationship Id="rId1729" Type="http://schemas.openxmlformats.org/officeDocument/2006/relationships/hyperlink" Target="https://www.iteach.net" TargetMode="External"/><Relationship Id="rId1752" Type="http://schemas.openxmlformats.org/officeDocument/2006/relationships/hyperlink" Target="https://www.welcometothejungle.com" TargetMode="External"/><Relationship Id="rId1753" Type="http://schemas.openxmlformats.org/officeDocument/2006/relationships/hyperlink" Target="https://www.skillcycle.com" TargetMode="External"/><Relationship Id="rId1754" Type="http://schemas.openxmlformats.org/officeDocument/2006/relationships/hyperlink" Target="https://www.sketchy.com" TargetMode="External"/><Relationship Id="rId1755" Type="http://schemas.openxmlformats.org/officeDocument/2006/relationships/hyperlink" Target="https://www.continuum.com" TargetMode="External"/><Relationship Id="rId1756" Type="http://schemas.openxmlformats.org/officeDocument/2006/relationships/hyperlink" Target="https://www.kodland.org" TargetMode="External"/><Relationship Id="rId1757" Type="http://schemas.openxmlformats.org/officeDocument/2006/relationships/hyperlink" Target="https://www.sololearn.com" TargetMode="External"/><Relationship Id="rId1758" Type="http://schemas.openxmlformats.org/officeDocument/2006/relationships/hyperlink" Target="https://www.engageli.com" TargetMode="External"/><Relationship Id="rId1759" Type="http://schemas.openxmlformats.org/officeDocument/2006/relationships/hyperlink" Target="https://www.reforge.com" TargetMode="External"/><Relationship Id="rId1750" Type="http://schemas.openxmlformats.org/officeDocument/2006/relationships/hyperlink" Target="https://www.quickstart.com" TargetMode="External"/><Relationship Id="rId1751" Type="http://schemas.openxmlformats.org/officeDocument/2006/relationships/hyperlink" Target="https://www.expressable.com" TargetMode="External"/><Relationship Id="rId1741" Type="http://schemas.openxmlformats.org/officeDocument/2006/relationships/hyperlink" Target="https://www.jubillant.com" TargetMode="External"/><Relationship Id="rId1742" Type="http://schemas.openxmlformats.org/officeDocument/2006/relationships/hyperlink" Target="https://www.k12.com" TargetMode="External"/><Relationship Id="rId1743" Type="http://schemas.openxmlformats.org/officeDocument/2006/relationships/hyperlink" Target="https://www.k12techno.com" TargetMode="External"/><Relationship Id="rId1744" Type="http://schemas.openxmlformats.org/officeDocument/2006/relationships/hyperlink" Target="https://www.kalpakosh.com" TargetMode="External"/><Relationship Id="rId1745" Type="http://schemas.openxmlformats.org/officeDocument/2006/relationships/hyperlink" Target="https://www.clayful.com" TargetMode="External"/><Relationship Id="rId1746" Type="http://schemas.openxmlformats.org/officeDocument/2006/relationships/hyperlink" Target="https://www.pathstream.com" TargetMode="External"/><Relationship Id="rId1747" Type="http://schemas.openxmlformats.org/officeDocument/2006/relationships/hyperlink" Target="https://www.growthspace.com" TargetMode="External"/><Relationship Id="rId1748" Type="http://schemas.openxmlformats.org/officeDocument/2006/relationships/hyperlink" Target="https://www.frontlineiq.com" TargetMode="External"/><Relationship Id="rId1749" Type="http://schemas.openxmlformats.org/officeDocument/2006/relationships/hyperlink" Target="https://www.spokn.com" TargetMode="External"/><Relationship Id="rId1740" Type="http://schemas.openxmlformats.org/officeDocument/2006/relationships/hyperlink" Target="https://www.jove.com" TargetMode="External"/><Relationship Id="rId1710" Type="http://schemas.openxmlformats.org/officeDocument/2006/relationships/hyperlink" Target="https://www.icademymiddleeast.com" TargetMode="External"/><Relationship Id="rId1711" Type="http://schemas.openxmlformats.org/officeDocument/2006/relationships/hyperlink" Target="https://www.idreameducation.org" TargetMode="External"/><Relationship Id="rId1712" Type="http://schemas.openxmlformats.org/officeDocument/2006/relationships/hyperlink" Target="https://www.igmguru.com" TargetMode="External"/><Relationship Id="rId1713" Type="http://schemas.openxmlformats.org/officeDocument/2006/relationships/hyperlink" Target="https://www.ignitelearningacademy.com" TargetMode="External"/><Relationship Id="rId1714" Type="http://schemas.openxmlformats.org/officeDocument/2006/relationships/hyperlink" Target="https://www.illuminainteractive.com" TargetMode="External"/><Relationship Id="rId1715" Type="http://schemas.openxmlformats.org/officeDocument/2006/relationships/hyperlink" Target="https://www.imarticus.org" TargetMode="External"/><Relationship Id="rId1716" Type="http://schemas.openxmlformats.org/officeDocument/2006/relationships/hyperlink" Target="https://www.immunizationacademy.com" TargetMode="External"/><Relationship Id="rId1717" Type="http://schemas.openxmlformats.org/officeDocument/2006/relationships/hyperlink" Target="https://www.imperiumedutech.com" TargetMode="External"/><Relationship Id="rId1718" Type="http://schemas.openxmlformats.org/officeDocument/2006/relationships/hyperlink" Target="https://www.imsindia.com" TargetMode="External"/><Relationship Id="rId1719" Type="http://schemas.openxmlformats.org/officeDocument/2006/relationships/hyperlink" Target="https://www.infinitylearn.com" TargetMode="External"/><Relationship Id="rId1700" Type="http://schemas.openxmlformats.org/officeDocument/2006/relationships/hyperlink" Target="https://www.hindiguru.com" TargetMode="External"/><Relationship Id="rId1701" Type="http://schemas.openxmlformats.org/officeDocument/2006/relationships/hyperlink" Target="https://www.hiztorybookz.com" TargetMode="External"/><Relationship Id="rId1702" Type="http://schemas.openxmlformats.org/officeDocument/2006/relationships/hyperlink" Target="https://www.homeassignments.com" TargetMode="External"/><Relationship Id="rId1703" Type="http://schemas.openxmlformats.org/officeDocument/2006/relationships/hyperlink" Target="https://mysmartschool.com/" TargetMode="External"/><Relationship Id="rId1704" Type="http://schemas.openxmlformats.org/officeDocument/2006/relationships/hyperlink" Target="https://mysmartschool.com" TargetMode="External"/><Relationship Id="rId1705" Type="http://schemas.openxmlformats.org/officeDocument/2006/relationships/hyperlink" Target="https://www.huerus.com" TargetMode="External"/><Relationship Id="rId1706" Type="http://schemas.openxmlformats.org/officeDocument/2006/relationships/hyperlink" Target="https://www.hugheseducation.com" TargetMode="External"/><Relationship Id="rId1707" Type="http://schemas.openxmlformats.org/officeDocument/2006/relationships/hyperlink" Target="https://www.huntingtonhelps.com" TargetMode="External"/><Relationship Id="rId1708" Type="http://schemas.openxmlformats.org/officeDocument/2006/relationships/hyperlink" Target="https://www.hurix.com" TargetMode="External"/><Relationship Id="rId1709" Type="http://schemas.openxmlformats.org/officeDocument/2006/relationships/hyperlink" Target="https://www.i4excellence.com" TargetMode="External"/><Relationship Id="rId40" Type="http://schemas.openxmlformats.org/officeDocument/2006/relationships/hyperlink" Target="https://www.uplimitlearning.com" TargetMode="External"/><Relationship Id="rId3513" Type="http://schemas.openxmlformats.org/officeDocument/2006/relationships/hyperlink" Target="https://www.macmillan.com" TargetMode="External"/><Relationship Id="rId3512" Type="http://schemas.openxmlformats.org/officeDocument/2006/relationships/hyperlink" Target="https://www.linkedin.com" TargetMode="External"/><Relationship Id="rId42" Type="http://schemas.openxmlformats.org/officeDocument/2006/relationships/hyperlink" Target="https://www.knackapp.com" TargetMode="External"/><Relationship Id="rId3515" Type="http://schemas.openxmlformats.org/officeDocument/2006/relationships/hyperlink" Target="https://global.oup.com" TargetMode="External"/><Relationship Id="rId41" Type="http://schemas.openxmlformats.org/officeDocument/2006/relationships/hyperlink" Target="https://cathoven.com" TargetMode="External"/><Relationship Id="rId3514" Type="http://schemas.openxmlformats.org/officeDocument/2006/relationships/hyperlink" Target="https://mitpress.mit.edu" TargetMode="External"/><Relationship Id="rId44" Type="http://schemas.openxmlformats.org/officeDocument/2006/relationships/hyperlink" Target="https://www.twenty.com" TargetMode="External"/><Relationship Id="rId3517" Type="http://schemas.openxmlformats.org/officeDocument/2006/relationships/hyperlink" Target="https://www.tandfonline.com" TargetMode="External"/><Relationship Id="rId43" Type="http://schemas.openxmlformats.org/officeDocument/2006/relationships/hyperlink" Target="https://www.commonsensemedia.org" TargetMode="External"/><Relationship Id="rId3516" Type="http://schemas.openxmlformats.org/officeDocument/2006/relationships/hyperlink" Target="https://www.springer.com" TargetMode="External"/><Relationship Id="rId46" Type="http://schemas.openxmlformats.org/officeDocument/2006/relationships/hyperlink" Target="https://seekho.ai" TargetMode="External"/><Relationship Id="rId3519" Type="http://schemas.openxmlformats.org/officeDocument/2006/relationships/hyperlink" Target="https://www.wiley.com" TargetMode="External"/><Relationship Id="rId45" Type="http://schemas.openxmlformats.org/officeDocument/2006/relationships/hyperlink" Target="https://swingeducation.com" TargetMode="External"/><Relationship Id="rId3518" Type="http://schemas.openxmlformats.org/officeDocument/2006/relationships/hyperlink" Target="https://www.thomsonreuters.com" TargetMode="External"/><Relationship Id="rId48" Type="http://schemas.openxmlformats.org/officeDocument/2006/relationships/hyperlink" Target="https://quizlet.com" TargetMode="External"/><Relationship Id="rId47" Type="http://schemas.openxmlformats.org/officeDocument/2006/relationships/hyperlink" Target="https://bhanzu.com" TargetMode="External"/><Relationship Id="rId49" Type="http://schemas.openxmlformats.org/officeDocument/2006/relationships/hyperlink" Target="https://zensai.com" TargetMode="External"/><Relationship Id="rId3511" Type="http://schemas.openxmlformats.org/officeDocument/2006/relationships/hyperlink" Target="https://www.lexisnexis.com" TargetMode="External"/><Relationship Id="rId3510" Type="http://schemas.openxmlformats.org/officeDocument/2006/relationships/hyperlink" Target="https://www.intechopen.com" TargetMode="External"/><Relationship Id="rId3502" Type="http://schemas.openxmlformats.org/officeDocument/2006/relationships/hyperlink" Target="https://www.education.com" TargetMode="External"/><Relationship Id="rId3501" Type="http://schemas.openxmlformats.org/officeDocument/2006/relationships/hyperlink" Target="http://education.com" TargetMode="External"/><Relationship Id="rId31" Type="http://schemas.openxmlformats.org/officeDocument/2006/relationships/hyperlink" Target="https://www.imperial.ac.uk" TargetMode="External"/><Relationship Id="rId3504" Type="http://schemas.openxmlformats.org/officeDocument/2006/relationships/hyperlink" Target="https://www.epac.com" TargetMode="External"/><Relationship Id="rId30" Type="http://schemas.openxmlformats.org/officeDocument/2006/relationships/hyperlink" Target="https://www.magicschool.ai" TargetMode="External"/><Relationship Id="rId3503" Type="http://schemas.openxmlformats.org/officeDocument/2006/relationships/hyperlink" Target="https://www.elsevier.com" TargetMode="External"/><Relationship Id="rId33" Type="http://schemas.openxmlformats.org/officeDocument/2006/relationships/hyperlink" Target="https://www.springboard.com" TargetMode="External"/><Relationship Id="rId3506" Type="http://schemas.openxmlformats.org/officeDocument/2006/relationships/hyperlink" Target="https://www.frontiersin.org" TargetMode="External"/><Relationship Id="rId32" Type="http://schemas.openxmlformats.org/officeDocument/2006/relationships/hyperlink" Target="https://oritechnologies.com" TargetMode="External"/><Relationship Id="rId3505" Type="http://schemas.openxmlformats.org/officeDocument/2006/relationships/hyperlink" Target="https://www.forrester.com" TargetMode="External"/><Relationship Id="rId35" Type="http://schemas.openxmlformats.org/officeDocument/2006/relationships/hyperlink" Target="https://www.olacabs.com" TargetMode="External"/><Relationship Id="rId3508" Type="http://schemas.openxmlformats.org/officeDocument/2006/relationships/hyperlink" Target="https://www.hmhco.com" TargetMode="External"/><Relationship Id="rId34" Type="http://schemas.openxmlformats.org/officeDocument/2006/relationships/hyperlink" Target="https://www.roybi.com" TargetMode="External"/><Relationship Id="rId3507" Type="http://schemas.openxmlformats.org/officeDocument/2006/relationships/hyperlink" Target="https://www.g-w.com" TargetMode="External"/><Relationship Id="rId3509" Type="http://schemas.openxmlformats.org/officeDocument/2006/relationships/hyperlink" Target="https://www.hindawi.com" TargetMode="External"/><Relationship Id="rId37" Type="http://schemas.openxmlformats.org/officeDocument/2006/relationships/hyperlink" Target="https://subject.com" TargetMode="External"/><Relationship Id="rId36" Type="http://schemas.openxmlformats.org/officeDocument/2006/relationships/hyperlink" Target="https://www.elevatek12.com" TargetMode="External"/><Relationship Id="rId39" Type="http://schemas.openxmlformats.org/officeDocument/2006/relationships/hyperlink" Target="https://www.masterclass.com" TargetMode="External"/><Relationship Id="rId38" Type="http://schemas.openxmlformats.org/officeDocument/2006/relationships/hyperlink" Target="https://www.udemy.com" TargetMode="External"/><Relationship Id="rId3500" Type="http://schemas.openxmlformats.org/officeDocument/2006/relationships/hyperlink" Target="https://www.edpsciences.org" TargetMode="External"/><Relationship Id="rId2203" Type="http://schemas.openxmlformats.org/officeDocument/2006/relationships/hyperlink" Target="https://www.coleap.com" TargetMode="External"/><Relationship Id="rId3535" Type="http://schemas.openxmlformats.org/officeDocument/2006/relationships/hyperlink" Target="http://www.volgapartners.com/" TargetMode="External"/><Relationship Id="rId2204" Type="http://schemas.openxmlformats.org/officeDocument/2006/relationships/hyperlink" Target="https://www.human.co" TargetMode="External"/><Relationship Id="rId3534" Type="http://schemas.openxmlformats.org/officeDocument/2006/relationships/hyperlink" Target="https://www.linkedin.com/company/technology-innovation-hub/" TargetMode="External"/><Relationship Id="rId20" Type="http://schemas.openxmlformats.org/officeDocument/2006/relationships/hyperlink" Target="https://shaperobotics.com" TargetMode="External"/><Relationship Id="rId2205" Type="http://schemas.openxmlformats.org/officeDocument/2006/relationships/hyperlink" Target="https://www.tutorac.com" TargetMode="External"/><Relationship Id="rId3537" Type="http://schemas.openxmlformats.org/officeDocument/2006/relationships/hyperlink" Target="https://sigma.ai/" TargetMode="External"/><Relationship Id="rId2206" Type="http://schemas.openxmlformats.org/officeDocument/2006/relationships/hyperlink" Target="https://www.coinmarketpedia.com" TargetMode="External"/><Relationship Id="rId3536" Type="http://schemas.openxmlformats.org/officeDocument/2006/relationships/hyperlink" Target="https://www.linkedin.com/company/volga-partners/about/" TargetMode="External"/><Relationship Id="rId22" Type="http://schemas.openxmlformats.org/officeDocument/2006/relationships/hyperlink" Target="https://www.codeyoung.com" TargetMode="External"/><Relationship Id="rId2207" Type="http://schemas.openxmlformats.org/officeDocument/2006/relationships/hyperlink" Target="https://www.gururo.com" TargetMode="External"/><Relationship Id="rId3539" Type="http://schemas.openxmlformats.org/officeDocument/2006/relationships/drawing" Target="../drawings/drawing4.xml"/><Relationship Id="rId21" Type="http://schemas.openxmlformats.org/officeDocument/2006/relationships/hyperlink" Target="https://www.educationcannotwait.org" TargetMode="External"/><Relationship Id="rId2208" Type="http://schemas.openxmlformats.org/officeDocument/2006/relationships/hyperlink" Target="https://www.edvisor.io" TargetMode="External"/><Relationship Id="rId3538" Type="http://schemas.openxmlformats.org/officeDocument/2006/relationships/hyperlink" Target="https://www.linkedin.com/company/sigma-ai/about/" TargetMode="External"/><Relationship Id="rId24" Type="http://schemas.openxmlformats.org/officeDocument/2006/relationships/hyperlink" Target="https://www.lingoace.com" TargetMode="External"/><Relationship Id="rId2209" Type="http://schemas.openxmlformats.org/officeDocument/2006/relationships/hyperlink" Target="https://www.zulama.com" TargetMode="External"/><Relationship Id="rId23" Type="http://schemas.openxmlformats.org/officeDocument/2006/relationships/hyperlink" Target="https://360learning.com" TargetMode="External"/><Relationship Id="rId26" Type="http://schemas.openxmlformats.org/officeDocument/2006/relationships/hyperlink" Target="https://www.powerschool.com" TargetMode="External"/><Relationship Id="rId25" Type="http://schemas.openxmlformats.org/officeDocument/2006/relationships/hyperlink" Target="https://platzi.com" TargetMode="External"/><Relationship Id="rId28" Type="http://schemas.openxmlformats.org/officeDocument/2006/relationships/hyperlink" Target="https://www.mheducation.com" TargetMode="External"/><Relationship Id="rId27" Type="http://schemas.openxmlformats.org/officeDocument/2006/relationships/hyperlink" Target="https://edsights.com" TargetMode="External"/><Relationship Id="rId3531" Type="http://schemas.openxmlformats.org/officeDocument/2006/relationships/hyperlink" Target="http://tnq.co.in" TargetMode="External"/><Relationship Id="rId29" Type="http://schemas.openxmlformats.org/officeDocument/2006/relationships/hyperlink" Target="https://outschool.com" TargetMode="External"/><Relationship Id="rId2200" Type="http://schemas.openxmlformats.org/officeDocument/2006/relationships/hyperlink" Target="https://www.nativeenglishinstitute.com" TargetMode="External"/><Relationship Id="rId3530" Type="http://schemas.openxmlformats.org/officeDocument/2006/relationships/hyperlink" Target="http://sagepub.in" TargetMode="External"/><Relationship Id="rId2201" Type="http://schemas.openxmlformats.org/officeDocument/2006/relationships/hyperlink" Target="https://www.bitclass.live" TargetMode="External"/><Relationship Id="rId3533" Type="http://schemas.openxmlformats.org/officeDocument/2006/relationships/hyperlink" Target="https://tihiitb.org/" TargetMode="External"/><Relationship Id="rId2202" Type="http://schemas.openxmlformats.org/officeDocument/2006/relationships/hyperlink" Target="https://www.innojin.ai" TargetMode="External"/><Relationship Id="rId3532" Type="http://schemas.openxmlformats.org/officeDocument/2006/relationships/hyperlink" Target="http://thomsondigital.com" TargetMode="External"/><Relationship Id="rId3524" Type="http://schemas.openxmlformats.org/officeDocument/2006/relationships/hyperlink" Target="https://www.zoho.com/" TargetMode="External"/><Relationship Id="rId3523" Type="http://schemas.openxmlformats.org/officeDocument/2006/relationships/hyperlink" Target="https://abacus.ai/" TargetMode="External"/><Relationship Id="rId3526" Type="http://schemas.openxmlformats.org/officeDocument/2006/relationships/hyperlink" Target="https://www.acolad.com/" TargetMode="External"/><Relationship Id="rId3525" Type="http://schemas.openxmlformats.org/officeDocument/2006/relationships/hyperlink" Target="https://oswaalbooks.com/" TargetMode="External"/><Relationship Id="rId11" Type="http://schemas.openxmlformats.org/officeDocument/2006/relationships/hyperlink" Target="https://www.kiddom.co" TargetMode="External"/><Relationship Id="rId3528" Type="http://schemas.openxmlformats.org/officeDocument/2006/relationships/hyperlink" Target="http://www.integranxt.com/" TargetMode="External"/><Relationship Id="rId10" Type="http://schemas.openxmlformats.org/officeDocument/2006/relationships/hyperlink" Target="https://www.coursera.org" TargetMode="External"/><Relationship Id="rId3527" Type="http://schemas.openxmlformats.org/officeDocument/2006/relationships/hyperlink" Target="http://turing.com" TargetMode="External"/><Relationship Id="rId13" Type="http://schemas.openxmlformats.org/officeDocument/2006/relationships/hyperlink" Target="https://boodlebox.com" TargetMode="External"/><Relationship Id="rId12" Type="http://schemas.openxmlformats.org/officeDocument/2006/relationships/hyperlink" Target="https://www.simplilearn.com" TargetMode="External"/><Relationship Id="rId3529" Type="http://schemas.openxmlformats.org/officeDocument/2006/relationships/hyperlink" Target="https://www.kriyadocs.com/" TargetMode="External"/><Relationship Id="rId15" Type="http://schemas.openxmlformats.org/officeDocument/2006/relationships/hyperlink" Target="https://www.yoto.com" TargetMode="External"/><Relationship Id="rId14" Type="http://schemas.openxmlformats.org/officeDocument/2006/relationships/hyperlink" Target="https://www.pathify.com" TargetMode="External"/><Relationship Id="rId17" Type="http://schemas.openxmlformats.org/officeDocument/2006/relationships/hyperlink" Target="https://kajabi.com" TargetMode="External"/><Relationship Id="rId16" Type="http://schemas.openxmlformats.org/officeDocument/2006/relationships/hyperlink" Target="https://www.geniusgroup.net" TargetMode="External"/><Relationship Id="rId19" Type="http://schemas.openxmlformats.org/officeDocument/2006/relationships/hyperlink" Target="https://www.amboss.com" TargetMode="External"/><Relationship Id="rId3520" Type="http://schemas.openxmlformats.org/officeDocument/2006/relationships/hyperlink" Target="https://www.wolterskluwer.com" TargetMode="External"/><Relationship Id="rId18" Type="http://schemas.openxmlformats.org/officeDocument/2006/relationships/hyperlink" Target="https://classover.com" TargetMode="External"/><Relationship Id="rId3522" Type="http://schemas.openxmlformats.org/officeDocument/2006/relationships/hyperlink" Target="https://amnet.com/" TargetMode="External"/><Relationship Id="rId3521" Type="http://schemas.openxmlformats.org/officeDocument/2006/relationships/hyperlink" Target="https://www.zaner-bloser.com" TargetMode="External"/><Relationship Id="rId84" Type="http://schemas.openxmlformats.org/officeDocument/2006/relationships/hyperlink" Target="https://www.prismsvr.com" TargetMode="External"/><Relationship Id="rId1774" Type="http://schemas.openxmlformats.org/officeDocument/2006/relationships/hyperlink" Target="https://www.teachersbuddy.com" TargetMode="External"/><Relationship Id="rId83" Type="http://schemas.openxmlformats.org/officeDocument/2006/relationships/hyperlink" Target="https://www.leapfinance.com" TargetMode="External"/><Relationship Id="rId1775" Type="http://schemas.openxmlformats.org/officeDocument/2006/relationships/hyperlink" Target="https://www.kaixr.com" TargetMode="External"/><Relationship Id="rId86" Type="http://schemas.openxmlformats.org/officeDocument/2006/relationships/hyperlink" Target="https://www.edflex.com" TargetMode="External"/><Relationship Id="rId1776" Type="http://schemas.openxmlformats.org/officeDocument/2006/relationships/hyperlink" Target="https://www.domestika.org" TargetMode="External"/><Relationship Id="rId85" Type="http://schemas.openxmlformats.org/officeDocument/2006/relationships/hyperlink" Target="https://www.openenglish.com" TargetMode="External"/><Relationship Id="rId1777" Type="http://schemas.openxmlformats.org/officeDocument/2006/relationships/hyperlink" Target="https://www.profjim.com" TargetMode="External"/><Relationship Id="rId88" Type="http://schemas.openxmlformats.org/officeDocument/2006/relationships/hyperlink" Target="https://www.briskteaching.com" TargetMode="External"/><Relationship Id="rId1778" Type="http://schemas.openxmlformats.org/officeDocument/2006/relationships/hyperlink" Target="https://www.edumentors.co.uk" TargetMode="External"/><Relationship Id="rId87" Type="http://schemas.openxmlformats.org/officeDocument/2006/relationships/hyperlink" Target="https://certiverse.com" TargetMode="External"/><Relationship Id="rId1779" Type="http://schemas.openxmlformats.org/officeDocument/2006/relationships/hyperlink" Target="https://www.toucan.ai" TargetMode="External"/><Relationship Id="rId89" Type="http://schemas.openxmlformats.org/officeDocument/2006/relationships/hyperlink" Target="https://www.crimsoneducation.org" TargetMode="External"/><Relationship Id="rId80" Type="http://schemas.openxmlformats.org/officeDocument/2006/relationships/hyperlink" Target="https://oneeleven.com" TargetMode="External"/><Relationship Id="rId82" Type="http://schemas.openxmlformats.org/officeDocument/2006/relationships/hyperlink" Target="https://slangapp.com" TargetMode="External"/><Relationship Id="rId81" Type="http://schemas.openxmlformats.org/officeDocument/2006/relationships/hyperlink" Target="https://www.skillshare.com" TargetMode="External"/><Relationship Id="rId1770" Type="http://schemas.openxmlformats.org/officeDocument/2006/relationships/hyperlink" Target="https://www.honoreducation.com" TargetMode="External"/><Relationship Id="rId1771" Type="http://schemas.openxmlformats.org/officeDocument/2006/relationships/hyperlink" Target="https://www.cypherlearning.com" TargetMode="External"/><Relationship Id="rId1772" Type="http://schemas.openxmlformats.org/officeDocument/2006/relationships/hyperlink" Target="https://www.salesimpactacademy.com" TargetMode="External"/><Relationship Id="rId1773" Type="http://schemas.openxmlformats.org/officeDocument/2006/relationships/hyperlink" Target="https://www.jaroeducation.com" TargetMode="External"/><Relationship Id="rId73" Type="http://schemas.openxmlformats.org/officeDocument/2006/relationships/hyperlink" Target="https://www.rampedcareers.com" TargetMode="External"/><Relationship Id="rId1763" Type="http://schemas.openxmlformats.org/officeDocument/2006/relationships/hyperlink" Target="http://modal.io" TargetMode="External"/><Relationship Id="rId72" Type="http://schemas.openxmlformats.org/officeDocument/2006/relationships/hyperlink" Target="https://www.alephholding.com" TargetMode="External"/><Relationship Id="rId1764" Type="http://schemas.openxmlformats.org/officeDocument/2006/relationships/hyperlink" Target="https://www.modal.io" TargetMode="External"/><Relationship Id="rId75" Type="http://schemas.openxmlformats.org/officeDocument/2006/relationships/hyperlink" Target="https://www.execonline.com" TargetMode="External"/><Relationship Id="rId1765" Type="http://schemas.openxmlformats.org/officeDocument/2006/relationships/hyperlink" Target="https://www.intuition.com" TargetMode="External"/><Relationship Id="rId74" Type="http://schemas.openxmlformats.org/officeDocument/2006/relationships/hyperlink" Target="https://www.nectir.io" TargetMode="External"/><Relationship Id="rId1766" Type="http://schemas.openxmlformats.org/officeDocument/2006/relationships/hyperlink" Target="https://www.forcetherapeutics.com" TargetMode="External"/><Relationship Id="rId77" Type="http://schemas.openxmlformats.org/officeDocument/2006/relationships/hyperlink" Target="https://www.zigazoo.com" TargetMode="External"/><Relationship Id="rId1767" Type="http://schemas.openxmlformats.org/officeDocument/2006/relationships/hyperlink" Target="https://www.ethossystems.com" TargetMode="External"/><Relationship Id="rId76" Type="http://schemas.openxmlformats.org/officeDocument/2006/relationships/hyperlink" Target="https://www.vivi.io" TargetMode="External"/><Relationship Id="rId1768" Type="http://schemas.openxmlformats.org/officeDocument/2006/relationships/hyperlink" Target="https://www.ziplineseducation.com" TargetMode="External"/><Relationship Id="rId79" Type="http://schemas.openxmlformats.org/officeDocument/2006/relationships/hyperlink" Target="https://www.kiratalent.com" TargetMode="External"/><Relationship Id="rId1769" Type="http://schemas.openxmlformats.org/officeDocument/2006/relationships/hyperlink" Target="https://www.vyond.com" TargetMode="External"/><Relationship Id="rId78" Type="http://schemas.openxmlformats.org/officeDocument/2006/relationships/hyperlink" Target="https://www.candoor.com" TargetMode="External"/><Relationship Id="rId71" Type="http://schemas.openxmlformats.org/officeDocument/2006/relationships/hyperlink" Target="https://www.givebacks.com" TargetMode="External"/><Relationship Id="rId70" Type="http://schemas.openxmlformats.org/officeDocument/2006/relationships/hyperlink" Target="https://mastermindseducation.com" TargetMode="External"/><Relationship Id="rId1760" Type="http://schemas.openxmlformats.org/officeDocument/2006/relationships/hyperlink" Target="https://www.doinstruct.com" TargetMode="External"/><Relationship Id="rId1761" Type="http://schemas.openxmlformats.org/officeDocument/2006/relationships/hyperlink" Target="https://www.soundingboardinc.com" TargetMode="External"/><Relationship Id="rId1762" Type="http://schemas.openxmlformats.org/officeDocument/2006/relationships/hyperlink" Target="https://www.teleteachers.org" TargetMode="External"/><Relationship Id="rId62" Type="http://schemas.openxmlformats.org/officeDocument/2006/relationships/hyperlink" Target="https://www.goalsetter.co" TargetMode="External"/><Relationship Id="rId1796" Type="http://schemas.openxmlformats.org/officeDocument/2006/relationships/hyperlink" Target="https://www.metaall.ai" TargetMode="External"/><Relationship Id="rId61" Type="http://schemas.openxmlformats.org/officeDocument/2006/relationships/hyperlink" Target="https://www.applause.com" TargetMode="External"/><Relationship Id="rId1797" Type="http://schemas.openxmlformats.org/officeDocument/2006/relationships/hyperlink" Target="https://www.helloworldcs.org" TargetMode="External"/><Relationship Id="rId64" Type="http://schemas.openxmlformats.org/officeDocument/2006/relationships/hyperlink" Target="https://www.udacity.com" TargetMode="External"/><Relationship Id="rId1798" Type="http://schemas.openxmlformats.org/officeDocument/2006/relationships/hyperlink" Target="https://www.yaizy.com" TargetMode="External"/><Relationship Id="rId63" Type="http://schemas.openxmlformats.org/officeDocument/2006/relationships/hyperlink" Target="https://themimir.com" TargetMode="External"/><Relationship Id="rId1799" Type="http://schemas.openxmlformats.org/officeDocument/2006/relationships/hyperlink" Target="https://www.rali.io" TargetMode="External"/><Relationship Id="rId66" Type="http://schemas.openxmlformats.org/officeDocument/2006/relationships/hyperlink" Target="https://beincrypto.com" TargetMode="External"/><Relationship Id="rId65" Type="http://schemas.openxmlformats.org/officeDocument/2006/relationships/hyperlink" Target="https://www.praxislabs.co" TargetMode="External"/><Relationship Id="rId68" Type="http://schemas.openxmlformats.org/officeDocument/2006/relationships/hyperlink" Target="https://www.ageoflearning.com" TargetMode="External"/><Relationship Id="rId67" Type="http://schemas.openxmlformats.org/officeDocument/2006/relationships/hyperlink" Target="https://www.edurino.com" TargetMode="External"/><Relationship Id="rId60" Type="http://schemas.openxmlformats.org/officeDocument/2006/relationships/hyperlink" Target="https://www.gebeya.com" TargetMode="External"/><Relationship Id="rId69" Type="http://schemas.openxmlformats.org/officeDocument/2006/relationships/hyperlink" Target="https://squirrelai.com" TargetMode="External"/><Relationship Id="rId1790" Type="http://schemas.openxmlformats.org/officeDocument/2006/relationships/hyperlink" Target="https://www.futura-sciences.com" TargetMode="External"/><Relationship Id="rId1791" Type="http://schemas.openxmlformats.org/officeDocument/2006/relationships/hyperlink" Target="https://www.bookclub.com" TargetMode="External"/><Relationship Id="rId1792" Type="http://schemas.openxmlformats.org/officeDocument/2006/relationships/hyperlink" Target="https://www.superpeer.com" TargetMode="External"/><Relationship Id="rId1793" Type="http://schemas.openxmlformats.org/officeDocument/2006/relationships/hyperlink" Target="https://www.almentor.net" TargetMode="External"/><Relationship Id="rId1794" Type="http://schemas.openxmlformats.org/officeDocument/2006/relationships/hyperlink" Target="https://www.enuma.com" TargetMode="External"/><Relationship Id="rId1795" Type="http://schemas.openxmlformats.org/officeDocument/2006/relationships/hyperlink" Target="http://metaall.ai" TargetMode="External"/><Relationship Id="rId51" Type="http://schemas.openxmlformats.org/officeDocument/2006/relationships/hyperlink" Target="https://www.guild.com" TargetMode="External"/><Relationship Id="rId1785" Type="http://schemas.openxmlformats.org/officeDocument/2006/relationships/hyperlink" Target="https://www.beable.com" TargetMode="External"/><Relationship Id="rId50" Type="http://schemas.openxmlformats.org/officeDocument/2006/relationships/hyperlink" Target="https://newsela.com" TargetMode="External"/><Relationship Id="rId1786" Type="http://schemas.openxmlformats.org/officeDocument/2006/relationships/hyperlink" Target="https://www.skillbank.co" TargetMode="External"/><Relationship Id="rId53" Type="http://schemas.openxmlformats.org/officeDocument/2006/relationships/hyperlink" Target="https://www.boldvoice.com" TargetMode="External"/><Relationship Id="rId1787" Type="http://schemas.openxmlformats.org/officeDocument/2006/relationships/hyperlink" Target="https://www.inquired.org" TargetMode="External"/><Relationship Id="rId52" Type="http://schemas.openxmlformats.org/officeDocument/2006/relationships/hyperlink" Target="https://campusknot.com" TargetMode="External"/><Relationship Id="rId1788" Type="http://schemas.openxmlformats.org/officeDocument/2006/relationships/hyperlink" Target="https://www.tmcf.org" TargetMode="External"/><Relationship Id="rId55" Type="http://schemas.openxmlformats.org/officeDocument/2006/relationships/hyperlink" Target="https://echo360.com" TargetMode="External"/><Relationship Id="rId1789" Type="http://schemas.openxmlformats.org/officeDocument/2006/relationships/hyperlink" Target="https://www.modernclassrooms.org" TargetMode="External"/><Relationship Id="rId54" Type="http://schemas.openxmlformats.org/officeDocument/2006/relationships/hyperlink" Target="https://www.pw.live" TargetMode="External"/><Relationship Id="rId57" Type="http://schemas.openxmlformats.org/officeDocument/2006/relationships/hyperlink" Target="https://visionsys.ai" TargetMode="External"/><Relationship Id="rId56" Type="http://schemas.openxmlformats.org/officeDocument/2006/relationships/hyperlink" Target="https://creditrich.ai" TargetMode="External"/><Relationship Id="rId59" Type="http://schemas.openxmlformats.org/officeDocument/2006/relationships/hyperlink" Target="https://werq.ai" TargetMode="External"/><Relationship Id="rId58" Type="http://schemas.openxmlformats.org/officeDocument/2006/relationships/hyperlink" Target="https://www.cybrary.it" TargetMode="External"/><Relationship Id="rId1780" Type="http://schemas.openxmlformats.org/officeDocument/2006/relationships/hyperlink" Target="https://www.theforage.com" TargetMode="External"/><Relationship Id="rId1781" Type="http://schemas.openxmlformats.org/officeDocument/2006/relationships/hyperlink" Target="https://www.cognota.com" TargetMode="External"/><Relationship Id="rId1782" Type="http://schemas.openxmlformats.org/officeDocument/2006/relationships/hyperlink" Target="https://www.upbrainery.com" TargetMode="External"/><Relationship Id="rId1783" Type="http://schemas.openxmlformats.org/officeDocument/2006/relationships/hyperlink" Target="https://www.tidwit.com" TargetMode="External"/><Relationship Id="rId1784" Type="http://schemas.openxmlformats.org/officeDocument/2006/relationships/hyperlink" Target="https://www.ornikar.com" TargetMode="External"/><Relationship Id="rId2269" Type="http://schemas.openxmlformats.org/officeDocument/2006/relationships/hyperlink" Target="https://www.internset.com" TargetMode="External"/><Relationship Id="rId349" Type="http://schemas.openxmlformats.org/officeDocument/2006/relationships/hyperlink" Target="https://www.xiaoe-tech.com" TargetMode="External"/><Relationship Id="rId348" Type="http://schemas.openxmlformats.org/officeDocument/2006/relationships/hyperlink" Target="https://guidewelleducation.com" TargetMode="External"/><Relationship Id="rId347" Type="http://schemas.openxmlformats.org/officeDocument/2006/relationships/hyperlink" Target="https://extern.com" TargetMode="External"/><Relationship Id="rId346" Type="http://schemas.openxmlformats.org/officeDocument/2006/relationships/hyperlink" Target="https://www.formative.com" TargetMode="External"/><Relationship Id="rId2260" Type="http://schemas.openxmlformats.org/officeDocument/2006/relationships/hyperlink" Target="https://www.thenational.academy" TargetMode="External"/><Relationship Id="rId341" Type="http://schemas.openxmlformats.org/officeDocument/2006/relationships/hyperlink" Target="https://hupo.co" TargetMode="External"/><Relationship Id="rId2261" Type="http://schemas.openxmlformats.org/officeDocument/2006/relationships/hyperlink" Target="https://www.masteryconnect.com" TargetMode="External"/><Relationship Id="rId340" Type="http://schemas.openxmlformats.org/officeDocument/2006/relationships/hyperlink" Target="https://cubbes.com" TargetMode="External"/><Relationship Id="rId2262" Type="http://schemas.openxmlformats.org/officeDocument/2006/relationships/hyperlink" Target="https://www.smartedu.ai" TargetMode="External"/><Relationship Id="rId2263" Type="http://schemas.openxmlformats.org/officeDocument/2006/relationships/hyperlink" Target="https://www.protoqual.com" TargetMode="External"/><Relationship Id="rId2264" Type="http://schemas.openxmlformats.org/officeDocument/2006/relationships/hyperlink" Target="https://www.commontime.online" TargetMode="External"/><Relationship Id="rId345" Type="http://schemas.openxmlformats.org/officeDocument/2006/relationships/hyperlink" Target="https://www.tovuti.io" TargetMode="External"/><Relationship Id="rId2265" Type="http://schemas.openxmlformats.org/officeDocument/2006/relationships/hyperlink" Target="https://www.epihub.com" TargetMode="External"/><Relationship Id="rId344" Type="http://schemas.openxmlformats.org/officeDocument/2006/relationships/hyperlink" Target="https://prep.com" TargetMode="External"/><Relationship Id="rId2266" Type="http://schemas.openxmlformats.org/officeDocument/2006/relationships/hyperlink" Target="https://www.canopylab.io" TargetMode="External"/><Relationship Id="rId343" Type="http://schemas.openxmlformats.org/officeDocument/2006/relationships/hyperlink" Target="https://talently.ai" TargetMode="External"/><Relationship Id="rId2267" Type="http://schemas.openxmlformats.org/officeDocument/2006/relationships/hyperlink" Target="https://www.mylearninghub.com" TargetMode="External"/><Relationship Id="rId342" Type="http://schemas.openxmlformats.org/officeDocument/2006/relationships/hyperlink" Target="https://degreed.com" TargetMode="External"/><Relationship Id="rId2268" Type="http://schemas.openxmlformats.org/officeDocument/2006/relationships/hyperlink" Target="https://www.netzun.com" TargetMode="External"/><Relationship Id="rId2258" Type="http://schemas.openxmlformats.org/officeDocument/2006/relationships/hyperlink" Target="https://www.pagecall.com" TargetMode="External"/><Relationship Id="rId2259" Type="http://schemas.openxmlformats.org/officeDocument/2006/relationships/hyperlink" Target="https://www.assemblelearning.com" TargetMode="External"/><Relationship Id="rId338" Type="http://schemas.openxmlformats.org/officeDocument/2006/relationships/hyperlink" Target="https://thrivedx.com" TargetMode="External"/><Relationship Id="rId337" Type="http://schemas.openxmlformats.org/officeDocument/2006/relationships/hyperlink" Target="https://elsaspeak.com" TargetMode="External"/><Relationship Id="rId336" Type="http://schemas.openxmlformats.org/officeDocument/2006/relationships/hyperlink" Target="https://2u.com" TargetMode="External"/><Relationship Id="rId335" Type="http://schemas.openxmlformats.org/officeDocument/2006/relationships/hyperlink" Target="https://www.matific.com" TargetMode="External"/><Relationship Id="rId339" Type="http://schemas.openxmlformats.org/officeDocument/2006/relationships/hyperlink" Target="https://careerist.com" TargetMode="External"/><Relationship Id="rId330" Type="http://schemas.openxmlformats.org/officeDocument/2006/relationships/hyperlink" Target="https://lendorse.com" TargetMode="External"/><Relationship Id="rId2250" Type="http://schemas.openxmlformats.org/officeDocument/2006/relationships/hyperlink" Target="https://www.clickto.com" TargetMode="External"/><Relationship Id="rId2251" Type="http://schemas.openxmlformats.org/officeDocument/2006/relationships/hyperlink" Target="https://www.storypie.io" TargetMode="External"/><Relationship Id="rId2252" Type="http://schemas.openxmlformats.org/officeDocument/2006/relationships/hyperlink" Target="https://www.oclock.io" TargetMode="External"/><Relationship Id="rId2253" Type="http://schemas.openxmlformats.org/officeDocument/2006/relationships/hyperlink" Target="https://www.qualson.com" TargetMode="External"/><Relationship Id="rId334" Type="http://schemas.openxmlformats.org/officeDocument/2006/relationships/hyperlink" Target="https://meaningfulgigs.com" TargetMode="External"/><Relationship Id="rId2254" Type="http://schemas.openxmlformats.org/officeDocument/2006/relationships/hyperlink" Target="https://www.rootwurks.com" TargetMode="External"/><Relationship Id="rId333" Type="http://schemas.openxmlformats.org/officeDocument/2006/relationships/hyperlink" Target="https://www.examity.com" TargetMode="External"/><Relationship Id="rId2255" Type="http://schemas.openxmlformats.org/officeDocument/2006/relationships/hyperlink" Target="https://www.tonicmusic.com" TargetMode="External"/><Relationship Id="rId332" Type="http://schemas.openxmlformats.org/officeDocument/2006/relationships/hyperlink" Target="https://campfirewriting.com" TargetMode="External"/><Relationship Id="rId2256" Type="http://schemas.openxmlformats.org/officeDocument/2006/relationships/hyperlink" Target="https://www.learningequality.org" TargetMode="External"/><Relationship Id="rId331" Type="http://schemas.openxmlformats.org/officeDocument/2006/relationships/hyperlink" Target="https://www.houseofmath.com" TargetMode="External"/><Relationship Id="rId2257" Type="http://schemas.openxmlformats.org/officeDocument/2006/relationships/hyperlink" Target="https://www.fuellearning.com" TargetMode="External"/><Relationship Id="rId370" Type="http://schemas.openxmlformats.org/officeDocument/2006/relationships/hyperlink" Target="https://skilledingreen.com" TargetMode="External"/><Relationship Id="rId369" Type="http://schemas.openxmlformats.org/officeDocument/2006/relationships/hyperlink" Target="https://wewillwrite.com" TargetMode="External"/><Relationship Id="rId368" Type="http://schemas.openxmlformats.org/officeDocument/2006/relationships/hyperlink" Target="https://evolveplatform.com" TargetMode="External"/><Relationship Id="rId2280" Type="http://schemas.openxmlformats.org/officeDocument/2006/relationships/hyperlink" Target="https://www.kokorokids.co" TargetMode="External"/><Relationship Id="rId2281" Type="http://schemas.openxmlformats.org/officeDocument/2006/relationships/hyperlink" Target="https://www.asanify.com" TargetMode="External"/><Relationship Id="rId2282" Type="http://schemas.openxmlformats.org/officeDocument/2006/relationships/hyperlink" Target="https://www.geekexpress.com" TargetMode="External"/><Relationship Id="rId363" Type="http://schemas.openxmlformats.org/officeDocument/2006/relationships/hyperlink" Target="https://unstop.com" TargetMode="External"/><Relationship Id="rId2283" Type="http://schemas.openxmlformats.org/officeDocument/2006/relationships/hyperlink" Target="https://www.getsmarter.com" TargetMode="External"/><Relationship Id="rId362" Type="http://schemas.openxmlformats.org/officeDocument/2006/relationships/hyperlink" Target="https://www.obrizum.com" TargetMode="External"/><Relationship Id="rId2284" Type="http://schemas.openxmlformats.org/officeDocument/2006/relationships/hyperlink" Target="https://www.mobileguardian.com" TargetMode="External"/><Relationship Id="rId361" Type="http://schemas.openxmlformats.org/officeDocument/2006/relationships/hyperlink" Target="https://www.himama.com" TargetMode="External"/><Relationship Id="rId2285" Type="http://schemas.openxmlformats.org/officeDocument/2006/relationships/hyperlink" Target="https://www.keoplus.ai" TargetMode="External"/><Relationship Id="rId360" Type="http://schemas.openxmlformats.org/officeDocument/2006/relationships/hyperlink" Target="https://utobo.com" TargetMode="External"/><Relationship Id="rId2286" Type="http://schemas.openxmlformats.org/officeDocument/2006/relationships/hyperlink" Target="https://www.lancul.com" TargetMode="External"/><Relationship Id="rId367" Type="http://schemas.openxmlformats.org/officeDocument/2006/relationships/hyperlink" Target="https://www.fuseuniversal.com" TargetMode="External"/><Relationship Id="rId2287" Type="http://schemas.openxmlformats.org/officeDocument/2006/relationships/hyperlink" Target="https://www.activeclass.com" TargetMode="External"/><Relationship Id="rId366" Type="http://schemas.openxmlformats.org/officeDocument/2006/relationships/hyperlink" Target="https://maximallearning.com" TargetMode="External"/><Relationship Id="rId2288" Type="http://schemas.openxmlformats.org/officeDocument/2006/relationships/hyperlink" Target="https://www.elva.ai" TargetMode="External"/><Relationship Id="rId365" Type="http://schemas.openxmlformats.org/officeDocument/2006/relationships/hyperlink" Target="https://biteslearning.com" TargetMode="External"/><Relationship Id="rId2289" Type="http://schemas.openxmlformats.org/officeDocument/2006/relationships/hyperlink" Target="https://www.novaheal.co" TargetMode="External"/><Relationship Id="rId364" Type="http://schemas.openxmlformats.org/officeDocument/2006/relationships/hyperlink" Target="https://uptime.app" TargetMode="External"/><Relationship Id="rId95" Type="http://schemas.openxmlformats.org/officeDocument/2006/relationships/hyperlink" Target="https://www.acorn.works" TargetMode="External"/><Relationship Id="rId94" Type="http://schemas.openxmlformats.org/officeDocument/2006/relationships/hyperlink" Target="https://www.learneo.com" TargetMode="External"/><Relationship Id="rId97" Type="http://schemas.openxmlformats.org/officeDocument/2006/relationships/hyperlink" Target="https://praktika.ai" TargetMode="External"/><Relationship Id="rId96" Type="http://schemas.openxmlformats.org/officeDocument/2006/relationships/hyperlink" Target="https://adfontesmedia.com" TargetMode="External"/><Relationship Id="rId99" Type="http://schemas.openxmlformats.org/officeDocument/2006/relationships/hyperlink" Target="https://www.securly.com" TargetMode="External"/><Relationship Id="rId98" Type="http://schemas.openxmlformats.org/officeDocument/2006/relationships/hyperlink" Target="https://eedi.com" TargetMode="External"/><Relationship Id="rId91" Type="http://schemas.openxmlformats.org/officeDocument/2006/relationships/hyperlink" Target="https://www.rit.edu" TargetMode="External"/><Relationship Id="rId90" Type="http://schemas.openxmlformats.org/officeDocument/2006/relationships/hyperlink" Target="https://www.splashlearn.com" TargetMode="External"/><Relationship Id="rId93" Type="http://schemas.openxmlformats.org/officeDocument/2006/relationships/hyperlink" Target="https://everfi.com" TargetMode="External"/><Relationship Id="rId92" Type="http://schemas.openxmlformats.org/officeDocument/2006/relationships/hyperlink" Target="https://www.miko.ai" TargetMode="External"/><Relationship Id="rId359" Type="http://schemas.openxmlformats.org/officeDocument/2006/relationships/hyperlink" Target="https://www.kangarootime.com" TargetMode="External"/><Relationship Id="rId358" Type="http://schemas.openxmlformats.org/officeDocument/2006/relationships/hyperlink" Target="https://knowledgehook.com" TargetMode="External"/><Relationship Id="rId357" Type="http://schemas.openxmlformats.org/officeDocument/2006/relationships/hyperlink" Target="https://prenda.co" TargetMode="External"/><Relationship Id="rId2270" Type="http://schemas.openxmlformats.org/officeDocument/2006/relationships/hyperlink" Target="https://www.carna.ai" TargetMode="External"/><Relationship Id="rId2271" Type="http://schemas.openxmlformats.org/officeDocument/2006/relationships/hyperlink" Target="https://www.fundomundo.com" TargetMode="External"/><Relationship Id="rId352" Type="http://schemas.openxmlformats.org/officeDocument/2006/relationships/hyperlink" Target="https://braveup.com" TargetMode="External"/><Relationship Id="rId2272" Type="http://schemas.openxmlformats.org/officeDocument/2006/relationships/hyperlink" Target="https://www.circletime.com" TargetMode="External"/><Relationship Id="rId351" Type="http://schemas.openxmlformats.org/officeDocument/2006/relationships/hyperlink" Target="https://klaxoon.com" TargetMode="External"/><Relationship Id="rId2273" Type="http://schemas.openxmlformats.org/officeDocument/2006/relationships/hyperlink" Target="https://www.techtitans.co" TargetMode="External"/><Relationship Id="rId350" Type="http://schemas.openxmlformats.org/officeDocument/2006/relationships/hyperlink" Target="https://codinggiants.com" TargetMode="External"/><Relationship Id="rId2274" Type="http://schemas.openxmlformats.org/officeDocument/2006/relationships/hyperlink" Target="https://www.vinny.ai" TargetMode="External"/><Relationship Id="rId2275" Type="http://schemas.openxmlformats.org/officeDocument/2006/relationships/hyperlink" Target="https://www.variiance.com" TargetMode="External"/><Relationship Id="rId356" Type="http://schemas.openxmlformats.org/officeDocument/2006/relationships/hyperlink" Target="https://www.embibe.com" TargetMode="External"/><Relationship Id="rId2276" Type="http://schemas.openxmlformats.org/officeDocument/2006/relationships/hyperlink" Target="https://www.fanschool.org" TargetMode="External"/><Relationship Id="rId355" Type="http://schemas.openxmlformats.org/officeDocument/2006/relationships/hyperlink" Target="https://bluecanoelearning.com" TargetMode="External"/><Relationship Id="rId2277" Type="http://schemas.openxmlformats.org/officeDocument/2006/relationships/hyperlink" Target="https://www.scaleup.co" TargetMode="External"/><Relationship Id="rId354" Type="http://schemas.openxmlformats.org/officeDocument/2006/relationships/hyperlink" Target="https://www.minervaproject.com" TargetMode="External"/><Relationship Id="rId2278" Type="http://schemas.openxmlformats.org/officeDocument/2006/relationships/hyperlink" Target="https://www.coachinho.com" TargetMode="External"/><Relationship Id="rId353" Type="http://schemas.openxmlformats.org/officeDocument/2006/relationships/hyperlink" Target="https://www.revyze.it" TargetMode="External"/><Relationship Id="rId2279" Type="http://schemas.openxmlformats.org/officeDocument/2006/relationships/hyperlink" Target="https://www.owntheroom.com" TargetMode="External"/><Relationship Id="rId2225" Type="http://schemas.openxmlformats.org/officeDocument/2006/relationships/hyperlink" Target="https://www.geniusteacher.com" TargetMode="External"/><Relationship Id="rId2226" Type="http://schemas.openxmlformats.org/officeDocument/2006/relationships/hyperlink" Target="https://www.codestates.com" TargetMode="External"/><Relationship Id="rId2227" Type="http://schemas.openxmlformats.org/officeDocument/2006/relationships/hyperlink" Target="https://www.saigoled.com" TargetMode="External"/><Relationship Id="rId2228" Type="http://schemas.openxmlformats.org/officeDocument/2006/relationships/hyperlink" Target="https://www.gecacademy.com" TargetMode="External"/><Relationship Id="rId2229" Type="http://schemas.openxmlformats.org/officeDocument/2006/relationships/hyperlink" Target="https://www.driveneducation.com" TargetMode="External"/><Relationship Id="rId305" Type="http://schemas.openxmlformats.org/officeDocument/2006/relationships/hyperlink" Target="https://www.skilljar.com" TargetMode="External"/><Relationship Id="rId304" Type="http://schemas.openxmlformats.org/officeDocument/2006/relationships/hyperlink" Target="https://askfilo.com" TargetMode="External"/><Relationship Id="rId303" Type="http://schemas.openxmlformats.org/officeDocument/2006/relationships/hyperlink" Target="https://hackquest.io" TargetMode="External"/><Relationship Id="rId302" Type="http://schemas.openxmlformats.org/officeDocument/2006/relationships/hyperlink" Target="https://babysparks.com" TargetMode="External"/><Relationship Id="rId309" Type="http://schemas.openxmlformats.org/officeDocument/2006/relationships/hyperlink" Target="https://kyronlearning.com" TargetMode="External"/><Relationship Id="rId308" Type="http://schemas.openxmlformats.org/officeDocument/2006/relationships/hyperlink" Target="https://immersedgames.com" TargetMode="External"/><Relationship Id="rId307" Type="http://schemas.openxmlformats.org/officeDocument/2006/relationships/hyperlink" Target="https://tai.ai" TargetMode="External"/><Relationship Id="rId306" Type="http://schemas.openxmlformats.org/officeDocument/2006/relationships/hyperlink" Target="https://www.adda247.com" TargetMode="External"/><Relationship Id="rId2220" Type="http://schemas.openxmlformats.org/officeDocument/2006/relationships/hyperlink" Target="https://www.stopitsolutions.com" TargetMode="External"/><Relationship Id="rId301" Type="http://schemas.openxmlformats.org/officeDocument/2006/relationships/hyperlink" Target="https://classcompanion.ai" TargetMode="External"/><Relationship Id="rId2221" Type="http://schemas.openxmlformats.org/officeDocument/2006/relationships/hyperlink" Target="https://www.cogslearning.com" TargetMode="External"/><Relationship Id="rId300" Type="http://schemas.openxmlformats.org/officeDocument/2006/relationships/hyperlink" Target="https://sparkeducationgroup.com" TargetMode="External"/><Relationship Id="rId2222" Type="http://schemas.openxmlformats.org/officeDocument/2006/relationships/hyperlink" Target="https://www.tuteria.com" TargetMode="External"/><Relationship Id="rId2223" Type="http://schemas.openxmlformats.org/officeDocument/2006/relationships/hyperlink" Target="https://www.divacademy.com" TargetMode="External"/><Relationship Id="rId2224" Type="http://schemas.openxmlformats.org/officeDocument/2006/relationships/hyperlink" Target="https://www.gokoan.com" TargetMode="External"/><Relationship Id="rId2214" Type="http://schemas.openxmlformats.org/officeDocument/2006/relationships/hyperlink" Target="https://www.stones2milestones.com" TargetMode="External"/><Relationship Id="rId2215" Type="http://schemas.openxmlformats.org/officeDocument/2006/relationships/hyperlink" Target="https://www.cybintsolutions.com" TargetMode="External"/><Relationship Id="rId2216" Type="http://schemas.openxmlformats.org/officeDocument/2006/relationships/hyperlink" Target="https://www.koalareading.com" TargetMode="External"/><Relationship Id="rId2217" Type="http://schemas.openxmlformats.org/officeDocument/2006/relationships/hyperlink" Target="https://www.xiaoyangedu.com" TargetMode="External"/><Relationship Id="rId2218" Type="http://schemas.openxmlformats.org/officeDocument/2006/relationships/hyperlink" Target="https://www.memby.com" TargetMode="External"/><Relationship Id="rId2219" Type="http://schemas.openxmlformats.org/officeDocument/2006/relationships/hyperlink" Target="https://www.frameworkeducation.com" TargetMode="External"/><Relationship Id="rId2210" Type="http://schemas.openxmlformats.org/officeDocument/2006/relationships/hyperlink" Target="https://www.nulinga.com" TargetMode="External"/><Relationship Id="rId2211" Type="http://schemas.openxmlformats.org/officeDocument/2006/relationships/hyperlink" Target="http://study.com" TargetMode="External"/><Relationship Id="rId2212" Type="http://schemas.openxmlformats.org/officeDocument/2006/relationships/hyperlink" Target="https://www.study.com" TargetMode="External"/><Relationship Id="rId2213" Type="http://schemas.openxmlformats.org/officeDocument/2006/relationships/hyperlink" Target="https://www.appy.com" TargetMode="External"/><Relationship Id="rId2247" Type="http://schemas.openxmlformats.org/officeDocument/2006/relationships/hyperlink" Target="https://www.edgeearlylearning.com.au" TargetMode="External"/><Relationship Id="rId2248" Type="http://schemas.openxmlformats.org/officeDocument/2006/relationships/hyperlink" Target="https://www.oreegami.com" TargetMode="External"/><Relationship Id="rId2249" Type="http://schemas.openxmlformats.org/officeDocument/2006/relationships/hyperlink" Target="https://www.cliniciannexus.com" TargetMode="External"/><Relationship Id="rId327" Type="http://schemas.openxmlformats.org/officeDocument/2006/relationships/hyperlink" Target="https://everspring.com" TargetMode="External"/><Relationship Id="rId326" Type="http://schemas.openxmlformats.org/officeDocument/2006/relationships/hyperlink" Target="https://www.globeducate.com" TargetMode="External"/><Relationship Id="rId325" Type="http://schemas.openxmlformats.org/officeDocument/2006/relationships/hyperlink" Target="https://amazy.uk" TargetMode="External"/><Relationship Id="rId324" Type="http://schemas.openxmlformats.org/officeDocument/2006/relationships/hyperlink" Target="http://amazy.uk" TargetMode="External"/><Relationship Id="rId329" Type="http://schemas.openxmlformats.org/officeDocument/2006/relationships/hyperlink" Target="https://www.soyhenry.com" TargetMode="External"/><Relationship Id="rId328" Type="http://schemas.openxmlformats.org/officeDocument/2006/relationships/hyperlink" Target="https://colearn.id" TargetMode="External"/><Relationship Id="rId2240" Type="http://schemas.openxmlformats.org/officeDocument/2006/relationships/hyperlink" Target="https://www.reskills.org" TargetMode="External"/><Relationship Id="rId2241" Type="http://schemas.openxmlformats.org/officeDocument/2006/relationships/hyperlink" Target="https://www.gamestry.com" TargetMode="External"/><Relationship Id="rId2242" Type="http://schemas.openxmlformats.org/officeDocument/2006/relationships/hyperlink" Target="https://www.360training.com" TargetMode="External"/><Relationship Id="rId323" Type="http://schemas.openxmlformats.org/officeDocument/2006/relationships/hyperlink" Target="https://karri.co" TargetMode="External"/><Relationship Id="rId2243" Type="http://schemas.openxmlformats.org/officeDocument/2006/relationships/hyperlink" Target="https://www.bodhi.ai" TargetMode="External"/><Relationship Id="rId322" Type="http://schemas.openxmlformats.org/officeDocument/2006/relationships/hyperlink" Target="https://photomath.com" TargetMode="External"/><Relationship Id="rId2244" Type="http://schemas.openxmlformats.org/officeDocument/2006/relationships/hyperlink" Target="https://www.mightyowl.com" TargetMode="External"/><Relationship Id="rId321" Type="http://schemas.openxmlformats.org/officeDocument/2006/relationships/hyperlink" Target="https://neolth.com" TargetMode="External"/><Relationship Id="rId2245" Type="http://schemas.openxmlformats.org/officeDocument/2006/relationships/hyperlink" Target="https://www.greatlearning.in" TargetMode="External"/><Relationship Id="rId320" Type="http://schemas.openxmlformats.org/officeDocument/2006/relationships/hyperlink" Target="https://www.electuseducation.com" TargetMode="External"/><Relationship Id="rId2246" Type="http://schemas.openxmlformats.org/officeDocument/2006/relationships/hyperlink" Target="https://www.nurture.ai" TargetMode="External"/><Relationship Id="rId2236" Type="http://schemas.openxmlformats.org/officeDocument/2006/relationships/hyperlink" Target="https://www.hexiaoxiang.com" TargetMode="External"/><Relationship Id="rId2237" Type="http://schemas.openxmlformats.org/officeDocument/2006/relationships/hyperlink" Target="https://www.duia.com" TargetMode="External"/><Relationship Id="rId2238" Type="http://schemas.openxmlformats.org/officeDocument/2006/relationships/hyperlink" Target="https://www.dtpedu.com" TargetMode="External"/><Relationship Id="rId2239" Type="http://schemas.openxmlformats.org/officeDocument/2006/relationships/hyperlink" Target="https://www.kudzoo.com" TargetMode="External"/><Relationship Id="rId316" Type="http://schemas.openxmlformats.org/officeDocument/2006/relationships/hyperlink" Target="https://curatelabs.com" TargetMode="External"/><Relationship Id="rId315" Type="http://schemas.openxmlformats.org/officeDocument/2006/relationships/hyperlink" Target="https://encodeclub.com" TargetMode="External"/><Relationship Id="rId314" Type="http://schemas.openxmlformats.org/officeDocument/2006/relationships/hyperlink" Target="https://jigspace.com" TargetMode="External"/><Relationship Id="rId313" Type="http://schemas.openxmlformats.org/officeDocument/2006/relationships/hyperlink" Target="https://www.nudgeglobal.com" TargetMode="External"/><Relationship Id="rId319" Type="http://schemas.openxmlformats.org/officeDocument/2006/relationships/hyperlink" Target="https://wilgo.ai" TargetMode="External"/><Relationship Id="rId318" Type="http://schemas.openxmlformats.org/officeDocument/2006/relationships/hyperlink" Target="http://wilgo.ai" TargetMode="External"/><Relationship Id="rId317" Type="http://schemas.openxmlformats.org/officeDocument/2006/relationships/hyperlink" Target="https://www.kamiapp.com" TargetMode="External"/><Relationship Id="rId2230" Type="http://schemas.openxmlformats.org/officeDocument/2006/relationships/hyperlink" Target="https://www.oktav.com" TargetMode="External"/><Relationship Id="rId2231" Type="http://schemas.openxmlformats.org/officeDocument/2006/relationships/hyperlink" Target="https://www.studioedu.com" TargetMode="External"/><Relationship Id="rId312" Type="http://schemas.openxmlformats.org/officeDocument/2006/relationships/hyperlink" Target="https://www.accredible.com" TargetMode="External"/><Relationship Id="rId2232" Type="http://schemas.openxmlformats.org/officeDocument/2006/relationships/hyperlink" Target="https://www.amref.org" TargetMode="External"/><Relationship Id="rId311" Type="http://schemas.openxmlformats.org/officeDocument/2006/relationships/hyperlink" Target="https://rexk12.com" TargetMode="External"/><Relationship Id="rId2233" Type="http://schemas.openxmlformats.org/officeDocument/2006/relationships/hyperlink" Target="https://www.avatao.com" TargetMode="External"/><Relationship Id="rId310" Type="http://schemas.openxmlformats.org/officeDocument/2006/relationships/hyperlink" Target="https://placeholder.co" TargetMode="External"/><Relationship Id="rId2234" Type="http://schemas.openxmlformats.org/officeDocument/2006/relationships/hyperlink" Target="https://www.cookable.com" TargetMode="External"/><Relationship Id="rId2235" Type="http://schemas.openxmlformats.org/officeDocument/2006/relationships/hyperlink" Target="https://www.kinteract.com" TargetMode="External"/><Relationship Id="rId297" Type="http://schemas.openxmlformats.org/officeDocument/2006/relationships/hyperlink" Target="https://www.gocontractor.com" TargetMode="External"/><Relationship Id="rId296" Type="http://schemas.openxmlformats.org/officeDocument/2006/relationships/hyperlink" Target="https://studdy.ai" TargetMode="External"/><Relationship Id="rId295" Type="http://schemas.openxmlformats.org/officeDocument/2006/relationships/hyperlink" Target="https://www.collegedekho.com" TargetMode="External"/><Relationship Id="rId294" Type="http://schemas.openxmlformats.org/officeDocument/2006/relationships/hyperlink" Target="https://mimirhq.com" TargetMode="External"/><Relationship Id="rId299" Type="http://schemas.openxmlformats.org/officeDocument/2006/relationships/hyperlink" Target="https://www.poppins.io" TargetMode="External"/><Relationship Id="rId298" Type="http://schemas.openxmlformats.org/officeDocument/2006/relationships/hyperlink" Target="https://virtualinternships.com" TargetMode="External"/><Relationship Id="rId271" Type="http://schemas.openxmlformats.org/officeDocument/2006/relationships/hyperlink" Target="https://www.workera.ai" TargetMode="External"/><Relationship Id="rId270" Type="http://schemas.openxmlformats.org/officeDocument/2006/relationships/hyperlink" Target="https://www.odysseyed.com" TargetMode="External"/><Relationship Id="rId269" Type="http://schemas.openxmlformats.org/officeDocument/2006/relationships/hyperlink" Target="https://www.evulpo.com" TargetMode="External"/><Relationship Id="rId264" Type="http://schemas.openxmlformats.org/officeDocument/2006/relationships/hyperlink" Target="https://campuslogic.com" TargetMode="External"/><Relationship Id="rId263" Type="http://schemas.openxmlformats.org/officeDocument/2006/relationships/hyperlink" Target="https://www.cialfo.co" TargetMode="External"/><Relationship Id="rId262" Type="http://schemas.openxmlformats.org/officeDocument/2006/relationships/hyperlink" Target="https://hunty.com" TargetMode="External"/><Relationship Id="rId261" Type="http://schemas.openxmlformats.org/officeDocument/2006/relationships/hyperlink" Target="https://prytek.com" TargetMode="External"/><Relationship Id="rId268" Type="http://schemas.openxmlformats.org/officeDocument/2006/relationships/hyperlink" Target="https://www.century.tech" TargetMode="External"/><Relationship Id="rId267" Type="http://schemas.openxmlformats.org/officeDocument/2006/relationships/hyperlink" Target="https://www.netclasstech.com" TargetMode="External"/><Relationship Id="rId266" Type="http://schemas.openxmlformats.org/officeDocument/2006/relationships/hyperlink" Target="https://fams.ai" TargetMode="External"/><Relationship Id="rId265" Type="http://schemas.openxmlformats.org/officeDocument/2006/relationships/hyperlink" Target="https://abwaab.com" TargetMode="External"/><Relationship Id="rId260" Type="http://schemas.openxmlformats.org/officeDocument/2006/relationships/hyperlink" Target="https://www.edmo.org" TargetMode="External"/><Relationship Id="rId259" Type="http://schemas.openxmlformats.org/officeDocument/2006/relationships/hyperlink" Target="https://www.codemao.cn" TargetMode="External"/><Relationship Id="rId258" Type="http://schemas.openxmlformats.org/officeDocument/2006/relationships/hyperlink" Target="https://highergroundeducation.org" TargetMode="External"/><Relationship Id="rId2290" Type="http://schemas.openxmlformats.org/officeDocument/2006/relationships/hyperlink" Target="https://www.culcha.com" TargetMode="External"/><Relationship Id="rId2291" Type="http://schemas.openxmlformats.org/officeDocument/2006/relationships/hyperlink" Target="https://www.examoo.com" TargetMode="External"/><Relationship Id="rId2292" Type="http://schemas.openxmlformats.org/officeDocument/2006/relationships/hyperlink" Target="https://www.gamesandlearning.org" TargetMode="External"/><Relationship Id="rId2293" Type="http://schemas.openxmlformats.org/officeDocument/2006/relationships/hyperlink" Target="https://www.doseddaily.com" TargetMode="External"/><Relationship Id="rId253" Type="http://schemas.openxmlformats.org/officeDocument/2006/relationships/hyperlink" Target="https://www.getsetup.io" TargetMode="External"/><Relationship Id="rId2294" Type="http://schemas.openxmlformats.org/officeDocument/2006/relationships/hyperlink" Target="https://www.citi.com" TargetMode="External"/><Relationship Id="rId252" Type="http://schemas.openxmlformats.org/officeDocument/2006/relationships/hyperlink" Target="https://kognity.com" TargetMode="External"/><Relationship Id="rId2295" Type="http://schemas.openxmlformats.org/officeDocument/2006/relationships/hyperlink" Target="https://www.kidescience.com" TargetMode="External"/><Relationship Id="rId251" Type="http://schemas.openxmlformats.org/officeDocument/2006/relationships/hyperlink" Target="https://jotit.io" TargetMode="External"/><Relationship Id="rId2296" Type="http://schemas.openxmlformats.org/officeDocument/2006/relationships/hyperlink" Target="https://www.mohirdev.uz" TargetMode="External"/><Relationship Id="rId250" Type="http://schemas.openxmlformats.org/officeDocument/2006/relationships/hyperlink" Target="https://www.codingdojo.com" TargetMode="External"/><Relationship Id="rId2297" Type="http://schemas.openxmlformats.org/officeDocument/2006/relationships/hyperlink" Target="https://www.assembleyou.com" TargetMode="External"/><Relationship Id="rId257" Type="http://schemas.openxmlformats.org/officeDocument/2006/relationships/hyperlink" Target="https://iepandme.com" TargetMode="External"/><Relationship Id="rId2298" Type="http://schemas.openxmlformats.org/officeDocument/2006/relationships/hyperlink" Target="http://ermis.ai" TargetMode="External"/><Relationship Id="rId256" Type="http://schemas.openxmlformats.org/officeDocument/2006/relationships/hyperlink" Target="https://www.ruanyun.com" TargetMode="External"/><Relationship Id="rId2299" Type="http://schemas.openxmlformats.org/officeDocument/2006/relationships/hyperlink" Target="https://www.ermis.ai" TargetMode="External"/><Relationship Id="rId255" Type="http://schemas.openxmlformats.org/officeDocument/2006/relationships/hyperlink" Target="https://yaylunch.com" TargetMode="External"/><Relationship Id="rId254" Type="http://schemas.openxmlformats.org/officeDocument/2006/relationships/hyperlink" Target="https://www.edsurge.com" TargetMode="External"/><Relationship Id="rId293" Type="http://schemas.openxmlformats.org/officeDocument/2006/relationships/hyperlink" Target="https://www.interviewbit.com" TargetMode="External"/><Relationship Id="rId292" Type="http://schemas.openxmlformats.org/officeDocument/2006/relationships/hyperlink" Target="https://localized.world" TargetMode="External"/><Relationship Id="rId291" Type="http://schemas.openxmlformats.org/officeDocument/2006/relationships/hyperlink" Target="https://descomplica.com.br" TargetMode="External"/><Relationship Id="rId290" Type="http://schemas.openxmlformats.org/officeDocument/2006/relationships/hyperlink" Target="https://www.code2040.org" TargetMode="External"/><Relationship Id="rId286" Type="http://schemas.openxmlformats.org/officeDocument/2006/relationships/hyperlink" Target="https://ubits.co" TargetMode="External"/><Relationship Id="rId285" Type="http://schemas.openxmlformats.org/officeDocument/2006/relationships/hyperlink" Target="https://sootchy.com" TargetMode="External"/><Relationship Id="rId284" Type="http://schemas.openxmlformats.org/officeDocument/2006/relationships/hyperlink" Target="https://getcopper.com" TargetMode="External"/><Relationship Id="rId283" Type="http://schemas.openxmlformats.org/officeDocument/2006/relationships/hyperlink" Target="https://studytube.nl" TargetMode="External"/><Relationship Id="rId289" Type="http://schemas.openxmlformats.org/officeDocument/2006/relationships/hyperlink" Target="https://viora.io" TargetMode="External"/><Relationship Id="rId288" Type="http://schemas.openxmlformats.org/officeDocument/2006/relationships/hyperlink" Target="https://www.awign.com" TargetMode="External"/><Relationship Id="rId287" Type="http://schemas.openxmlformats.org/officeDocument/2006/relationships/hyperlink" Target="https://innovarelearning.com" TargetMode="External"/><Relationship Id="rId282" Type="http://schemas.openxmlformats.org/officeDocument/2006/relationships/hyperlink" Target="https://www.wonderschool.com" TargetMode="External"/><Relationship Id="rId281" Type="http://schemas.openxmlformats.org/officeDocument/2006/relationships/hyperlink" Target="https://www.memrise.com" TargetMode="External"/><Relationship Id="rId280" Type="http://schemas.openxmlformats.org/officeDocument/2006/relationships/hyperlink" Target="https://k12technoservices.com" TargetMode="External"/><Relationship Id="rId275" Type="http://schemas.openxmlformats.org/officeDocument/2006/relationships/hyperlink" Target="https://deepstash.com" TargetMode="External"/><Relationship Id="rId274" Type="http://schemas.openxmlformats.org/officeDocument/2006/relationships/hyperlink" Target="https://doowii.com" TargetMode="External"/><Relationship Id="rId273" Type="http://schemas.openxmlformats.org/officeDocument/2006/relationships/hyperlink" Target="https://onlinemeded.com" TargetMode="External"/><Relationship Id="rId272" Type="http://schemas.openxmlformats.org/officeDocument/2006/relationships/hyperlink" Target="https://www.cuemath.com" TargetMode="External"/><Relationship Id="rId279" Type="http://schemas.openxmlformats.org/officeDocument/2006/relationships/hyperlink" Target="https://www.busuu.com" TargetMode="External"/><Relationship Id="rId278" Type="http://schemas.openxmlformats.org/officeDocument/2006/relationships/hyperlink" Target="https://leif.org" TargetMode="External"/><Relationship Id="rId277" Type="http://schemas.openxmlformats.org/officeDocument/2006/relationships/hyperlink" Target="https://www.boulosolutions.com" TargetMode="External"/><Relationship Id="rId276" Type="http://schemas.openxmlformats.org/officeDocument/2006/relationships/hyperlink" Target="https://soundmind.co" TargetMode="External"/><Relationship Id="rId1851" Type="http://schemas.openxmlformats.org/officeDocument/2006/relationships/hyperlink" Target="https://www.vipthink.com" TargetMode="External"/><Relationship Id="rId1852" Type="http://schemas.openxmlformats.org/officeDocument/2006/relationships/hyperlink" Target="https://www.getadministrate.com" TargetMode="External"/><Relationship Id="rId1853" Type="http://schemas.openxmlformats.org/officeDocument/2006/relationships/hyperlink" Target="https://www.supernova.ai" TargetMode="External"/><Relationship Id="rId1854" Type="http://schemas.openxmlformats.org/officeDocument/2006/relationships/hyperlink" Target="https://www.osc.org" TargetMode="External"/><Relationship Id="rId1855" Type="http://schemas.openxmlformats.org/officeDocument/2006/relationships/hyperlink" Target="https://www.yunolearning.com" TargetMode="External"/><Relationship Id="rId1856" Type="http://schemas.openxmlformats.org/officeDocument/2006/relationships/hyperlink" Target="https://www.learnfully.com" TargetMode="External"/><Relationship Id="rId1857" Type="http://schemas.openxmlformats.org/officeDocument/2006/relationships/hyperlink" Target="https://www.kindred.com" TargetMode="External"/><Relationship Id="rId1858" Type="http://schemas.openxmlformats.org/officeDocument/2006/relationships/hyperlink" Target="https://www.hecticapp.com" TargetMode="External"/><Relationship Id="rId1859" Type="http://schemas.openxmlformats.org/officeDocument/2006/relationships/hyperlink" Target="https://www.ilearningengines.com" TargetMode="External"/><Relationship Id="rId1850" Type="http://schemas.openxmlformats.org/officeDocument/2006/relationships/hyperlink" Target="https://www.riseup.ai" TargetMode="External"/><Relationship Id="rId1840" Type="http://schemas.openxmlformats.org/officeDocument/2006/relationships/hyperlink" Target="https://www.outlier.org" TargetMode="External"/><Relationship Id="rId1841" Type="http://schemas.openxmlformats.org/officeDocument/2006/relationships/hyperlink" Target="https://www.fluency.academy" TargetMode="External"/><Relationship Id="rId1842" Type="http://schemas.openxmlformats.org/officeDocument/2006/relationships/hyperlink" Target="https://www.ellevationeducation.com" TargetMode="External"/><Relationship Id="rId1843" Type="http://schemas.openxmlformats.org/officeDocument/2006/relationships/hyperlink" Target="https://www.momentumlearning.com" TargetMode="External"/><Relationship Id="rId1844" Type="http://schemas.openxmlformats.org/officeDocument/2006/relationships/hyperlink" Target="https://www.trala.com" TargetMode="External"/><Relationship Id="rId1845" Type="http://schemas.openxmlformats.org/officeDocument/2006/relationships/hyperlink" Target="https://www.hodoo.com" TargetMode="External"/><Relationship Id="rId1846" Type="http://schemas.openxmlformats.org/officeDocument/2006/relationships/hyperlink" Target="https://www.kinjo.io" TargetMode="External"/><Relationship Id="rId1847" Type="http://schemas.openxmlformats.org/officeDocument/2006/relationships/hyperlink" Target="https://www.mytutor.co.uk" TargetMode="External"/><Relationship Id="rId1848" Type="http://schemas.openxmlformats.org/officeDocument/2006/relationships/hyperlink" Target="https://www.polemos.com" TargetMode="External"/><Relationship Id="rId1849" Type="http://schemas.openxmlformats.org/officeDocument/2006/relationships/hyperlink" Target="https://www.junojourney.com" TargetMode="External"/><Relationship Id="rId1873" Type="http://schemas.openxmlformats.org/officeDocument/2006/relationships/hyperlink" Target="https://www.passion.io" TargetMode="External"/><Relationship Id="rId1874" Type="http://schemas.openxmlformats.org/officeDocument/2006/relationships/hyperlink" Target="http://learn.xyz" TargetMode="External"/><Relationship Id="rId1875" Type="http://schemas.openxmlformats.org/officeDocument/2006/relationships/hyperlink" Target="https://www.learn.xyz" TargetMode="External"/><Relationship Id="rId1876" Type="http://schemas.openxmlformats.org/officeDocument/2006/relationships/hyperlink" Target="https://www.futurely.in" TargetMode="External"/><Relationship Id="rId1877" Type="http://schemas.openxmlformats.org/officeDocument/2006/relationships/hyperlink" Target="https://www.5mins.ai" TargetMode="External"/><Relationship Id="rId1878" Type="http://schemas.openxmlformats.org/officeDocument/2006/relationships/hyperlink" Target="https://www.heykiddo.com" TargetMode="External"/><Relationship Id="rId1879" Type="http://schemas.openxmlformats.org/officeDocument/2006/relationships/hyperlink" Target="https://www.buildspace.so" TargetMode="External"/><Relationship Id="rId1870" Type="http://schemas.openxmlformats.org/officeDocument/2006/relationships/hyperlink" Target="https://www.sghartoon.com" TargetMode="External"/><Relationship Id="rId1871" Type="http://schemas.openxmlformats.org/officeDocument/2006/relationships/hyperlink" Target="https://www.lessonly.com" TargetMode="External"/><Relationship Id="rId1872" Type="http://schemas.openxmlformats.org/officeDocument/2006/relationships/hyperlink" Target="http://passion.io" TargetMode="External"/><Relationship Id="rId1862" Type="http://schemas.openxmlformats.org/officeDocument/2006/relationships/hyperlink" Target="https://www.battelle.org" TargetMode="External"/><Relationship Id="rId1863" Type="http://schemas.openxmlformats.org/officeDocument/2006/relationships/hyperlink" Target="https://www.spelman.edu" TargetMode="External"/><Relationship Id="rId1864" Type="http://schemas.openxmlformats.org/officeDocument/2006/relationships/hyperlink" Target="https://www.pacificsciencecenter.org" TargetMode="External"/><Relationship Id="rId1865" Type="http://schemas.openxmlformats.org/officeDocument/2006/relationships/hyperlink" Target="https://www.villagenanny.com" TargetMode="External"/><Relationship Id="rId1866" Type="http://schemas.openxmlformats.org/officeDocument/2006/relationships/hyperlink" Target="https://www.playpiper.com" TargetMode="External"/><Relationship Id="rId1867" Type="http://schemas.openxmlformats.org/officeDocument/2006/relationships/hyperlink" Target="https://www.bloomtech.com" TargetMode="External"/><Relationship Id="rId1868" Type="http://schemas.openxmlformats.org/officeDocument/2006/relationships/hyperlink" Target="https://www.yeticonfettikids.com" TargetMode="External"/><Relationship Id="rId1869" Type="http://schemas.openxmlformats.org/officeDocument/2006/relationships/hyperlink" Target="https://www.studystream.live" TargetMode="External"/><Relationship Id="rId1860" Type="http://schemas.openxmlformats.org/officeDocument/2006/relationships/hyperlink" Target="https://www.neuronest.ai" TargetMode="External"/><Relationship Id="rId1861" Type="http://schemas.openxmlformats.org/officeDocument/2006/relationships/hyperlink" Target="https://www.thewealthfactory.com" TargetMode="External"/><Relationship Id="rId1810" Type="http://schemas.openxmlformats.org/officeDocument/2006/relationships/hyperlink" Target="https://www.simcare.ai" TargetMode="External"/><Relationship Id="rId1811" Type="http://schemas.openxmlformats.org/officeDocument/2006/relationships/hyperlink" Target="https://www.metafy.gg" TargetMode="External"/><Relationship Id="rId1812" Type="http://schemas.openxmlformats.org/officeDocument/2006/relationships/hyperlink" Target="https://www.cornerstoneondemand.com" TargetMode="External"/><Relationship Id="rId1813" Type="http://schemas.openxmlformats.org/officeDocument/2006/relationships/hyperlink" Target="https://www.learnupon.com" TargetMode="External"/><Relationship Id="rId1814" Type="http://schemas.openxmlformats.org/officeDocument/2006/relationships/hyperlink" Target="https://www.exodexa.com" TargetMode="External"/><Relationship Id="rId1815" Type="http://schemas.openxmlformats.org/officeDocument/2006/relationships/hyperlink" Target="https://www.educative.io" TargetMode="External"/><Relationship Id="rId1816" Type="http://schemas.openxmlformats.org/officeDocument/2006/relationships/hyperlink" Target="https://www.manabie.com" TargetMode="External"/><Relationship Id="rId1817" Type="http://schemas.openxmlformats.org/officeDocument/2006/relationships/hyperlink" Target="https://www.phoenixep.com" TargetMode="External"/><Relationship Id="rId1818" Type="http://schemas.openxmlformats.org/officeDocument/2006/relationships/hyperlink" Target="https://www.elucidat.com" TargetMode="External"/><Relationship Id="rId1819" Type="http://schemas.openxmlformats.org/officeDocument/2006/relationships/hyperlink" Target="https://www.rapl.com" TargetMode="External"/><Relationship Id="rId1800" Type="http://schemas.openxmlformats.org/officeDocument/2006/relationships/hyperlink" Target="https://www.upword.ai" TargetMode="External"/><Relationship Id="rId1801" Type="http://schemas.openxmlformats.org/officeDocument/2006/relationships/hyperlink" Target="https://www.noredink.com" TargetMode="External"/><Relationship Id="rId1802" Type="http://schemas.openxmlformats.org/officeDocument/2006/relationships/hyperlink" Target="http://enrich.ly" TargetMode="External"/><Relationship Id="rId1803" Type="http://schemas.openxmlformats.org/officeDocument/2006/relationships/hyperlink" Target="https://www.enrich.ly" TargetMode="External"/><Relationship Id="rId1804" Type="http://schemas.openxmlformats.org/officeDocument/2006/relationships/hyperlink" Target="https://www.esmelearning.com" TargetMode="External"/><Relationship Id="rId1805" Type="http://schemas.openxmlformats.org/officeDocument/2006/relationships/hyperlink" Target="https://www.mill-all.com" TargetMode="External"/><Relationship Id="rId1806" Type="http://schemas.openxmlformats.org/officeDocument/2006/relationships/hyperlink" Target="https://www.verandalearning.com" TargetMode="External"/><Relationship Id="rId1807" Type="http://schemas.openxmlformats.org/officeDocument/2006/relationships/hyperlink" Target="https://www.yousician.com" TargetMode="External"/><Relationship Id="rId1808" Type="http://schemas.openxmlformats.org/officeDocument/2006/relationships/hyperlink" Target="https://www.huddleup.ai" TargetMode="External"/><Relationship Id="rId1809" Type="http://schemas.openxmlformats.org/officeDocument/2006/relationships/hyperlink" Target="https://www.quantified.ai" TargetMode="External"/><Relationship Id="rId1830" Type="http://schemas.openxmlformats.org/officeDocument/2006/relationships/hyperlink" Target="http://leadership.net" TargetMode="External"/><Relationship Id="rId1831" Type="http://schemas.openxmlformats.org/officeDocument/2006/relationships/hyperlink" Target="https://www.leadership.net" TargetMode="External"/><Relationship Id="rId1832" Type="http://schemas.openxmlformats.org/officeDocument/2006/relationships/hyperlink" Target="https://www.augment.com" TargetMode="External"/><Relationship Id="rId1833" Type="http://schemas.openxmlformats.org/officeDocument/2006/relationships/hyperlink" Target="https://www.teachfx.com" TargetMode="External"/><Relationship Id="rId1834" Type="http://schemas.openxmlformats.org/officeDocument/2006/relationships/hyperlink" Target="http://masterplan.com" TargetMode="External"/><Relationship Id="rId1835" Type="http://schemas.openxmlformats.org/officeDocument/2006/relationships/hyperlink" Target="https://www.masterplan.com" TargetMode="External"/><Relationship Id="rId1836" Type="http://schemas.openxmlformats.org/officeDocument/2006/relationships/hyperlink" Target="https://www.taskbase.com" TargetMode="External"/><Relationship Id="rId1837" Type="http://schemas.openxmlformats.org/officeDocument/2006/relationships/hyperlink" Target="https://www.lumenlearning.com" TargetMode="External"/><Relationship Id="rId1838" Type="http://schemas.openxmlformats.org/officeDocument/2006/relationships/hyperlink" Target="https://www.darsel.ai" TargetMode="External"/><Relationship Id="rId1839" Type="http://schemas.openxmlformats.org/officeDocument/2006/relationships/hyperlink" Target="https://www.rocked.us" TargetMode="External"/><Relationship Id="rId1820" Type="http://schemas.openxmlformats.org/officeDocument/2006/relationships/hyperlink" Target="https://www.didask.com" TargetMode="External"/><Relationship Id="rId1821" Type="http://schemas.openxmlformats.org/officeDocument/2006/relationships/hyperlink" Target="https://www.wizlearning.com" TargetMode="External"/><Relationship Id="rId1822" Type="http://schemas.openxmlformats.org/officeDocument/2006/relationships/hyperlink" Target="https://www.oasislearning.ai" TargetMode="External"/><Relationship Id="rId1823" Type="http://schemas.openxmlformats.org/officeDocument/2006/relationships/hyperlink" Target="https://www.commonlit.org" TargetMode="External"/><Relationship Id="rId1824" Type="http://schemas.openxmlformats.org/officeDocument/2006/relationships/hyperlink" Target="https://www.beconfident.com" TargetMode="External"/><Relationship Id="rId1825" Type="http://schemas.openxmlformats.org/officeDocument/2006/relationships/hyperlink" Target="https://www.retorio.com" TargetMode="External"/><Relationship Id="rId1826" Type="http://schemas.openxmlformats.org/officeDocument/2006/relationships/hyperlink" Target="https://www.innovamat.com" TargetMode="External"/><Relationship Id="rId1827" Type="http://schemas.openxmlformats.org/officeDocument/2006/relationships/hyperlink" Target="https://www.bc.game" TargetMode="External"/><Relationship Id="rId1828" Type="http://schemas.openxmlformats.org/officeDocument/2006/relationships/hyperlink" Target="https://www.educationjourney.com" TargetMode="External"/><Relationship Id="rId1829" Type="http://schemas.openxmlformats.org/officeDocument/2006/relationships/hyperlink" Target="https://www.ubimaster.com" TargetMode="External"/><Relationship Id="rId2302" Type="http://schemas.openxmlformats.org/officeDocument/2006/relationships/hyperlink" Target="https://www.xeropan.com" TargetMode="External"/><Relationship Id="rId2303" Type="http://schemas.openxmlformats.org/officeDocument/2006/relationships/hyperlink" Target="https://www.cards-microlearning.com" TargetMode="External"/><Relationship Id="rId2304" Type="http://schemas.openxmlformats.org/officeDocument/2006/relationships/hyperlink" Target="https://www.conocer.gob.mx" TargetMode="External"/><Relationship Id="rId2305" Type="http://schemas.openxmlformats.org/officeDocument/2006/relationships/hyperlink" Target="https://www.team4tech.org" TargetMode="External"/><Relationship Id="rId2306" Type="http://schemas.openxmlformats.org/officeDocument/2006/relationships/hyperlink" Target="https://www.examfly.com" TargetMode="External"/><Relationship Id="rId2307" Type="http://schemas.openxmlformats.org/officeDocument/2006/relationships/hyperlink" Target="https://www.refinelearning.com" TargetMode="External"/><Relationship Id="rId2308" Type="http://schemas.openxmlformats.org/officeDocument/2006/relationships/hyperlink" Target="https://www.fondi.ai" TargetMode="External"/><Relationship Id="rId2309" Type="http://schemas.openxmlformats.org/officeDocument/2006/relationships/hyperlink" Target="https://www.exploreinteractive.co.uk" TargetMode="External"/><Relationship Id="rId2300" Type="http://schemas.openxmlformats.org/officeDocument/2006/relationships/hyperlink" Target="https://www.awari.com" TargetMode="External"/><Relationship Id="rId2301" Type="http://schemas.openxmlformats.org/officeDocument/2006/relationships/hyperlink" Target="https://www.inspring.com" TargetMode="External"/><Relationship Id="rId2324" Type="http://schemas.openxmlformats.org/officeDocument/2006/relationships/hyperlink" Target="https://www.pikado.com" TargetMode="External"/><Relationship Id="rId2325" Type="http://schemas.openxmlformats.org/officeDocument/2006/relationships/hyperlink" Target="https://www.kiddiekredit.com" TargetMode="External"/><Relationship Id="rId2326" Type="http://schemas.openxmlformats.org/officeDocument/2006/relationships/hyperlink" Target="https://www.qkids.com" TargetMode="External"/><Relationship Id="rId2327" Type="http://schemas.openxmlformats.org/officeDocument/2006/relationships/hyperlink" Target="https://www.yola.org" TargetMode="External"/><Relationship Id="rId2328" Type="http://schemas.openxmlformats.org/officeDocument/2006/relationships/hyperlink" Target="https://www.onionmath.com" TargetMode="External"/><Relationship Id="rId2329" Type="http://schemas.openxmlformats.org/officeDocument/2006/relationships/hyperlink" Target="https://www.americademy.com" TargetMode="External"/><Relationship Id="rId2320" Type="http://schemas.openxmlformats.org/officeDocument/2006/relationships/hyperlink" Target="https://www.upsurge.club" TargetMode="External"/><Relationship Id="rId2321" Type="http://schemas.openxmlformats.org/officeDocument/2006/relationships/hyperlink" Target="https://www.toyawomen.com" TargetMode="External"/><Relationship Id="rId2322" Type="http://schemas.openxmlformats.org/officeDocument/2006/relationships/hyperlink" Target="https://www.fluent.ai" TargetMode="External"/><Relationship Id="rId2323" Type="http://schemas.openxmlformats.org/officeDocument/2006/relationships/hyperlink" Target="https://www.voicetube.com" TargetMode="External"/><Relationship Id="rId2313" Type="http://schemas.openxmlformats.org/officeDocument/2006/relationships/hyperlink" Target="https://www.notesgen.com" TargetMode="External"/><Relationship Id="rId2314" Type="http://schemas.openxmlformats.org/officeDocument/2006/relationships/hyperlink" Target="https://www.sibme.com" TargetMode="External"/><Relationship Id="rId2315" Type="http://schemas.openxmlformats.org/officeDocument/2006/relationships/hyperlink" Target="https://www.gathereducation.com" TargetMode="External"/><Relationship Id="rId2316" Type="http://schemas.openxmlformats.org/officeDocument/2006/relationships/hyperlink" Target="https://www.frntlne.co" TargetMode="External"/><Relationship Id="rId2317" Type="http://schemas.openxmlformats.org/officeDocument/2006/relationships/hyperlink" Target="https://www.explico.com" TargetMode="External"/><Relationship Id="rId2318" Type="http://schemas.openxmlformats.org/officeDocument/2006/relationships/hyperlink" Target="https://www.liirn.com" TargetMode="External"/><Relationship Id="rId2319" Type="http://schemas.openxmlformats.org/officeDocument/2006/relationships/hyperlink" Target="https://www.finfree.com" TargetMode="External"/><Relationship Id="rId2310" Type="http://schemas.openxmlformats.org/officeDocument/2006/relationships/hyperlink" Target="https://www.rm.com" TargetMode="External"/><Relationship Id="rId2311" Type="http://schemas.openxmlformats.org/officeDocument/2006/relationships/hyperlink" Target="https://www.mindsetslearning.com" TargetMode="External"/><Relationship Id="rId2312" Type="http://schemas.openxmlformats.org/officeDocument/2006/relationships/hyperlink" Target="https://www.clymb.io" TargetMode="External"/><Relationship Id="rId1895" Type="http://schemas.openxmlformats.org/officeDocument/2006/relationships/hyperlink" Target="https://www.ulesson.com" TargetMode="External"/><Relationship Id="rId1896" Type="http://schemas.openxmlformats.org/officeDocument/2006/relationships/hyperlink" Target="https://www.mathbrix.com" TargetMode="External"/><Relationship Id="rId1897" Type="http://schemas.openxmlformats.org/officeDocument/2006/relationships/hyperlink" Target="https://www.jumpspeak.com" TargetMode="External"/><Relationship Id="rId1898" Type="http://schemas.openxmlformats.org/officeDocument/2006/relationships/hyperlink" Target="https://www.optimatraining.com" TargetMode="External"/><Relationship Id="rId1899" Type="http://schemas.openxmlformats.org/officeDocument/2006/relationships/hyperlink" Target="https://www.replayce.com" TargetMode="External"/><Relationship Id="rId1890" Type="http://schemas.openxmlformats.org/officeDocument/2006/relationships/hyperlink" Target="https://www.prichard.org" TargetMode="External"/><Relationship Id="rId1891" Type="http://schemas.openxmlformats.org/officeDocument/2006/relationships/hyperlink" Target="https://www.opencodes.com" TargetMode="External"/><Relationship Id="rId1892" Type="http://schemas.openxmlformats.org/officeDocument/2006/relationships/hyperlink" Target="https://www.samlabs.com" TargetMode="External"/><Relationship Id="rId1893" Type="http://schemas.openxmlformats.org/officeDocument/2006/relationships/hyperlink" Target="https://www.elice.io" TargetMode="External"/><Relationship Id="rId1894" Type="http://schemas.openxmlformats.org/officeDocument/2006/relationships/hyperlink" Target="https://www.beespeaker.com" TargetMode="External"/><Relationship Id="rId1884" Type="http://schemas.openxmlformats.org/officeDocument/2006/relationships/hyperlink" Target="https://www.turnitin.com" TargetMode="External"/><Relationship Id="rId1885" Type="http://schemas.openxmlformats.org/officeDocument/2006/relationships/hyperlink" Target="https://www.sunstone.edu.in" TargetMode="External"/><Relationship Id="rId1886" Type="http://schemas.openxmlformats.org/officeDocument/2006/relationships/hyperlink" Target="https://www.smartlablearning.com" TargetMode="External"/><Relationship Id="rId1887" Type="http://schemas.openxmlformats.org/officeDocument/2006/relationships/hyperlink" Target="https://www.campk12.com" TargetMode="External"/><Relationship Id="rId1888" Type="http://schemas.openxmlformats.org/officeDocument/2006/relationships/hyperlink" Target="https://www.voxy.com" TargetMode="External"/><Relationship Id="rId1889" Type="http://schemas.openxmlformats.org/officeDocument/2006/relationships/hyperlink" Target="https://www.spriggy.com.au" TargetMode="External"/><Relationship Id="rId1880" Type="http://schemas.openxmlformats.org/officeDocument/2006/relationships/hyperlink" Target="https://www.moodle.org" TargetMode="External"/><Relationship Id="rId1881" Type="http://schemas.openxmlformats.org/officeDocument/2006/relationships/hyperlink" Target="https://www.edubites.com" TargetMode="External"/><Relationship Id="rId1882" Type="http://schemas.openxmlformats.org/officeDocument/2006/relationships/hyperlink" Target="https://www.epopsoft.com" TargetMode="External"/><Relationship Id="rId1883" Type="http://schemas.openxmlformats.org/officeDocument/2006/relationships/hyperlink" Target="https://www.kahilla.com" TargetMode="External"/><Relationship Id="rId1059" Type="http://schemas.openxmlformats.org/officeDocument/2006/relationships/hyperlink" Target="https://www.globalsurvey.gs" TargetMode="External"/><Relationship Id="rId228" Type="http://schemas.openxmlformats.org/officeDocument/2006/relationships/hyperlink" Target="https://escalateusa.com" TargetMode="External"/><Relationship Id="rId227" Type="http://schemas.openxmlformats.org/officeDocument/2006/relationships/hyperlink" Target="https://mathgptpro.com" TargetMode="External"/><Relationship Id="rId226" Type="http://schemas.openxmlformats.org/officeDocument/2006/relationships/hyperlink" Target="https://edvoy.com" TargetMode="External"/><Relationship Id="rId225" Type="http://schemas.openxmlformats.org/officeDocument/2006/relationships/hyperlink" Target="https://www.regiscompany.com" TargetMode="External"/><Relationship Id="rId2380" Type="http://schemas.openxmlformats.org/officeDocument/2006/relationships/hyperlink" Target="https://www.webtools.co" TargetMode="External"/><Relationship Id="rId229" Type="http://schemas.openxmlformats.org/officeDocument/2006/relationships/hyperlink" Target="https://teachable.com" TargetMode="External"/><Relationship Id="rId1050" Type="http://schemas.openxmlformats.org/officeDocument/2006/relationships/hyperlink" Target="https://www.quiverquant.com" TargetMode="External"/><Relationship Id="rId2381" Type="http://schemas.openxmlformats.org/officeDocument/2006/relationships/hyperlink" Target="https://www.datastat-inc.com" TargetMode="External"/><Relationship Id="rId220" Type="http://schemas.openxmlformats.org/officeDocument/2006/relationships/hyperlink" Target="https://www.mynd.ai" TargetMode="External"/><Relationship Id="rId1051" Type="http://schemas.openxmlformats.org/officeDocument/2006/relationships/hyperlink" Target="https://www.northstarautomation.com" TargetMode="External"/><Relationship Id="rId2382" Type="http://schemas.openxmlformats.org/officeDocument/2006/relationships/hyperlink" Target="https://www.mcagroup.com" TargetMode="External"/><Relationship Id="rId1052" Type="http://schemas.openxmlformats.org/officeDocument/2006/relationships/hyperlink" Target="https://www.simpleprax.com" TargetMode="External"/><Relationship Id="rId2383" Type="http://schemas.openxmlformats.org/officeDocument/2006/relationships/hyperlink" Target="https://www.bitb.tech" TargetMode="External"/><Relationship Id="rId1053" Type="http://schemas.openxmlformats.org/officeDocument/2006/relationships/hyperlink" Target="https://www.cleargrid.ai" TargetMode="External"/><Relationship Id="rId2384" Type="http://schemas.openxmlformats.org/officeDocument/2006/relationships/hyperlink" Target="https://www.adminformatics.com" TargetMode="External"/><Relationship Id="rId1054" Type="http://schemas.openxmlformats.org/officeDocument/2006/relationships/hyperlink" Target="https://www.visiblehand.com" TargetMode="External"/><Relationship Id="rId2385" Type="http://schemas.openxmlformats.org/officeDocument/2006/relationships/hyperlink" Target="https://www.equalyz.ai" TargetMode="External"/><Relationship Id="rId224" Type="http://schemas.openxmlformats.org/officeDocument/2006/relationships/hyperlink" Target="https://www.podotree.com" TargetMode="External"/><Relationship Id="rId1055" Type="http://schemas.openxmlformats.org/officeDocument/2006/relationships/hyperlink" Target="https://www.qualitycounts.org" TargetMode="External"/><Relationship Id="rId2386" Type="http://schemas.openxmlformats.org/officeDocument/2006/relationships/hyperlink" Target="https://www.stegmeiergroup.com" TargetMode="External"/><Relationship Id="rId223" Type="http://schemas.openxmlformats.org/officeDocument/2006/relationships/hyperlink" Target="https://peekapak.com" TargetMode="External"/><Relationship Id="rId1056" Type="http://schemas.openxmlformats.org/officeDocument/2006/relationships/hyperlink" Target="https://www.imerit.net" TargetMode="External"/><Relationship Id="rId2387" Type="http://schemas.openxmlformats.org/officeDocument/2006/relationships/hyperlink" Target="https://www.trafficdatacentre.com" TargetMode="External"/><Relationship Id="rId222" Type="http://schemas.openxmlformats.org/officeDocument/2006/relationships/hyperlink" Target="https://www.talview.com" TargetMode="External"/><Relationship Id="rId1057" Type="http://schemas.openxmlformats.org/officeDocument/2006/relationships/hyperlink" Target="https://www.hivedata.com" TargetMode="External"/><Relationship Id="rId2388" Type="http://schemas.openxmlformats.org/officeDocument/2006/relationships/hyperlink" Target="https://www.zeuso.com" TargetMode="External"/><Relationship Id="rId221" Type="http://schemas.openxmlformats.org/officeDocument/2006/relationships/hyperlink" Target="https://www.storypod.com" TargetMode="External"/><Relationship Id="rId1058" Type="http://schemas.openxmlformats.org/officeDocument/2006/relationships/hyperlink" Target="https://www.toloka.ai" TargetMode="External"/><Relationship Id="rId2389" Type="http://schemas.openxmlformats.org/officeDocument/2006/relationships/hyperlink" Target="https://www.tedsinc.com" TargetMode="External"/><Relationship Id="rId1048" Type="http://schemas.openxmlformats.org/officeDocument/2006/relationships/hyperlink" Target="https://www.labelbox.com" TargetMode="External"/><Relationship Id="rId2379" Type="http://schemas.openxmlformats.org/officeDocument/2006/relationships/hyperlink" Target="https://www.csesolutions.com" TargetMode="External"/><Relationship Id="rId1049" Type="http://schemas.openxmlformats.org/officeDocument/2006/relationships/hyperlink" Target="https://www.sidewalklabs.com" TargetMode="External"/><Relationship Id="rId217" Type="http://schemas.openxmlformats.org/officeDocument/2006/relationships/hyperlink" Target="https://www.openhouse.study" TargetMode="External"/><Relationship Id="rId216" Type="http://schemas.openxmlformats.org/officeDocument/2006/relationships/hyperlink" Target="https://www.sanako.com" TargetMode="External"/><Relationship Id="rId215" Type="http://schemas.openxmlformats.org/officeDocument/2006/relationships/hyperlink" Target="https://bytexl.com" TargetMode="External"/><Relationship Id="rId214" Type="http://schemas.openxmlformats.org/officeDocument/2006/relationships/hyperlink" Target="https://unibuddy.com" TargetMode="External"/><Relationship Id="rId219" Type="http://schemas.openxmlformats.org/officeDocument/2006/relationships/hyperlink" Target="http://mynd.ai" TargetMode="External"/><Relationship Id="rId218" Type="http://schemas.openxmlformats.org/officeDocument/2006/relationships/hyperlink" Target="https://dreamscapelearn.com" TargetMode="External"/><Relationship Id="rId2370" Type="http://schemas.openxmlformats.org/officeDocument/2006/relationships/hyperlink" Target="https://www.karetech.com" TargetMode="External"/><Relationship Id="rId1040" Type="http://schemas.openxmlformats.org/officeDocument/2006/relationships/hyperlink" Target="https://www.petalcard.com" TargetMode="External"/><Relationship Id="rId2371" Type="http://schemas.openxmlformats.org/officeDocument/2006/relationships/hyperlink" Target="https://www.emsp.org" TargetMode="External"/><Relationship Id="rId1041" Type="http://schemas.openxmlformats.org/officeDocument/2006/relationships/hyperlink" Target="https://www.invivodata.com" TargetMode="External"/><Relationship Id="rId2372" Type="http://schemas.openxmlformats.org/officeDocument/2006/relationships/hyperlink" Target="https://www.gnnresearch.com" TargetMode="External"/><Relationship Id="rId1042" Type="http://schemas.openxmlformats.org/officeDocument/2006/relationships/hyperlink" Target="https://www.simba.com" TargetMode="External"/><Relationship Id="rId2373" Type="http://schemas.openxmlformats.org/officeDocument/2006/relationships/hyperlink" Target="https://www.c3corporation.com" TargetMode="External"/><Relationship Id="rId1043" Type="http://schemas.openxmlformats.org/officeDocument/2006/relationships/hyperlink" Target="https://www.encord.com" TargetMode="External"/><Relationship Id="rId2374" Type="http://schemas.openxmlformats.org/officeDocument/2006/relationships/hyperlink" Target="https://www.chloensystems.com" TargetMode="External"/><Relationship Id="rId213" Type="http://schemas.openxmlformats.org/officeDocument/2006/relationships/hyperlink" Target="https://www.lingoda.com" TargetMode="External"/><Relationship Id="rId1044" Type="http://schemas.openxmlformats.org/officeDocument/2006/relationships/hyperlink" Target="https://www.woundmatrix.com" TargetMode="External"/><Relationship Id="rId2375" Type="http://schemas.openxmlformats.org/officeDocument/2006/relationships/hyperlink" Target="https://www.ignimission.com" TargetMode="External"/><Relationship Id="rId212" Type="http://schemas.openxmlformats.org/officeDocument/2006/relationships/hyperlink" Target="https://talkme.ai" TargetMode="External"/><Relationship Id="rId1045" Type="http://schemas.openxmlformats.org/officeDocument/2006/relationships/hyperlink" Target="https://www.pricetrakker.com" TargetMode="External"/><Relationship Id="rId2376" Type="http://schemas.openxmlformats.org/officeDocument/2006/relationships/hyperlink" Target="https://www.mobeye.com" TargetMode="External"/><Relationship Id="rId211" Type="http://schemas.openxmlformats.org/officeDocument/2006/relationships/hyperlink" Target="https://www.planetspark.in" TargetMode="External"/><Relationship Id="rId1046" Type="http://schemas.openxmlformats.org/officeDocument/2006/relationships/hyperlink" Target="https://www.i2o.ai" TargetMode="External"/><Relationship Id="rId2377" Type="http://schemas.openxmlformats.org/officeDocument/2006/relationships/hyperlink" Target="https://www.gssolutions.com" TargetMode="External"/><Relationship Id="rId210" Type="http://schemas.openxmlformats.org/officeDocument/2006/relationships/hyperlink" Target="https://teachme.to" TargetMode="External"/><Relationship Id="rId1047" Type="http://schemas.openxmlformats.org/officeDocument/2006/relationships/hyperlink" Target="https://www.tesisbio.com" TargetMode="External"/><Relationship Id="rId2378" Type="http://schemas.openxmlformats.org/officeDocument/2006/relationships/hyperlink" Target="https://www.acara.edu.au" TargetMode="External"/><Relationship Id="rId249" Type="http://schemas.openxmlformats.org/officeDocument/2006/relationships/hyperlink" Target="https://abre.io" TargetMode="External"/><Relationship Id="rId248" Type="http://schemas.openxmlformats.org/officeDocument/2006/relationships/hyperlink" Target="https://collegecontact.com" TargetMode="External"/><Relationship Id="rId247" Type="http://schemas.openxmlformats.org/officeDocument/2006/relationships/hyperlink" Target="https://www.playpokpok.com" TargetMode="External"/><Relationship Id="rId1070" Type="http://schemas.openxmlformats.org/officeDocument/2006/relationships/hyperlink" Target="https://www.oworkers.com" TargetMode="External"/><Relationship Id="rId1071" Type="http://schemas.openxmlformats.org/officeDocument/2006/relationships/hyperlink" Target="http://birds.ai" TargetMode="External"/><Relationship Id="rId1072" Type="http://schemas.openxmlformats.org/officeDocument/2006/relationships/hyperlink" Target="https://www.birds.ai" TargetMode="External"/><Relationship Id="rId242" Type="http://schemas.openxmlformats.org/officeDocument/2006/relationships/hyperlink" Target="https://learnin.com" TargetMode="External"/><Relationship Id="rId1073" Type="http://schemas.openxmlformats.org/officeDocument/2006/relationships/hyperlink" Target="https://www.xcharta.com" TargetMode="External"/><Relationship Id="rId241" Type="http://schemas.openxmlformats.org/officeDocument/2006/relationships/hyperlink" Target="https://unacademy.com" TargetMode="External"/><Relationship Id="rId1074" Type="http://schemas.openxmlformats.org/officeDocument/2006/relationships/hyperlink" Target="https://www.myagdata.com" TargetMode="External"/><Relationship Id="rId240" Type="http://schemas.openxmlformats.org/officeDocument/2006/relationships/hyperlink" Target="https://www.studysmarter.co.uk" TargetMode="External"/><Relationship Id="rId1075" Type="http://schemas.openxmlformats.org/officeDocument/2006/relationships/hyperlink" Target="https://www.qonsent.io" TargetMode="External"/><Relationship Id="rId1076" Type="http://schemas.openxmlformats.org/officeDocument/2006/relationships/hyperlink" Target="https://www.grably.io" TargetMode="External"/><Relationship Id="rId246" Type="http://schemas.openxmlformats.org/officeDocument/2006/relationships/hyperlink" Target="https://dreami.com" TargetMode="External"/><Relationship Id="rId1077" Type="http://schemas.openxmlformats.org/officeDocument/2006/relationships/hyperlink" Target="https://www.empliant.com" TargetMode="External"/><Relationship Id="rId245" Type="http://schemas.openxmlformats.org/officeDocument/2006/relationships/hyperlink" Target="https://languagelearningmarket.com" TargetMode="External"/><Relationship Id="rId1078" Type="http://schemas.openxmlformats.org/officeDocument/2006/relationships/hyperlink" Target="https://www.dataox.com" TargetMode="External"/><Relationship Id="rId244" Type="http://schemas.openxmlformats.org/officeDocument/2006/relationships/hyperlink" Target="https://www.goguardian.com" TargetMode="External"/><Relationship Id="rId1079" Type="http://schemas.openxmlformats.org/officeDocument/2006/relationships/hyperlink" Target="http://maadaa.ai" TargetMode="External"/><Relationship Id="rId243" Type="http://schemas.openxmlformats.org/officeDocument/2006/relationships/hyperlink" Target="https://revwork.com" TargetMode="External"/><Relationship Id="rId239" Type="http://schemas.openxmlformats.org/officeDocument/2006/relationships/hyperlink" Target="https://worksimplr.com" TargetMode="External"/><Relationship Id="rId238" Type="http://schemas.openxmlformats.org/officeDocument/2006/relationships/hyperlink" Target="https://leadschool.in" TargetMode="External"/><Relationship Id="rId237" Type="http://schemas.openxmlformats.org/officeDocument/2006/relationships/hyperlink" Target="https://lessonbee.com" TargetMode="External"/><Relationship Id="rId236" Type="http://schemas.openxmlformats.org/officeDocument/2006/relationships/hyperlink" Target="https://nepris.com" TargetMode="External"/><Relationship Id="rId2390" Type="http://schemas.openxmlformats.org/officeDocument/2006/relationships/hyperlink" Target="https://www.qualiquant.com" TargetMode="External"/><Relationship Id="rId1060" Type="http://schemas.openxmlformats.org/officeDocument/2006/relationships/hyperlink" Target="https://www.link2feed.ca" TargetMode="External"/><Relationship Id="rId2391" Type="http://schemas.openxmlformats.org/officeDocument/2006/relationships/hyperlink" Target="https://www.newindex.com" TargetMode="External"/><Relationship Id="rId1061" Type="http://schemas.openxmlformats.org/officeDocument/2006/relationships/hyperlink" Target="https://www.metaworks.com" TargetMode="External"/><Relationship Id="rId2392" Type="http://schemas.openxmlformats.org/officeDocument/2006/relationships/hyperlink" Target="https://www.kiptraq.com" TargetMode="External"/><Relationship Id="rId231" Type="http://schemas.openxmlformats.org/officeDocument/2006/relationships/hyperlink" Target="https://postmath.com" TargetMode="External"/><Relationship Id="rId1062" Type="http://schemas.openxmlformats.org/officeDocument/2006/relationships/hyperlink" Target="https://www.global360research.com" TargetMode="External"/><Relationship Id="rId2393" Type="http://schemas.openxmlformats.org/officeDocument/2006/relationships/hyperlink" Target="https://www.pro-intelligence.net" TargetMode="External"/><Relationship Id="rId230" Type="http://schemas.openxmlformats.org/officeDocument/2006/relationships/hyperlink" Target="https://sense.education" TargetMode="External"/><Relationship Id="rId1063" Type="http://schemas.openxmlformats.org/officeDocument/2006/relationships/hyperlink" Target="https://www.glocalmind.com" TargetMode="External"/><Relationship Id="rId2394" Type="http://schemas.openxmlformats.org/officeDocument/2006/relationships/hyperlink" Target="https://www.intimarketing.co.id" TargetMode="External"/><Relationship Id="rId1064" Type="http://schemas.openxmlformats.org/officeDocument/2006/relationships/hyperlink" Target="https://www.eagleconsulting.com" TargetMode="External"/><Relationship Id="rId2395" Type="http://schemas.openxmlformats.org/officeDocument/2006/relationships/hyperlink" Target="https://www.consumerresearchsolutions.com" TargetMode="External"/><Relationship Id="rId1065" Type="http://schemas.openxmlformats.org/officeDocument/2006/relationships/hyperlink" Target="https://www.ndssurvey.com" TargetMode="External"/><Relationship Id="rId2396" Type="http://schemas.openxmlformats.org/officeDocument/2006/relationships/hyperlink" Target="https://www.howelawfirm.net" TargetMode="External"/><Relationship Id="rId235" Type="http://schemas.openxmlformats.org/officeDocument/2006/relationships/hyperlink" Target="https://angelq.ai" TargetMode="External"/><Relationship Id="rId1066" Type="http://schemas.openxmlformats.org/officeDocument/2006/relationships/hyperlink" Target="https://www.datarecognitioncorp.com" TargetMode="External"/><Relationship Id="rId2397" Type="http://schemas.openxmlformats.org/officeDocument/2006/relationships/hyperlink" Target="https://www.moainsights.com" TargetMode="External"/><Relationship Id="rId234" Type="http://schemas.openxmlformats.org/officeDocument/2006/relationships/hyperlink" Target="https://gomycode.com" TargetMode="External"/><Relationship Id="rId1067" Type="http://schemas.openxmlformats.org/officeDocument/2006/relationships/hyperlink" Target="https://www.blueworld.com" TargetMode="External"/><Relationship Id="rId2398" Type="http://schemas.openxmlformats.org/officeDocument/2006/relationships/hyperlink" Target="https://www.canadianviewpoint.ca" TargetMode="External"/><Relationship Id="rId233" Type="http://schemas.openxmlformats.org/officeDocument/2006/relationships/hyperlink" Target="https://www.gradescope.com" TargetMode="External"/><Relationship Id="rId1068" Type="http://schemas.openxmlformats.org/officeDocument/2006/relationships/hyperlink" Target="https://www.logitgroup.com" TargetMode="External"/><Relationship Id="rId2399" Type="http://schemas.openxmlformats.org/officeDocument/2006/relationships/hyperlink" Target="https://www.gide.com" TargetMode="External"/><Relationship Id="rId232" Type="http://schemas.openxmlformats.org/officeDocument/2006/relationships/hyperlink" Target="https://www.wooclap.com" TargetMode="External"/><Relationship Id="rId1069" Type="http://schemas.openxmlformats.org/officeDocument/2006/relationships/hyperlink" Target="https://www.dooblo.net" TargetMode="External"/><Relationship Id="rId1015" Type="http://schemas.openxmlformats.org/officeDocument/2006/relationships/hyperlink" Target="https://www.docugami.com" TargetMode="External"/><Relationship Id="rId2346" Type="http://schemas.openxmlformats.org/officeDocument/2006/relationships/hyperlink" Target="https://www.growthroad.co" TargetMode="External"/><Relationship Id="rId1016" Type="http://schemas.openxmlformats.org/officeDocument/2006/relationships/hyperlink" Target="https://aws.amazon.com" TargetMode="External"/><Relationship Id="rId2347" Type="http://schemas.openxmlformats.org/officeDocument/2006/relationships/hyperlink" Target="https://www.smowltech.com" TargetMode="External"/><Relationship Id="rId1017" Type="http://schemas.openxmlformats.org/officeDocument/2006/relationships/hyperlink" Target="https://www.vantagesports.com" TargetMode="External"/><Relationship Id="rId2348" Type="http://schemas.openxmlformats.org/officeDocument/2006/relationships/hyperlink" Target="https://www.bookbotkids.com" TargetMode="External"/><Relationship Id="rId1018" Type="http://schemas.openxmlformats.org/officeDocument/2006/relationships/hyperlink" Target="https://www.megnity.com" TargetMode="External"/><Relationship Id="rId2349" Type="http://schemas.openxmlformats.org/officeDocument/2006/relationships/hyperlink" Target="https://www.focuspointeglobal.com" TargetMode="External"/><Relationship Id="rId1019" Type="http://schemas.openxmlformats.org/officeDocument/2006/relationships/hyperlink" Target="https://www.boost.ai" TargetMode="External"/><Relationship Id="rId2340" Type="http://schemas.openxmlformats.org/officeDocument/2006/relationships/hyperlink" Target="https://www.wallstreet.io" TargetMode="External"/><Relationship Id="rId1010" Type="http://schemas.openxmlformats.org/officeDocument/2006/relationships/hyperlink" Target="https://www.xsinc.com" TargetMode="External"/><Relationship Id="rId2341" Type="http://schemas.openxmlformats.org/officeDocument/2006/relationships/hyperlink" Target="https://www.certificationpoint.com" TargetMode="External"/><Relationship Id="rId1011" Type="http://schemas.openxmlformats.org/officeDocument/2006/relationships/hyperlink" Target="https://www.ageye.ai" TargetMode="External"/><Relationship Id="rId2342" Type="http://schemas.openxmlformats.org/officeDocument/2006/relationships/hyperlink" Target="https://www.everybodycounts.org" TargetMode="External"/><Relationship Id="rId1012" Type="http://schemas.openxmlformats.org/officeDocument/2006/relationships/hyperlink" Target="https://www.alegion.com" TargetMode="External"/><Relationship Id="rId2343" Type="http://schemas.openxmlformats.org/officeDocument/2006/relationships/hyperlink" Target="https://www.learnexperts.com" TargetMode="External"/><Relationship Id="rId1013" Type="http://schemas.openxmlformats.org/officeDocument/2006/relationships/hyperlink" Target="https://www.playment.io" TargetMode="External"/><Relationship Id="rId2344" Type="http://schemas.openxmlformats.org/officeDocument/2006/relationships/hyperlink" Target="https://www.nardagani.com" TargetMode="External"/><Relationship Id="rId1014" Type="http://schemas.openxmlformats.org/officeDocument/2006/relationships/hyperlink" Target="https://www.hengyuan-tech.com" TargetMode="External"/><Relationship Id="rId2345" Type="http://schemas.openxmlformats.org/officeDocument/2006/relationships/hyperlink" Target="https://www.sparklearn.com" TargetMode="External"/><Relationship Id="rId1004" Type="http://schemas.openxmlformats.org/officeDocument/2006/relationships/hyperlink" Target="https://www.unimrkt.com" TargetMode="External"/><Relationship Id="rId2335" Type="http://schemas.openxmlformats.org/officeDocument/2006/relationships/hyperlink" Target="https://www.alo7.com" TargetMode="External"/><Relationship Id="rId1005" Type="http://schemas.openxmlformats.org/officeDocument/2006/relationships/hyperlink" Target="https://www.nextgenai.io" TargetMode="External"/><Relationship Id="rId2336" Type="http://schemas.openxmlformats.org/officeDocument/2006/relationships/hyperlink" Target="https://www.noonacademy.com" TargetMode="External"/><Relationship Id="rId1006" Type="http://schemas.openxmlformats.org/officeDocument/2006/relationships/hyperlink" Target="https://www.magid.com" TargetMode="External"/><Relationship Id="rId2337" Type="http://schemas.openxmlformats.org/officeDocument/2006/relationships/hyperlink" Target="https://www.aweducation.com" TargetMode="External"/><Relationship Id="rId1007" Type="http://schemas.openxmlformats.org/officeDocument/2006/relationships/hyperlink" Target="https://www.voxco.com" TargetMode="External"/><Relationship Id="rId2338" Type="http://schemas.openxmlformats.org/officeDocument/2006/relationships/hyperlink" Target="https://www.enggonline.com" TargetMode="External"/><Relationship Id="rId1008" Type="http://schemas.openxmlformats.org/officeDocument/2006/relationships/hyperlink" Target="https://www.scoutsystems.com" TargetMode="External"/><Relationship Id="rId2339" Type="http://schemas.openxmlformats.org/officeDocument/2006/relationships/hyperlink" Target="http://wallstreet.io" TargetMode="External"/><Relationship Id="rId1009" Type="http://schemas.openxmlformats.org/officeDocument/2006/relationships/hyperlink" Target="https://www.teamscope.io" TargetMode="External"/><Relationship Id="rId2330" Type="http://schemas.openxmlformats.org/officeDocument/2006/relationships/hyperlink" Target="https://www.dingdongclass.com" TargetMode="External"/><Relationship Id="rId1000" Type="http://schemas.openxmlformats.org/officeDocument/2006/relationships/hyperlink" Target="https://www.arist.co" TargetMode="External"/><Relationship Id="rId2331" Type="http://schemas.openxmlformats.org/officeDocument/2006/relationships/hyperlink" Target="https://www.dphi.tech" TargetMode="External"/><Relationship Id="rId1001" Type="http://schemas.openxmlformats.org/officeDocument/2006/relationships/hyperlink" Target="https://mindprintlearning.com" TargetMode="External"/><Relationship Id="rId2332" Type="http://schemas.openxmlformats.org/officeDocument/2006/relationships/hyperlink" Target="https://www.eduvue.com" TargetMode="External"/><Relationship Id="rId1002" Type="http://schemas.openxmlformats.org/officeDocument/2006/relationships/hyperlink" Target="https://subly.com" TargetMode="External"/><Relationship Id="rId2333" Type="http://schemas.openxmlformats.org/officeDocument/2006/relationships/hyperlink" Target="https://www.edapp.com" TargetMode="External"/><Relationship Id="rId1003" Type="http://schemas.openxmlformats.org/officeDocument/2006/relationships/hyperlink" Target="https://www.longigroup.com" TargetMode="External"/><Relationship Id="rId2334" Type="http://schemas.openxmlformats.org/officeDocument/2006/relationships/hyperlink" Target="https://www.forte.ai" TargetMode="External"/><Relationship Id="rId1037" Type="http://schemas.openxmlformats.org/officeDocument/2006/relationships/hyperlink" Target="https://www.passportinc.com" TargetMode="External"/><Relationship Id="rId2368" Type="http://schemas.openxmlformats.org/officeDocument/2006/relationships/hyperlink" Target="https://www.quantaero.com" TargetMode="External"/><Relationship Id="rId1038" Type="http://schemas.openxmlformats.org/officeDocument/2006/relationships/hyperlink" Target="https://www.kordata.com" TargetMode="External"/><Relationship Id="rId2369" Type="http://schemas.openxmlformats.org/officeDocument/2006/relationships/hyperlink" Target="https://www.ratiolabel.com" TargetMode="External"/><Relationship Id="rId1039" Type="http://schemas.openxmlformats.org/officeDocument/2006/relationships/hyperlink" Target="https://www.bitroot.io" TargetMode="External"/><Relationship Id="rId206" Type="http://schemas.openxmlformats.org/officeDocument/2006/relationships/hyperlink" Target="https://www.gizmo.ai" TargetMode="External"/><Relationship Id="rId205" Type="http://schemas.openxmlformats.org/officeDocument/2006/relationships/hyperlink" Target="https://sportsedtv.com" TargetMode="External"/><Relationship Id="rId204" Type="http://schemas.openxmlformats.org/officeDocument/2006/relationships/hyperlink" Target="https://www.amii.ca" TargetMode="External"/><Relationship Id="rId203" Type="http://schemas.openxmlformats.org/officeDocument/2006/relationships/hyperlink" Target="https://www.docebo.com" TargetMode="External"/><Relationship Id="rId209" Type="http://schemas.openxmlformats.org/officeDocument/2006/relationships/hyperlink" Target="http://teachme.to" TargetMode="External"/><Relationship Id="rId208" Type="http://schemas.openxmlformats.org/officeDocument/2006/relationships/hyperlink" Target="https://notedsource.com" TargetMode="External"/><Relationship Id="rId207" Type="http://schemas.openxmlformats.org/officeDocument/2006/relationships/hyperlink" Target="https://www.esparklearning.com" TargetMode="External"/><Relationship Id="rId2360" Type="http://schemas.openxmlformats.org/officeDocument/2006/relationships/hyperlink" Target="https://www.conversationsbyami.com" TargetMode="External"/><Relationship Id="rId1030" Type="http://schemas.openxmlformats.org/officeDocument/2006/relationships/hyperlink" Target="https://www.honeywell.com" TargetMode="External"/><Relationship Id="rId2361" Type="http://schemas.openxmlformats.org/officeDocument/2006/relationships/hyperlink" Target="https://www.ddsi.com" TargetMode="External"/><Relationship Id="rId1031" Type="http://schemas.openxmlformats.org/officeDocument/2006/relationships/hyperlink" Target="https://www.kaki.ai" TargetMode="External"/><Relationship Id="rId2362" Type="http://schemas.openxmlformats.org/officeDocument/2006/relationships/hyperlink" Target="https://www.mnforce.com" TargetMode="External"/><Relationship Id="rId1032" Type="http://schemas.openxmlformats.org/officeDocument/2006/relationships/hyperlink" Target="https://www.octoai.tech" TargetMode="External"/><Relationship Id="rId2363" Type="http://schemas.openxmlformats.org/officeDocument/2006/relationships/hyperlink" Target="https://www.retaildataservices.com" TargetMode="External"/><Relationship Id="rId202" Type="http://schemas.openxmlformats.org/officeDocument/2006/relationships/hyperlink" Target="https://qanda.ai" TargetMode="External"/><Relationship Id="rId1033" Type="http://schemas.openxmlformats.org/officeDocument/2006/relationships/hyperlink" Target="https://www.sisinternational.com" TargetMode="External"/><Relationship Id="rId2364" Type="http://schemas.openxmlformats.org/officeDocument/2006/relationships/hyperlink" Target="https://www.hartreepartners.com" TargetMode="External"/><Relationship Id="rId201" Type="http://schemas.openxmlformats.org/officeDocument/2006/relationships/hyperlink" Target="https://www.continu.com" TargetMode="External"/><Relationship Id="rId1034" Type="http://schemas.openxmlformats.org/officeDocument/2006/relationships/hyperlink" Target="https://www.qredence.ai" TargetMode="External"/><Relationship Id="rId2365" Type="http://schemas.openxmlformats.org/officeDocument/2006/relationships/hyperlink" Target="https://www.comiskeyresearch.com" TargetMode="External"/><Relationship Id="rId200" Type="http://schemas.openxmlformats.org/officeDocument/2006/relationships/hyperlink" Target="https://easylii.com" TargetMode="External"/><Relationship Id="rId1035" Type="http://schemas.openxmlformats.org/officeDocument/2006/relationships/hyperlink" Target="https://www.canmarktech.com" TargetMode="External"/><Relationship Id="rId2366" Type="http://schemas.openxmlformats.org/officeDocument/2006/relationships/hyperlink" Target="https://www.aicpartners.com" TargetMode="External"/><Relationship Id="rId1036" Type="http://schemas.openxmlformats.org/officeDocument/2006/relationships/hyperlink" Target="https://www.blueoceanmonitoring.com" TargetMode="External"/><Relationship Id="rId2367" Type="http://schemas.openxmlformats.org/officeDocument/2006/relationships/hyperlink" Target="https://www.nafundi.com" TargetMode="External"/><Relationship Id="rId1026" Type="http://schemas.openxmlformats.org/officeDocument/2006/relationships/hyperlink" Target="https://www.daynamica.com" TargetMode="External"/><Relationship Id="rId2357" Type="http://schemas.openxmlformats.org/officeDocument/2006/relationships/hyperlink" Target="https://www.multisystems.com" TargetMode="External"/><Relationship Id="rId1027" Type="http://schemas.openxmlformats.org/officeDocument/2006/relationships/hyperlink" Target="https://www.lndata.com" TargetMode="External"/><Relationship Id="rId2358" Type="http://schemas.openxmlformats.org/officeDocument/2006/relationships/hyperlink" Target="https://www.aemetriks.com" TargetMode="External"/><Relationship Id="rId1028" Type="http://schemas.openxmlformats.org/officeDocument/2006/relationships/hyperlink" Target="https://www.axonlabs.ai" TargetMode="External"/><Relationship Id="rId2359" Type="http://schemas.openxmlformats.org/officeDocument/2006/relationships/hyperlink" Target="https://www.lightbids.com" TargetMode="External"/><Relationship Id="rId1029" Type="http://schemas.openxmlformats.org/officeDocument/2006/relationships/hyperlink" Target="https://www.hasdata.com" TargetMode="External"/><Relationship Id="rId2350" Type="http://schemas.openxmlformats.org/officeDocument/2006/relationships/hyperlink" Target="https://www.vulairlabs.com" TargetMode="External"/><Relationship Id="rId1020" Type="http://schemas.openxmlformats.org/officeDocument/2006/relationships/hyperlink" Target="https://www.poket.com" TargetMode="External"/><Relationship Id="rId2351" Type="http://schemas.openxmlformats.org/officeDocument/2006/relationships/hyperlink" Target="https://www.sensotrend.com" TargetMode="External"/><Relationship Id="rId1021" Type="http://schemas.openxmlformats.org/officeDocument/2006/relationships/hyperlink" Target="https://www.loraxcompliance.com" TargetMode="External"/><Relationship Id="rId2352" Type="http://schemas.openxmlformats.org/officeDocument/2006/relationships/hyperlink" Target="https://www.limburgmeet.com" TargetMode="External"/><Relationship Id="rId1022" Type="http://schemas.openxmlformats.org/officeDocument/2006/relationships/hyperlink" Target="https://www.opinions.co" TargetMode="External"/><Relationship Id="rId2353" Type="http://schemas.openxmlformats.org/officeDocument/2006/relationships/hyperlink" Target="https://www.gtrconsultoria.com" TargetMode="External"/><Relationship Id="rId1023" Type="http://schemas.openxmlformats.org/officeDocument/2006/relationships/hyperlink" Target="https://www.minglehealth.com" TargetMode="External"/><Relationship Id="rId2354" Type="http://schemas.openxmlformats.org/officeDocument/2006/relationships/hyperlink" Target="https://www.aimtrafficdata.com" TargetMode="External"/><Relationship Id="rId1024" Type="http://schemas.openxmlformats.org/officeDocument/2006/relationships/hyperlink" Target="https://www.ednaexplorer.com" TargetMode="External"/><Relationship Id="rId2355" Type="http://schemas.openxmlformats.org/officeDocument/2006/relationships/hyperlink" Target="https://www.wastelocker.com" TargetMode="External"/><Relationship Id="rId1025" Type="http://schemas.openxmlformats.org/officeDocument/2006/relationships/hyperlink" Target="https://www.processvenue.com" TargetMode="External"/><Relationship Id="rId2356" Type="http://schemas.openxmlformats.org/officeDocument/2006/relationships/hyperlink" Target="https://www.aiassets.com" TargetMode="External"/><Relationship Id="rId1910" Type="http://schemas.openxmlformats.org/officeDocument/2006/relationships/hyperlink" Target="https://www.sowntogrow.com" TargetMode="External"/><Relationship Id="rId1911" Type="http://schemas.openxmlformats.org/officeDocument/2006/relationships/hyperlink" Target="https://www.pluralsight.com/cloud-guru" TargetMode="External"/><Relationship Id="rId1912" Type="http://schemas.openxmlformats.org/officeDocument/2006/relationships/hyperlink" Target="https://www.klara.com" TargetMode="External"/><Relationship Id="rId1913" Type="http://schemas.openxmlformats.org/officeDocument/2006/relationships/hyperlink" Target="https://www.skillup.online" TargetMode="External"/><Relationship Id="rId1914" Type="http://schemas.openxmlformats.org/officeDocument/2006/relationships/hyperlink" Target="https://www.mobietrain.com" TargetMode="External"/><Relationship Id="rId1915" Type="http://schemas.openxmlformats.org/officeDocument/2006/relationships/hyperlink" Target="https://www.aops.com" TargetMode="External"/><Relationship Id="rId1916" Type="http://schemas.openxmlformats.org/officeDocument/2006/relationships/hyperlink" Target="https://www.hilokal.com" TargetMode="External"/><Relationship Id="rId1917" Type="http://schemas.openxmlformats.org/officeDocument/2006/relationships/hyperlink" Target="https://www.nolej.io" TargetMode="External"/><Relationship Id="rId1918" Type="http://schemas.openxmlformats.org/officeDocument/2006/relationships/hyperlink" Target="https://www.stem.org" TargetMode="External"/><Relationship Id="rId1919" Type="http://schemas.openxmlformats.org/officeDocument/2006/relationships/hyperlink" Target="https://www.pintar.co" TargetMode="External"/><Relationship Id="rId1900" Type="http://schemas.openxmlformats.org/officeDocument/2006/relationships/hyperlink" Target="https://www.eloomi.com" TargetMode="External"/><Relationship Id="rId1901" Type="http://schemas.openxmlformats.org/officeDocument/2006/relationships/hyperlink" Target="https://www.iscreammedia.com" TargetMode="External"/><Relationship Id="rId1902" Type="http://schemas.openxmlformats.org/officeDocument/2006/relationships/hyperlink" Target="https://www.mojo-cx.com" TargetMode="External"/><Relationship Id="rId1903" Type="http://schemas.openxmlformats.org/officeDocument/2006/relationships/hyperlink" Target="https://www.masteryprep.com" TargetMode="External"/><Relationship Id="rId1904" Type="http://schemas.openxmlformats.org/officeDocument/2006/relationships/hyperlink" Target="https://www.authoritive.com" TargetMode="External"/><Relationship Id="rId1905" Type="http://schemas.openxmlformats.org/officeDocument/2006/relationships/hyperlink" Target="https://www.raven360.com" TargetMode="External"/><Relationship Id="rId1906" Type="http://schemas.openxmlformats.org/officeDocument/2006/relationships/hyperlink" Target="https://www.meishubao.com" TargetMode="External"/><Relationship Id="rId1907" Type="http://schemas.openxmlformats.org/officeDocument/2006/relationships/hyperlink" Target="https://www.convegenius.ai" TargetMode="External"/><Relationship Id="rId1908" Type="http://schemas.openxmlformats.org/officeDocument/2006/relationships/hyperlink" Target="https://www.acadeum.com" TargetMode="External"/><Relationship Id="rId1909" Type="http://schemas.openxmlformats.org/officeDocument/2006/relationships/hyperlink" Target="https://www.inspirededu.com" TargetMode="External"/><Relationship Id="rId1090" Type="http://schemas.openxmlformats.org/officeDocument/2006/relationships/hyperlink" Target="https://www.leyhausenresearch.com" TargetMode="External"/><Relationship Id="rId1091" Type="http://schemas.openxmlformats.org/officeDocument/2006/relationships/hyperlink" Target="https://www.supplychainservices.com" TargetMode="External"/><Relationship Id="rId1092" Type="http://schemas.openxmlformats.org/officeDocument/2006/relationships/hyperlink" Target="https://www.suryasoft.com" TargetMode="External"/><Relationship Id="rId1093" Type="http://schemas.openxmlformats.org/officeDocument/2006/relationships/hyperlink" Target="https://www.ubivis.com" TargetMode="External"/><Relationship Id="rId1094" Type="http://schemas.openxmlformats.org/officeDocument/2006/relationships/hyperlink" Target="https://www.decodo.com" TargetMode="External"/><Relationship Id="rId1095" Type="http://schemas.openxmlformats.org/officeDocument/2006/relationships/hyperlink" Target="https://www.ohsomeinteractive.com" TargetMode="External"/><Relationship Id="rId1096" Type="http://schemas.openxmlformats.org/officeDocument/2006/relationships/hyperlink" Target="https://www.crowdee.ai" TargetMode="External"/><Relationship Id="rId1097" Type="http://schemas.openxmlformats.org/officeDocument/2006/relationships/hyperlink" Target="https://www.savvr.ai" TargetMode="External"/><Relationship Id="rId1098" Type="http://schemas.openxmlformats.org/officeDocument/2006/relationships/hyperlink" Target="https://www.ecocharting.com" TargetMode="External"/><Relationship Id="rId1099" Type="http://schemas.openxmlformats.org/officeDocument/2006/relationships/hyperlink" Target="https://www.emis.com" TargetMode="External"/><Relationship Id="rId1080" Type="http://schemas.openxmlformats.org/officeDocument/2006/relationships/hyperlink" Target="https://www.maadaa.ai" TargetMode="External"/><Relationship Id="rId1081" Type="http://schemas.openxmlformats.org/officeDocument/2006/relationships/hyperlink" Target="https://www.portex.ai" TargetMode="External"/><Relationship Id="rId1082" Type="http://schemas.openxmlformats.org/officeDocument/2006/relationships/hyperlink" Target="https://www.serialio.com" TargetMode="External"/><Relationship Id="rId1083" Type="http://schemas.openxmlformats.org/officeDocument/2006/relationships/hyperlink" Target="https://www.wdsi.com" TargetMode="External"/><Relationship Id="rId1084" Type="http://schemas.openxmlformats.org/officeDocument/2006/relationships/hyperlink" Target="https://www.deepgram.com" TargetMode="External"/><Relationship Id="rId1085" Type="http://schemas.openxmlformats.org/officeDocument/2006/relationships/hyperlink" Target="https://www.profilespider.com" TargetMode="External"/><Relationship Id="rId1086" Type="http://schemas.openxmlformats.org/officeDocument/2006/relationships/hyperlink" Target="https://www.care4.com" TargetMode="External"/><Relationship Id="rId1087" Type="http://schemas.openxmlformats.org/officeDocument/2006/relationships/hyperlink" Target="https://www.gravic.com" TargetMode="External"/><Relationship Id="rId1088" Type="http://schemas.openxmlformats.org/officeDocument/2006/relationships/hyperlink" Target="https://www.haidata.ai" TargetMode="External"/><Relationship Id="rId1089" Type="http://schemas.openxmlformats.org/officeDocument/2006/relationships/hyperlink" Target="https://www.ciudata.com" TargetMode="External"/><Relationship Id="rId1972" Type="http://schemas.openxmlformats.org/officeDocument/2006/relationships/hyperlink" Target="https://www.foondamate.com" TargetMode="External"/><Relationship Id="rId1973" Type="http://schemas.openxmlformats.org/officeDocument/2006/relationships/hyperlink" Target="https://www.karatechnologies.com" TargetMode="External"/><Relationship Id="rId1974" Type="http://schemas.openxmlformats.org/officeDocument/2006/relationships/hyperlink" Target="https://www.sageful.ai" TargetMode="External"/><Relationship Id="rId1975" Type="http://schemas.openxmlformats.org/officeDocument/2006/relationships/hyperlink" Target="https://www.alchemiesolutions.com" TargetMode="External"/><Relationship Id="rId1976" Type="http://schemas.openxmlformats.org/officeDocument/2006/relationships/hyperlink" Target="https://www.bibliu.com" TargetMode="External"/><Relationship Id="rId1977" Type="http://schemas.openxmlformats.org/officeDocument/2006/relationships/hyperlink" Target="https://www.artmaster.com" TargetMode="External"/><Relationship Id="rId1978" Type="http://schemas.openxmlformats.org/officeDocument/2006/relationships/hyperlink" Target="https://www.deepskill.com" TargetMode="External"/><Relationship Id="rId1979" Type="http://schemas.openxmlformats.org/officeDocument/2006/relationships/hyperlink" Target="https://www.avid.org" TargetMode="External"/><Relationship Id="rId1970" Type="http://schemas.openxmlformats.org/officeDocument/2006/relationships/hyperlink" Target="https://www.bethink.org" TargetMode="External"/><Relationship Id="rId1971" Type="http://schemas.openxmlformats.org/officeDocument/2006/relationships/hyperlink" Target="https://www.vygoapp.com" TargetMode="External"/><Relationship Id="rId1961" Type="http://schemas.openxmlformats.org/officeDocument/2006/relationships/hyperlink" Target="https://www.striveeducation.org" TargetMode="External"/><Relationship Id="rId1962" Type="http://schemas.openxmlformats.org/officeDocument/2006/relationships/hyperlink" Target="https://www.cognitivetoybox.com" TargetMode="External"/><Relationship Id="rId1963" Type="http://schemas.openxmlformats.org/officeDocument/2006/relationships/hyperlink" Target="https://www.edupia.vn" TargetMode="External"/><Relationship Id="rId1964" Type="http://schemas.openxmlformats.org/officeDocument/2006/relationships/hyperlink" Target="https://www.kidzovo.com" TargetMode="External"/><Relationship Id="rId1965" Type="http://schemas.openxmlformats.org/officeDocument/2006/relationships/hyperlink" Target="https://www.coassemble.com" TargetMode="External"/><Relationship Id="rId1966" Type="http://schemas.openxmlformats.org/officeDocument/2006/relationships/hyperlink" Target="https://www.avanoo.com" TargetMode="External"/><Relationship Id="rId1967" Type="http://schemas.openxmlformats.org/officeDocument/2006/relationships/hyperlink" Target="https://www.leadinclusively.com" TargetMode="External"/><Relationship Id="rId1968" Type="http://schemas.openxmlformats.org/officeDocument/2006/relationships/hyperlink" Target="https://www.plus-plus.com" TargetMode="External"/><Relationship Id="rId1969" Type="http://schemas.openxmlformats.org/officeDocument/2006/relationships/hyperlink" Target="https://www.zoog.ai" TargetMode="External"/><Relationship Id="rId1960" Type="http://schemas.openxmlformats.org/officeDocument/2006/relationships/hyperlink" Target="https://www.getmimo.com" TargetMode="External"/><Relationship Id="rId1994" Type="http://schemas.openxmlformats.org/officeDocument/2006/relationships/hyperlink" Target="https://www.elai.io" TargetMode="External"/><Relationship Id="rId1995" Type="http://schemas.openxmlformats.org/officeDocument/2006/relationships/hyperlink" Target="https://www.huikedu.com" TargetMode="External"/><Relationship Id="rId1996" Type="http://schemas.openxmlformats.org/officeDocument/2006/relationships/hyperlink" Target="https://www.jigsawlearning.com" TargetMode="External"/><Relationship Id="rId1997" Type="http://schemas.openxmlformats.org/officeDocument/2006/relationships/hyperlink" Target="https://www.impelsys.com" TargetMode="External"/><Relationship Id="rId1998" Type="http://schemas.openxmlformats.org/officeDocument/2006/relationships/hyperlink" Target="https://www.arty.co" TargetMode="External"/><Relationship Id="rId1999" Type="http://schemas.openxmlformats.org/officeDocument/2006/relationships/hyperlink" Target="https://www.gaosi.com" TargetMode="External"/><Relationship Id="rId1990" Type="http://schemas.openxmlformats.org/officeDocument/2006/relationships/hyperlink" Target="https://www.shoelacelearning.com" TargetMode="External"/><Relationship Id="rId1991" Type="http://schemas.openxmlformats.org/officeDocument/2006/relationships/hyperlink" Target="https://www.edunoor.com" TargetMode="External"/><Relationship Id="rId1992" Type="http://schemas.openxmlformats.org/officeDocument/2006/relationships/hyperlink" Target="https://www.fluent-forever.com" TargetMode="External"/><Relationship Id="rId1993" Type="http://schemas.openxmlformats.org/officeDocument/2006/relationships/hyperlink" Target="http://elai.io" TargetMode="External"/><Relationship Id="rId1983" Type="http://schemas.openxmlformats.org/officeDocument/2006/relationships/hyperlink" Target="https://www.solbelearning.com" TargetMode="External"/><Relationship Id="rId1984" Type="http://schemas.openxmlformats.org/officeDocument/2006/relationships/hyperlink" Target="https://www.mimeo.com" TargetMode="External"/><Relationship Id="rId1985" Type="http://schemas.openxmlformats.org/officeDocument/2006/relationships/hyperlink" Target="https://www.thecorporategovernanceinstitute.com" TargetMode="External"/><Relationship Id="rId1986" Type="http://schemas.openxmlformats.org/officeDocument/2006/relationships/hyperlink" Target="https://www.alongside.care" TargetMode="External"/><Relationship Id="rId1987" Type="http://schemas.openxmlformats.org/officeDocument/2006/relationships/hyperlink" Target="https://www.techcurators.com" TargetMode="External"/><Relationship Id="rId1988" Type="http://schemas.openxmlformats.org/officeDocument/2006/relationships/hyperlink" Target="https://www.theshiftnetwork.com" TargetMode="External"/><Relationship Id="rId1989" Type="http://schemas.openxmlformats.org/officeDocument/2006/relationships/hyperlink" Target="https://www.myskillcamp.com" TargetMode="External"/><Relationship Id="rId1980" Type="http://schemas.openxmlformats.org/officeDocument/2006/relationships/hyperlink" Target="https://www.mentessa.com" TargetMode="External"/><Relationship Id="rId1981" Type="http://schemas.openxmlformats.org/officeDocument/2006/relationships/hyperlink" Target="http://uchi.ru" TargetMode="External"/><Relationship Id="rId1982" Type="http://schemas.openxmlformats.org/officeDocument/2006/relationships/hyperlink" Target="https://www.uchi.ru" TargetMode="External"/><Relationship Id="rId1930" Type="http://schemas.openxmlformats.org/officeDocument/2006/relationships/hyperlink" Target="https://www.ipondr.com" TargetMode="External"/><Relationship Id="rId1931" Type="http://schemas.openxmlformats.org/officeDocument/2006/relationships/hyperlink" Target="https://www.hiitide.com" TargetMode="External"/><Relationship Id="rId1932" Type="http://schemas.openxmlformats.org/officeDocument/2006/relationships/hyperlink" Target="https://www.pand.ai" TargetMode="External"/><Relationship Id="rId1933" Type="http://schemas.openxmlformats.org/officeDocument/2006/relationships/hyperlink" Target="https://www.elearningbrothers.com" TargetMode="External"/><Relationship Id="rId1934" Type="http://schemas.openxmlformats.org/officeDocument/2006/relationships/hyperlink" Target="https://www.monark.ai" TargetMode="External"/><Relationship Id="rId1935" Type="http://schemas.openxmlformats.org/officeDocument/2006/relationships/hyperlink" Target="https://www.a2zebra.com" TargetMode="External"/><Relationship Id="rId1936" Type="http://schemas.openxmlformats.org/officeDocument/2006/relationships/hyperlink" Target="http://allright.com" TargetMode="External"/><Relationship Id="rId1937" Type="http://schemas.openxmlformats.org/officeDocument/2006/relationships/hyperlink" Target="https://www.allright.com" TargetMode="External"/><Relationship Id="rId1938" Type="http://schemas.openxmlformats.org/officeDocument/2006/relationships/hyperlink" Target="https://www.twenix.com" TargetMode="External"/><Relationship Id="rId1939" Type="http://schemas.openxmlformats.org/officeDocument/2006/relationships/hyperlink" Target="https://www.pamojaeducation.com" TargetMode="External"/><Relationship Id="rId1920" Type="http://schemas.openxmlformats.org/officeDocument/2006/relationships/hyperlink" Target="https://www.deweylearning.com" TargetMode="External"/><Relationship Id="rId1921" Type="http://schemas.openxmlformats.org/officeDocument/2006/relationships/hyperlink" Target="https://www.mentorshow.com" TargetMode="External"/><Relationship Id="rId1922" Type="http://schemas.openxmlformats.org/officeDocument/2006/relationships/hyperlink" Target="https://www.artiumacademy.com" TargetMode="External"/><Relationship Id="rId1923" Type="http://schemas.openxmlformats.org/officeDocument/2006/relationships/hyperlink" Target="https://www.filtered.com" TargetMode="External"/><Relationship Id="rId1924" Type="http://schemas.openxmlformats.org/officeDocument/2006/relationships/hyperlink" Target="https://www.unpacking.org" TargetMode="External"/><Relationship Id="rId1925" Type="http://schemas.openxmlformats.org/officeDocument/2006/relationships/hyperlink" Target="https://www.rocketlearning.org" TargetMode="External"/><Relationship Id="rId1926" Type="http://schemas.openxmlformats.org/officeDocument/2006/relationships/hyperlink" Target="https://www.tallo.com" TargetMode="External"/><Relationship Id="rId1927" Type="http://schemas.openxmlformats.org/officeDocument/2006/relationships/hyperlink" Target="https://www.beelinguapp.com" TargetMode="External"/><Relationship Id="rId1928" Type="http://schemas.openxmlformats.org/officeDocument/2006/relationships/hyperlink" Target="https://www.lumiq.ai" TargetMode="External"/><Relationship Id="rId1929" Type="http://schemas.openxmlformats.org/officeDocument/2006/relationships/hyperlink" Target="https://www.hellosaurus.com" TargetMode="External"/><Relationship Id="rId1950" Type="http://schemas.openxmlformats.org/officeDocument/2006/relationships/hyperlink" Target="https://www.edukoya.com" TargetMode="External"/><Relationship Id="rId1951" Type="http://schemas.openxmlformats.org/officeDocument/2006/relationships/hyperlink" Target="https://www.udocz.com" TargetMode="External"/><Relationship Id="rId1952" Type="http://schemas.openxmlformats.org/officeDocument/2006/relationships/hyperlink" Target="https://www.letrus.com.br" TargetMode="External"/><Relationship Id="rId1953" Type="http://schemas.openxmlformats.org/officeDocument/2006/relationships/hyperlink" Target="https://www.sparx.co.uk" TargetMode="External"/><Relationship Id="rId1954" Type="http://schemas.openxmlformats.org/officeDocument/2006/relationships/hyperlink" Target="https://www.virtanza.com" TargetMode="External"/><Relationship Id="rId1955" Type="http://schemas.openxmlformats.org/officeDocument/2006/relationships/hyperlink" Target="https://www.pair.ai" TargetMode="External"/><Relationship Id="rId1956" Type="http://schemas.openxmlformats.org/officeDocument/2006/relationships/hyperlink" Target="https://www.avallain.com" TargetMode="External"/><Relationship Id="rId1957" Type="http://schemas.openxmlformats.org/officeDocument/2006/relationships/hyperlink" Target="https://www.openstax.org" TargetMode="External"/><Relationship Id="rId1958" Type="http://schemas.openxmlformats.org/officeDocument/2006/relationships/hyperlink" Target="https://www.incision.care" TargetMode="External"/><Relationship Id="rId1959" Type="http://schemas.openxmlformats.org/officeDocument/2006/relationships/hyperlink" Target="https://www.grasp.education" TargetMode="External"/><Relationship Id="rId1940" Type="http://schemas.openxmlformats.org/officeDocument/2006/relationships/hyperlink" Target="https://www.mathdash.com" TargetMode="External"/><Relationship Id="rId1941" Type="http://schemas.openxmlformats.org/officeDocument/2006/relationships/hyperlink" Target="https://www.vipkid.com" TargetMode="External"/><Relationship Id="rId1942" Type="http://schemas.openxmlformats.org/officeDocument/2006/relationships/hyperlink" Target="https://www.create-learn.us" TargetMode="External"/><Relationship Id="rId1943" Type="http://schemas.openxmlformats.org/officeDocument/2006/relationships/hyperlink" Target="https://www.oxfordmedicalsimulation.com" TargetMode="External"/><Relationship Id="rId1944" Type="http://schemas.openxmlformats.org/officeDocument/2006/relationships/hyperlink" Target="https://www.litvideobooks.com" TargetMode="External"/><Relationship Id="rId1945" Type="http://schemas.openxmlformats.org/officeDocument/2006/relationships/hyperlink" Target="https://www.skillstruck.com" TargetMode="External"/><Relationship Id="rId1946" Type="http://schemas.openxmlformats.org/officeDocument/2006/relationships/hyperlink" Target="https://www.myrocky.ca" TargetMode="External"/><Relationship Id="rId1947" Type="http://schemas.openxmlformats.org/officeDocument/2006/relationships/hyperlink" Target="https://www.thirdspacelearning.com" TargetMode="External"/><Relationship Id="rId1948" Type="http://schemas.openxmlformats.org/officeDocument/2006/relationships/hyperlink" Target="https://www.careervira.com" TargetMode="External"/><Relationship Id="rId1949" Type="http://schemas.openxmlformats.org/officeDocument/2006/relationships/hyperlink" Target="https://www.ebaconline.com.br" TargetMode="External"/><Relationship Id="rId2423" Type="http://schemas.openxmlformats.org/officeDocument/2006/relationships/hyperlink" Target="https://www.coletum.com" TargetMode="External"/><Relationship Id="rId2424" Type="http://schemas.openxmlformats.org/officeDocument/2006/relationships/hyperlink" Target="https://www.ipanelonline.com" TargetMode="External"/><Relationship Id="rId2425" Type="http://schemas.openxmlformats.org/officeDocument/2006/relationships/hyperlink" Target="https://www.novatimes.de" TargetMode="External"/><Relationship Id="rId2426" Type="http://schemas.openxmlformats.org/officeDocument/2006/relationships/hyperlink" Target="https://www.mmcsconsulting.com" TargetMode="External"/><Relationship Id="rId2427" Type="http://schemas.openxmlformats.org/officeDocument/2006/relationships/hyperlink" Target="https://www.fundmojo.com" TargetMode="External"/><Relationship Id="rId2428" Type="http://schemas.openxmlformats.org/officeDocument/2006/relationships/hyperlink" Target="https://www.jmpartners.com" TargetMode="External"/><Relationship Id="rId2429" Type="http://schemas.openxmlformats.org/officeDocument/2006/relationships/hyperlink" Target="https://www.josefhillekamp.de" TargetMode="External"/><Relationship Id="rId509" Type="http://schemas.openxmlformats.org/officeDocument/2006/relationships/hyperlink" Target="https://www.querium.com" TargetMode="External"/><Relationship Id="rId508" Type="http://schemas.openxmlformats.org/officeDocument/2006/relationships/hyperlink" Target="https://foreignadmits.com" TargetMode="External"/><Relationship Id="rId503" Type="http://schemas.openxmlformats.org/officeDocument/2006/relationships/hyperlink" Target="https://www.codeverse.com" TargetMode="External"/><Relationship Id="rId502" Type="http://schemas.openxmlformats.org/officeDocument/2006/relationships/hyperlink" Target="https://qureos.com" TargetMode="External"/><Relationship Id="rId501" Type="http://schemas.openxmlformats.org/officeDocument/2006/relationships/hyperlink" Target="https://ednition.com" TargetMode="External"/><Relationship Id="rId500" Type="http://schemas.openxmlformats.org/officeDocument/2006/relationships/hyperlink" Target="https://nearpod.com" TargetMode="External"/><Relationship Id="rId507" Type="http://schemas.openxmlformats.org/officeDocument/2006/relationships/hyperlink" Target="https://edovo.com" TargetMode="External"/><Relationship Id="rId506" Type="http://schemas.openxmlformats.org/officeDocument/2006/relationships/hyperlink" Target="https://beaglelearning.com" TargetMode="External"/><Relationship Id="rId505" Type="http://schemas.openxmlformats.org/officeDocument/2006/relationships/hyperlink" Target="https://www.coursebox.ai" TargetMode="External"/><Relationship Id="rId504" Type="http://schemas.openxmlformats.org/officeDocument/2006/relationships/hyperlink" Target="https://www.parchment.com" TargetMode="External"/><Relationship Id="rId2420" Type="http://schemas.openxmlformats.org/officeDocument/2006/relationships/hyperlink" Target="https://www.soard.com" TargetMode="External"/><Relationship Id="rId2421" Type="http://schemas.openxmlformats.org/officeDocument/2006/relationships/hyperlink" Target="https://www.37degreedata.com" TargetMode="External"/><Relationship Id="rId2422" Type="http://schemas.openxmlformats.org/officeDocument/2006/relationships/hyperlink" Target="https://www.mobizon.com" TargetMode="External"/><Relationship Id="rId2412" Type="http://schemas.openxmlformats.org/officeDocument/2006/relationships/hyperlink" Target="https://www.scanbots.com" TargetMode="External"/><Relationship Id="rId2413" Type="http://schemas.openxmlformats.org/officeDocument/2006/relationships/hyperlink" Target="https://www.datacollect.com" TargetMode="External"/><Relationship Id="rId2414" Type="http://schemas.openxmlformats.org/officeDocument/2006/relationships/hyperlink" Target="https://www.datamatic.com" TargetMode="External"/><Relationship Id="rId2415" Type="http://schemas.openxmlformats.org/officeDocument/2006/relationships/hyperlink" Target="https://www.cobaltsky.com" TargetMode="External"/><Relationship Id="rId2416" Type="http://schemas.openxmlformats.org/officeDocument/2006/relationships/hyperlink" Target="https://www.nagis.co.in" TargetMode="External"/><Relationship Id="rId2417" Type="http://schemas.openxmlformats.org/officeDocument/2006/relationships/hyperlink" Target="https://www.asurio.com" TargetMode="External"/><Relationship Id="rId2418" Type="http://schemas.openxmlformats.org/officeDocument/2006/relationships/hyperlink" Target="https://www.globalmatrixsurvey.com" TargetMode="External"/><Relationship Id="rId2419" Type="http://schemas.openxmlformats.org/officeDocument/2006/relationships/hyperlink" Target="https://www.mysurveyhelp.com" TargetMode="External"/><Relationship Id="rId2410" Type="http://schemas.openxmlformats.org/officeDocument/2006/relationships/hyperlink" Target="https://www.promethos.com" TargetMode="External"/><Relationship Id="rId2411" Type="http://schemas.openxmlformats.org/officeDocument/2006/relationships/hyperlink" Target="https://www.modusresearch.com" TargetMode="External"/><Relationship Id="rId1114" Type="http://schemas.openxmlformats.org/officeDocument/2006/relationships/hyperlink" Target="https://www.ncppanel.com" TargetMode="External"/><Relationship Id="rId2445" Type="http://schemas.openxmlformats.org/officeDocument/2006/relationships/hyperlink" Target="https://www.cupplast.com.tr" TargetMode="External"/><Relationship Id="rId1115" Type="http://schemas.openxmlformats.org/officeDocument/2006/relationships/hyperlink" Target="https://www.jadaktech.com" TargetMode="External"/><Relationship Id="rId2446" Type="http://schemas.openxmlformats.org/officeDocument/2006/relationships/hyperlink" Target="https://www.promotigo.com" TargetMode="External"/><Relationship Id="rId1116" Type="http://schemas.openxmlformats.org/officeDocument/2006/relationships/hyperlink" Target="https://www.overeasy.ai" TargetMode="External"/><Relationship Id="rId2447" Type="http://schemas.openxmlformats.org/officeDocument/2006/relationships/hyperlink" Target="https://www.caddieon.com" TargetMode="External"/><Relationship Id="rId1117" Type="http://schemas.openxmlformats.org/officeDocument/2006/relationships/hyperlink" Target="https://www.clientservicessolutions.com" TargetMode="External"/><Relationship Id="rId2448" Type="http://schemas.openxmlformats.org/officeDocument/2006/relationships/hyperlink" Target="https://www.codeone.com" TargetMode="External"/><Relationship Id="rId1118" Type="http://schemas.openxmlformats.org/officeDocument/2006/relationships/hyperlink" Target="https://www.croudy.ai" TargetMode="External"/><Relationship Id="rId2449" Type="http://schemas.openxmlformats.org/officeDocument/2006/relationships/hyperlink" Target="https://www.lpms.com" TargetMode="External"/><Relationship Id="rId1119" Type="http://schemas.openxmlformats.org/officeDocument/2006/relationships/hyperlink" Target="https://www.harmonresearch.com" TargetMode="External"/><Relationship Id="rId525" Type="http://schemas.openxmlformats.org/officeDocument/2006/relationships/hyperlink" Target="https://cher.co" TargetMode="External"/><Relationship Id="rId524" Type="http://schemas.openxmlformats.org/officeDocument/2006/relationships/hyperlink" Target="https://monsha.ai" TargetMode="External"/><Relationship Id="rId523" Type="http://schemas.openxmlformats.org/officeDocument/2006/relationships/hyperlink" Target="https://www.tutero.com" TargetMode="External"/><Relationship Id="rId522" Type="http://schemas.openxmlformats.org/officeDocument/2006/relationships/hyperlink" Target="https://www.marcopololearning.com" TargetMode="External"/><Relationship Id="rId529" Type="http://schemas.openxmlformats.org/officeDocument/2006/relationships/hyperlink" Target="https://reejigs.com" TargetMode="External"/><Relationship Id="rId528" Type="http://schemas.openxmlformats.org/officeDocument/2006/relationships/hyperlink" Target="https://plusoneducation.com" TargetMode="External"/><Relationship Id="rId527" Type="http://schemas.openxmlformats.org/officeDocument/2006/relationships/hyperlink" Target="https://www.instructure.com" TargetMode="External"/><Relationship Id="rId526" Type="http://schemas.openxmlformats.org/officeDocument/2006/relationships/hyperlink" Target="https://www.gemseducation.com" TargetMode="External"/><Relationship Id="rId2440" Type="http://schemas.openxmlformats.org/officeDocument/2006/relationships/hyperlink" Target="https://www.neuroux.com" TargetMode="External"/><Relationship Id="rId521" Type="http://schemas.openxmlformats.org/officeDocument/2006/relationships/hyperlink" Target="https://bytelearn.ai" TargetMode="External"/><Relationship Id="rId1110" Type="http://schemas.openxmlformats.org/officeDocument/2006/relationships/hyperlink" Target="https://www.agiledisplays.com" TargetMode="External"/><Relationship Id="rId2441" Type="http://schemas.openxmlformats.org/officeDocument/2006/relationships/hyperlink" Target="https://www.barcodeintegrators.com" TargetMode="External"/><Relationship Id="rId520" Type="http://schemas.openxmlformats.org/officeDocument/2006/relationships/hyperlink" Target="https://www.jiliguala.com" TargetMode="External"/><Relationship Id="rId1111" Type="http://schemas.openxmlformats.org/officeDocument/2006/relationships/hyperlink" Target="https://www.ritesoft.com" TargetMode="External"/><Relationship Id="rId2442" Type="http://schemas.openxmlformats.org/officeDocument/2006/relationships/hyperlink" Target="https://www.codibar.com" TargetMode="External"/><Relationship Id="rId1112" Type="http://schemas.openxmlformats.org/officeDocument/2006/relationships/hyperlink" Target="https://www.youngbloodconsultants.com" TargetMode="External"/><Relationship Id="rId2443" Type="http://schemas.openxmlformats.org/officeDocument/2006/relationships/hyperlink" Target="https://www.easycheck.com" TargetMode="External"/><Relationship Id="rId1113" Type="http://schemas.openxmlformats.org/officeDocument/2006/relationships/hyperlink" Target="https://www.octant.ai" TargetMode="External"/><Relationship Id="rId2444" Type="http://schemas.openxmlformats.org/officeDocument/2006/relationships/hyperlink" Target="https://www.wolf-tek.com" TargetMode="External"/><Relationship Id="rId1103" Type="http://schemas.openxmlformats.org/officeDocument/2006/relationships/hyperlink" Target="https://www.moreinclusivehealthcare.org" TargetMode="External"/><Relationship Id="rId2434" Type="http://schemas.openxmlformats.org/officeDocument/2006/relationships/hyperlink" Target="https://www.shiftproxy.com" TargetMode="External"/><Relationship Id="rId1104" Type="http://schemas.openxmlformats.org/officeDocument/2006/relationships/hyperlink" Target="https://www.curveseries.com" TargetMode="External"/><Relationship Id="rId2435" Type="http://schemas.openxmlformats.org/officeDocument/2006/relationships/hyperlink" Target="https://www.unitedagainstslavery.org" TargetMode="External"/><Relationship Id="rId1105" Type="http://schemas.openxmlformats.org/officeDocument/2006/relationships/hyperlink" Target="https://www.ysi.com" TargetMode="External"/><Relationship Id="rId2436" Type="http://schemas.openxmlformats.org/officeDocument/2006/relationships/hyperlink" Target="https://www.alpata.com" TargetMode="External"/><Relationship Id="rId1106" Type="http://schemas.openxmlformats.org/officeDocument/2006/relationships/hyperlink" Target="https://www.surge.ai" TargetMode="External"/><Relationship Id="rId2437" Type="http://schemas.openxmlformats.org/officeDocument/2006/relationships/hyperlink" Target="https://www.catalystaba.com" TargetMode="External"/><Relationship Id="rId1107" Type="http://schemas.openxmlformats.org/officeDocument/2006/relationships/hyperlink" Target="https://www.linkedai.co" TargetMode="External"/><Relationship Id="rId2438" Type="http://schemas.openxmlformats.org/officeDocument/2006/relationships/hyperlink" Target="https://www.decisioninfo.com" TargetMode="External"/><Relationship Id="rId1108" Type="http://schemas.openxmlformats.org/officeDocument/2006/relationships/hyperlink" Target="https://www.surveyhealthcareglobus.com" TargetMode="External"/><Relationship Id="rId2439" Type="http://schemas.openxmlformats.org/officeDocument/2006/relationships/hyperlink" Target="https://www.atworksolutions.com" TargetMode="External"/><Relationship Id="rId1109" Type="http://schemas.openxmlformats.org/officeDocument/2006/relationships/hyperlink" Target="https://www.clearhorizon.com" TargetMode="External"/><Relationship Id="rId519" Type="http://schemas.openxmlformats.org/officeDocument/2006/relationships/hyperlink" Target="https://www.kaipodlearning.com" TargetMode="External"/><Relationship Id="rId514" Type="http://schemas.openxmlformats.org/officeDocument/2006/relationships/hyperlink" Target="https://alison.com" TargetMode="External"/><Relationship Id="rId513" Type="http://schemas.openxmlformats.org/officeDocument/2006/relationships/hyperlink" Target="https://www.tutornow.com" TargetMode="External"/><Relationship Id="rId512" Type="http://schemas.openxmlformats.org/officeDocument/2006/relationships/hyperlink" Target="https://klas.com" TargetMode="External"/><Relationship Id="rId511" Type="http://schemas.openxmlformats.org/officeDocument/2006/relationships/hyperlink" Target="https://yearone.ai" TargetMode="External"/><Relationship Id="rId518" Type="http://schemas.openxmlformats.org/officeDocument/2006/relationships/hyperlink" Target="https://www.underlinescience.com" TargetMode="External"/><Relationship Id="rId517" Type="http://schemas.openxmlformats.org/officeDocument/2006/relationships/hyperlink" Target="https://epicode.com" TargetMode="External"/><Relationship Id="rId516" Type="http://schemas.openxmlformats.org/officeDocument/2006/relationships/hyperlink" Target="https://edenfiftyone.com" TargetMode="External"/><Relationship Id="rId515" Type="http://schemas.openxmlformats.org/officeDocument/2006/relationships/hyperlink" Target="https://herok12.com" TargetMode="External"/><Relationship Id="rId510" Type="http://schemas.openxmlformats.org/officeDocument/2006/relationships/hyperlink" Target="https://ntapi.ai" TargetMode="External"/><Relationship Id="rId2430" Type="http://schemas.openxmlformats.org/officeDocument/2006/relationships/hyperlink" Target="https://www.behaviorresearchcenter.com" TargetMode="External"/><Relationship Id="rId1100" Type="http://schemas.openxmlformats.org/officeDocument/2006/relationships/hyperlink" Target="https://www.hyntelo.ai" TargetMode="External"/><Relationship Id="rId2431" Type="http://schemas.openxmlformats.org/officeDocument/2006/relationships/hyperlink" Target="https://www.formzi.com" TargetMode="External"/><Relationship Id="rId1101" Type="http://schemas.openxmlformats.org/officeDocument/2006/relationships/hyperlink" Target="https://www.hitmarketing.net" TargetMode="External"/><Relationship Id="rId2432" Type="http://schemas.openxmlformats.org/officeDocument/2006/relationships/hyperlink" Target="http://weimpact.ai" TargetMode="External"/><Relationship Id="rId1102" Type="http://schemas.openxmlformats.org/officeDocument/2006/relationships/hyperlink" Target="https://www.dronehive.ai" TargetMode="External"/><Relationship Id="rId2433" Type="http://schemas.openxmlformats.org/officeDocument/2006/relationships/hyperlink" Target="https://www.weimpact.ai" TargetMode="External"/><Relationship Id="rId2401" Type="http://schemas.openxmlformats.org/officeDocument/2006/relationships/hyperlink" Target="https://www.robasresearch.com" TargetMode="External"/><Relationship Id="rId2402" Type="http://schemas.openxmlformats.org/officeDocument/2006/relationships/hyperlink" Target="https://www.icsglobal.com" TargetMode="External"/><Relationship Id="rId2403" Type="http://schemas.openxmlformats.org/officeDocument/2006/relationships/hyperlink" Target="https://www.brandonrobertson.com" TargetMode="External"/><Relationship Id="rId2404" Type="http://schemas.openxmlformats.org/officeDocument/2006/relationships/hyperlink" Target="https://www.integrativeassets.com" TargetMode="External"/><Relationship Id="rId2405" Type="http://schemas.openxmlformats.org/officeDocument/2006/relationships/hyperlink" Target="https://www.btransgroup.com" TargetMode="External"/><Relationship Id="rId2406" Type="http://schemas.openxmlformats.org/officeDocument/2006/relationships/hyperlink" Target="https://www.qm3us.com" TargetMode="External"/><Relationship Id="rId2407" Type="http://schemas.openxmlformats.org/officeDocument/2006/relationships/hyperlink" Target="https://www.dynamicfieldwork.com" TargetMode="External"/><Relationship Id="rId2408" Type="http://schemas.openxmlformats.org/officeDocument/2006/relationships/hyperlink" Target="https://www.surveycto.com" TargetMode="External"/><Relationship Id="rId2409" Type="http://schemas.openxmlformats.org/officeDocument/2006/relationships/hyperlink" Target="https://www.zetaproxies.com" TargetMode="External"/><Relationship Id="rId2400" Type="http://schemas.openxmlformats.org/officeDocument/2006/relationships/hyperlink" Target="https://www.wssolutions.com" TargetMode="External"/><Relationship Id="rId590" Type="http://schemas.openxmlformats.org/officeDocument/2006/relationships/hyperlink" Target="https://mergeedu.com" TargetMode="External"/><Relationship Id="rId589" Type="http://schemas.openxmlformats.org/officeDocument/2006/relationships/hyperlink" Target="https://eduisfun.com" TargetMode="External"/><Relationship Id="rId588" Type="http://schemas.openxmlformats.org/officeDocument/2006/relationships/hyperlink" Target="https://petelearning.com" TargetMode="External"/><Relationship Id="rId1170" Type="http://schemas.openxmlformats.org/officeDocument/2006/relationships/hyperlink" Target="https://www.lanresources.com" TargetMode="External"/><Relationship Id="rId1171" Type="http://schemas.openxmlformats.org/officeDocument/2006/relationships/hyperlink" Target="https://www.apolloid.com" TargetMode="External"/><Relationship Id="rId583" Type="http://schemas.openxmlformats.org/officeDocument/2006/relationships/hyperlink" Target="https://papayatutors.com" TargetMode="External"/><Relationship Id="rId1172" Type="http://schemas.openxmlformats.org/officeDocument/2006/relationships/hyperlink" Target="https://www.valyu.ai" TargetMode="External"/><Relationship Id="rId582" Type="http://schemas.openxmlformats.org/officeDocument/2006/relationships/hyperlink" Target="https://www.meritto.com" TargetMode="External"/><Relationship Id="rId1173" Type="http://schemas.openxmlformats.org/officeDocument/2006/relationships/hyperlink" Target="https://www.veristar.com" TargetMode="External"/><Relationship Id="rId581" Type="http://schemas.openxmlformats.org/officeDocument/2006/relationships/hyperlink" Target="https://www.proctoru.com" TargetMode="External"/><Relationship Id="rId1174" Type="http://schemas.openxmlformats.org/officeDocument/2006/relationships/hyperlink" Target="https://www.infolks.com" TargetMode="External"/><Relationship Id="rId580" Type="http://schemas.openxmlformats.org/officeDocument/2006/relationships/hyperlink" Target="https://zoolife.tv" TargetMode="External"/><Relationship Id="rId1175" Type="http://schemas.openxmlformats.org/officeDocument/2006/relationships/hyperlink" Target="https://www.skysense.ai" TargetMode="External"/><Relationship Id="rId587" Type="http://schemas.openxmlformats.org/officeDocument/2006/relationships/hyperlink" Target="https://whatclass.com" TargetMode="External"/><Relationship Id="rId1176" Type="http://schemas.openxmlformats.org/officeDocument/2006/relationships/hyperlink" Target="https://www.novalytica.com" TargetMode="External"/><Relationship Id="rId586" Type="http://schemas.openxmlformats.org/officeDocument/2006/relationships/hyperlink" Target="https://fourthrev.com" TargetMode="External"/><Relationship Id="rId1177" Type="http://schemas.openxmlformats.org/officeDocument/2006/relationships/hyperlink" Target="http://corteza.ai" TargetMode="External"/><Relationship Id="rId585" Type="http://schemas.openxmlformats.org/officeDocument/2006/relationships/hyperlink" Target="https://univo.education" TargetMode="External"/><Relationship Id="rId1178" Type="http://schemas.openxmlformats.org/officeDocument/2006/relationships/hyperlink" Target="https://www.corteza.ai" TargetMode="External"/><Relationship Id="rId584" Type="http://schemas.openxmlformats.org/officeDocument/2006/relationships/hyperlink" Target="https://edyoucated.org" TargetMode="External"/><Relationship Id="rId1179" Type="http://schemas.openxmlformats.org/officeDocument/2006/relationships/hyperlink" Target="https://www.asema.com" TargetMode="External"/><Relationship Id="rId1169" Type="http://schemas.openxmlformats.org/officeDocument/2006/relationships/hyperlink" Target="https://www.caraflow.ai" TargetMode="External"/><Relationship Id="rId579" Type="http://schemas.openxmlformats.org/officeDocument/2006/relationships/hyperlink" Target="https://galena.co" TargetMode="External"/><Relationship Id="rId578" Type="http://schemas.openxmlformats.org/officeDocument/2006/relationships/hyperlink" Target="https://zzish.com" TargetMode="External"/><Relationship Id="rId577" Type="http://schemas.openxmlformats.org/officeDocument/2006/relationships/hyperlink" Target="https://praktiki.ai" TargetMode="External"/><Relationship Id="rId2490" Type="http://schemas.openxmlformats.org/officeDocument/2006/relationships/hyperlink" Target="https://www.ecxlabs.com" TargetMode="External"/><Relationship Id="rId1160" Type="http://schemas.openxmlformats.org/officeDocument/2006/relationships/hyperlink" Target="http://datahen.com" TargetMode="External"/><Relationship Id="rId2491" Type="http://schemas.openxmlformats.org/officeDocument/2006/relationships/hyperlink" Target="https://www.xforms.io" TargetMode="External"/><Relationship Id="rId572" Type="http://schemas.openxmlformats.org/officeDocument/2006/relationships/hyperlink" Target="https://cosmosiq.ai" TargetMode="External"/><Relationship Id="rId1161" Type="http://schemas.openxmlformats.org/officeDocument/2006/relationships/hyperlink" Target="https://www.datahen.com" TargetMode="External"/><Relationship Id="rId2492" Type="http://schemas.openxmlformats.org/officeDocument/2006/relationships/hyperlink" Target="https://www.counect.com" TargetMode="External"/><Relationship Id="rId571" Type="http://schemas.openxmlformats.org/officeDocument/2006/relationships/hyperlink" Target="http://cosmosiq.ai" TargetMode="External"/><Relationship Id="rId1162" Type="http://schemas.openxmlformats.org/officeDocument/2006/relationships/hyperlink" Target="https://www.portiainternational.com" TargetMode="External"/><Relationship Id="rId2493" Type="http://schemas.openxmlformats.org/officeDocument/2006/relationships/hyperlink" Target="https://www.kreditek.com" TargetMode="External"/><Relationship Id="rId570" Type="http://schemas.openxmlformats.org/officeDocument/2006/relationships/hyperlink" Target="https://www.podia.com" TargetMode="External"/><Relationship Id="rId1163" Type="http://schemas.openxmlformats.org/officeDocument/2006/relationships/hyperlink" Target="https://www.r-advertising.com" TargetMode="External"/><Relationship Id="rId2494" Type="http://schemas.openxmlformats.org/officeDocument/2006/relationships/hyperlink" Target="https://www.msfdata.com" TargetMode="External"/><Relationship Id="rId1164" Type="http://schemas.openxmlformats.org/officeDocument/2006/relationships/hyperlink" Target="https://www.datafromsky.com" TargetMode="External"/><Relationship Id="rId2495" Type="http://schemas.openxmlformats.org/officeDocument/2006/relationships/hyperlink" Target="https://www.integraserv.com" TargetMode="External"/><Relationship Id="rId576" Type="http://schemas.openxmlformats.org/officeDocument/2006/relationships/hyperlink" Target="https://intelliboard.net" TargetMode="External"/><Relationship Id="rId1165" Type="http://schemas.openxmlformats.org/officeDocument/2006/relationships/hyperlink" Target="https://www.kestreltechnology.com" TargetMode="External"/><Relationship Id="rId2496" Type="http://schemas.openxmlformats.org/officeDocument/2006/relationships/hyperlink" Target="https://www.cfrinc.com" TargetMode="External"/><Relationship Id="rId575" Type="http://schemas.openxmlformats.org/officeDocument/2006/relationships/hyperlink" Target="https://playlab.ai" TargetMode="External"/><Relationship Id="rId1166" Type="http://schemas.openxmlformats.org/officeDocument/2006/relationships/hyperlink" Target="https://www.radley.com" TargetMode="External"/><Relationship Id="rId2497" Type="http://schemas.openxmlformats.org/officeDocument/2006/relationships/hyperlink" Target="https://www.bopartner.com" TargetMode="External"/><Relationship Id="rId574" Type="http://schemas.openxmlformats.org/officeDocument/2006/relationships/hyperlink" Target="https://www.instaclustr.com" TargetMode="External"/><Relationship Id="rId1167" Type="http://schemas.openxmlformats.org/officeDocument/2006/relationships/hyperlink" Target="https://www.aio.com" TargetMode="External"/><Relationship Id="rId2498" Type="http://schemas.openxmlformats.org/officeDocument/2006/relationships/hyperlink" Target="https://www.tutkimustie.fi" TargetMode="External"/><Relationship Id="rId573" Type="http://schemas.openxmlformats.org/officeDocument/2006/relationships/hyperlink" Target="https://afterschoolhq.com" TargetMode="External"/><Relationship Id="rId1168" Type="http://schemas.openxmlformats.org/officeDocument/2006/relationships/hyperlink" Target="https://www.aitronic.com" TargetMode="External"/><Relationship Id="rId2499" Type="http://schemas.openxmlformats.org/officeDocument/2006/relationships/hyperlink" Target="https://www.autoup.com" TargetMode="External"/><Relationship Id="rId1190" Type="http://schemas.openxmlformats.org/officeDocument/2006/relationships/hyperlink" Target="https://www.defined.ai" TargetMode="External"/><Relationship Id="rId1191" Type="http://schemas.openxmlformats.org/officeDocument/2006/relationships/hyperlink" Target="https://www.rabbitt.ai" TargetMode="External"/><Relationship Id="rId1192" Type="http://schemas.openxmlformats.org/officeDocument/2006/relationships/hyperlink" Target="https://www.intelliworx.com" TargetMode="External"/><Relationship Id="rId1193" Type="http://schemas.openxmlformats.org/officeDocument/2006/relationships/hyperlink" Target="https://www.microworkers.com" TargetMode="External"/><Relationship Id="rId1194" Type="http://schemas.openxmlformats.org/officeDocument/2006/relationships/hyperlink" Target="https://www.kobotoolbox.org" TargetMode="External"/><Relationship Id="rId1195" Type="http://schemas.openxmlformats.org/officeDocument/2006/relationships/hyperlink" Target="https://www.risedatalabs.com" TargetMode="External"/><Relationship Id="rId1196" Type="http://schemas.openxmlformats.org/officeDocument/2006/relationships/hyperlink" Target="https://www.sierrachart.com" TargetMode="External"/><Relationship Id="rId1197" Type="http://schemas.openxmlformats.org/officeDocument/2006/relationships/hyperlink" Target="https://www.lightblocks.com" TargetMode="External"/><Relationship Id="rId1198" Type="http://schemas.openxmlformats.org/officeDocument/2006/relationships/hyperlink" Target="https://www.nayan.co" TargetMode="External"/><Relationship Id="rId1199" Type="http://schemas.openxmlformats.org/officeDocument/2006/relationships/hyperlink" Target="https://www.flightwave.aero" TargetMode="External"/><Relationship Id="rId599" Type="http://schemas.openxmlformats.org/officeDocument/2006/relationships/hyperlink" Target="https://acceleratelearning.com" TargetMode="External"/><Relationship Id="rId1180" Type="http://schemas.openxmlformats.org/officeDocument/2006/relationships/hyperlink" Target="https://www.bauercontrols.com" TargetMode="External"/><Relationship Id="rId1181" Type="http://schemas.openxmlformats.org/officeDocument/2006/relationships/hyperlink" Target="https://www.3nstar.com" TargetMode="External"/><Relationship Id="rId1182" Type="http://schemas.openxmlformats.org/officeDocument/2006/relationships/hyperlink" Target="https://www.healthconnex.com" TargetMode="External"/><Relationship Id="rId594" Type="http://schemas.openxmlformats.org/officeDocument/2006/relationships/hyperlink" Target="https://www.digitaldreamlabs.com" TargetMode="External"/><Relationship Id="rId1183" Type="http://schemas.openxmlformats.org/officeDocument/2006/relationships/hyperlink" Target="https://www.glacier21.com" TargetMode="External"/><Relationship Id="rId593" Type="http://schemas.openxmlformats.org/officeDocument/2006/relationships/hyperlink" Target="https://www.nuwarobotics.com" TargetMode="External"/><Relationship Id="rId1184" Type="http://schemas.openxmlformats.org/officeDocument/2006/relationships/hyperlink" Target="https://www.caesarsustainability.com" TargetMode="External"/><Relationship Id="rId592" Type="http://schemas.openxmlformats.org/officeDocument/2006/relationships/hyperlink" Target="https://wisdomedu.com" TargetMode="External"/><Relationship Id="rId1185" Type="http://schemas.openxmlformats.org/officeDocument/2006/relationships/hyperlink" Target="https://www.gago.io" TargetMode="External"/><Relationship Id="rId591" Type="http://schemas.openxmlformats.org/officeDocument/2006/relationships/hyperlink" Target="https://goreact.com" TargetMode="External"/><Relationship Id="rId1186" Type="http://schemas.openxmlformats.org/officeDocument/2006/relationships/hyperlink" Target="https://www.autoroboto.com" TargetMode="External"/><Relationship Id="rId598" Type="http://schemas.openxmlformats.org/officeDocument/2006/relationships/hyperlink" Target="https://letterly.app" TargetMode="External"/><Relationship Id="rId1187" Type="http://schemas.openxmlformats.org/officeDocument/2006/relationships/hyperlink" Target="https://www.appseco.com" TargetMode="External"/><Relationship Id="rId597" Type="http://schemas.openxmlformats.org/officeDocument/2006/relationships/hyperlink" Target="https://melospeech.com" TargetMode="External"/><Relationship Id="rId1188" Type="http://schemas.openxmlformats.org/officeDocument/2006/relationships/hyperlink" Target="https://www.prolific.com" TargetMode="External"/><Relationship Id="rId596" Type="http://schemas.openxmlformats.org/officeDocument/2006/relationships/hyperlink" Target="https://macademia.com" TargetMode="External"/><Relationship Id="rId1189" Type="http://schemas.openxmlformats.org/officeDocument/2006/relationships/hyperlink" Target="http://defined.ai" TargetMode="External"/><Relationship Id="rId595" Type="http://schemas.openxmlformats.org/officeDocument/2006/relationships/hyperlink" Target="https://articulate.com" TargetMode="External"/><Relationship Id="rId1136" Type="http://schemas.openxmlformats.org/officeDocument/2006/relationships/hyperlink" Target="https://www.fieldx.ai" TargetMode="External"/><Relationship Id="rId2467" Type="http://schemas.openxmlformats.org/officeDocument/2006/relationships/hyperlink" Target="https://www.sterizon.com" TargetMode="External"/><Relationship Id="rId1137" Type="http://schemas.openxmlformats.org/officeDocument/2006/relationships/hyperlink" Target="https://www.ubiai.tools" TargetMode="External"/><Relationship Id="rId2468" Type="http://schemas.openxmlformats.org/officeDocument/2006/relationships/hyperlink" Target="https://www.marinetaxonomy.com" TargetMode="External"/><Relationship Id="rId1138" Type="http://schemas.openxmlformats.org/officeDocument/2006/relationships/hyperlink" Target="https://www.veracityforensics.com" TargetMode="External"/><Relationship Id="rId2469" Type="http://schemas.openxmlformats.org/officeDocument/2006/relationships/hyperlink" Target="https://www.amplitudeco.com" TargetMode="External"/><Relationship Id="rId1139" Type="http://schemas.openxmlformats.org/officeDocument/2006/relationships/hyperlink" Target="https://www.fineresearch.com" TargetMode="External"/><Relationship Id="rId547" Type="http://schemas.openxmlformats.org/officeDocument/2006/relationships/hyperlink" Target="https://algorithmics.com" TargetMode="External"/><Relationship Id="rId546" Type="http://schemas.openxmlformats.org/officeDocument/2006/relationships/hyperlink" Target="https://curajoy.com" TargetMode="External"/><Relationship Id="rId545" Type="http://schemas.openxmlformats.org/officeDocument/2006/relationships/hyperlink" Target="https://www.studocu.com" TargetMode="External"/><Relationship Id="rId544" Type="http://schemas.openxmlformats.org/officeDocument/2006/relationships/hyperlink" Target="https://junto.ai" TargetMode="External"/><Relationship Id="rId549" Type="http://schemas.openxmlformats.org/officeDocument/2006/relationships/hyperlink" Target="https://www.codingninjas.com" TargetMode="External"/><Relationship Id="rId548" Type="http://schemas.openxmlformats.org/officeDocument/2006/relationships/hyperlink" Target="https://typeset.io" TargetMode="External"/><Relationship Id="rId2460" Type="http://schemas.openxmlformats.org/officeDocument/2006/relationships/hyperlink" Target="https://www.business-analytics.com" TargetMode="External"/><Relationship Id="rId1130" Type="http://schemas.openxmlformats.org/officeDocument/2006/relationships/hyperlink" Target="https://www.echoes.ai" TargetMode="External"/><Relationship Id="rId2461" Type="http://schemas.openxmlformats.org/officeDocument/2006/relationships/hyperlink" Target="https://www.magnitudesurveys.com" TargetMode="External"/><Relationship Id="rId1131" Type="http://schemas.openxmlformats.org/officeDocument/2006/relationships/hyperlink" Target="https://www.aqilius.ai" TargetMode="External"/><Relationship Id="rId2462" Type="http://schemas.openxmlformats.org/officeDocument/2006/relationships/hyperlink" Target="http://formexperts.com" TargetMode="External"/><Relationship Id="rId543" Type="http://schemas.openxmlformats.org/officeDocument/2006/relationships/hyperlink" Target="https://hex.education" TargetMode="External"/><Relationship Id="rId1132" Type="http://schemas.openxmlformats.org/officeDocument/2006/relationships/hyperlink" Target="https://www.spectir.com" TargetMode="External"/><Relationship Id="rId2463" Type="http://schemas.openxmlformats.org/officeDocument/2006/relationships/hyperlink" Target="https://www.formexperts.com" TargetMode="External"/><Relationship Id="rId542" Type="http://schemas.openxmlformats.org/officeDocument/2006/relationships/hyperlink" Target="https://fuxam.com" TargetMode="External"/><Relationship Id="rId1133" Type="http://schemas.openxmlformats.org/officeDocument/2006/relationships/hyperlink" Target="https://www.flydogmarine.com" TargetMode="External"/><Relationship Id="rId2464" Type="http://schemas.openxmlformats.org/officeDocument/2006/relationships/hyperlink" Target="https://www.rivettasistemi.com" TargetMode="External"/><Relationship Id="rId541" Type="http://schemas.openxmlformats.org/officeDocument/2006/relationships/hyperlink" Target="https://www.aceup.com" TargetMode="External"/><Relationship Id="rId1134" Type="http://schemas.openxmlformats.org/officeDocument/2006/relationships/hyperlink" Target="https://www.sprious.com" TargetMode="External"/><Relationship Id="rId2465" Type="http://schemas.openxmlformats.org/officeDocument/2006/relationships/hyperlink" Target="https://www.freedomcenter.org" TargetMode="External"/><Relationship Id="rId540" Type="http://schemas.openxmlformats.org/officeDocument/2006/relationships/hyperlink" Target="https://suraasa.com" TargetMode="External"/><Relationship Id="rId1135" Type="http://schemas.openxmlformats.org/officeDocument/2006/relationships/hyperlink" Target="https://www.upperquadrant.com" TargetMode="External"/><Relationship Id="rId2466" Type="http://schemas.openxmlformats.org/officeDocument/2006/relationships/hyperlink" Target="https://www.chasegroup.com" TargetMode="External"/><Relationship Id="rId1125" Type="http://schemas.openxmlformats.org/officeDocument/2006/relationships/hyperlink" Target="https://www.opinionaccess.com" TargetMode="External"/><Relationship Id="rId2456" Type="http://schemas.openxmlformats.org/officeDocument/2006/relationships/hyperlink" Target="https://www.cognetik.com" TargetMode="External"/><Relationship Id="rId1126" Type="http://schemas.openxmlformats.org/officeDocument/2006/relationships/hyperlink" Target="https://www.obzervr.ai" TargetMode="External"/><Relationship Id="rId2457" Type="http://schemas.openxmlformats.org/officeDocument/2006/relationships/hyperlink" Target="https://www.cadnet.com" TargetMode="External"/><Relationship Id="rId1127" Type="http://schemas.openxmlformats.org/officeDocument/2006/relationships/hyperlink" Target="https://www.nsphere.com" TargetMode="External"/><Relationship Id="rId2458" Type="http://schemas.openxmlformats.org/officeDocument/2006/relationships/hyperlink" Target="https://www.accessible-archives.com" TargetMode="External"/><Relationship Id="rId1128" Type="http://schemas.openxmlformats.org/officeDocument/2006/relationships/hyperlink" Target="https://www.panicmechanic.com" TargetMode="External"/><Relationship Id="rId2459" Type="http://schemas.openxmlformats.org/officeDocument/2006/relationships/hyperlink" Target="https://www.imrworldwide.com" TargetMode="External"/><Relationship Id="rId1129" Type="http://schemas.openxmlformats.org/officeDocument/2006/relationships/hyperlink" Target="https://www.oceansonics.com" TargetMode="External"/><Relationship Id="rId536" Type="http://schemas.openxmlformats.org/officeDocument/2006/relationships/hyperlink" Target="https://memoryos.com" TargetMode="External"/><Relationship Id="rId535" Type="http://schemas.openxmlformats.org/officeDocument/2006/relationships/hyperlink" Target="https://careerfoundry.com" TargetMode="External"/><Relationship Id="rId534" Type="http://schemas.openxmlformats.org/officeDocument/2006/relationships/hyperlink" Target="https://www.noisolation.com" TargetMode="External"/><Relationship Id="rId533" Type="http://schemas.openxmlformats.org/officeDocument/2006/relationships/hyperlink" Target="https://www.hetao101.com" TargetMode="External"/><Relationship Id="rId539" Type="http://schemas.openxmlformats.org/officeDocument/2006/relationships/hyperlink" Target="https://pensight.com" TargetMode="External"/><Relationship Id="rId538" Type="http://schemas.openxmlformats.org/officeDocument/2006/relationships/hyperlink" Target="https://codingal.com" TargetMode="External"/><Relationship Id="rId537" Type="http://schemas.openxmlformats.org/officeDocument/2006/relationships/hyperlink" Target="https://ubongo.org" TargetMode="External"/><Relationship Id="rId2450" Type="http://schemas.openxmlformats.org/officeDocument/2006/relationships/hyperlink" Target="https://www.clusterpark.com" TargetMode="External"/><Relationship Id="rId1120" Type="http://schemas.openxmlformats.org/officeDocument/2006/relationships/hyperlink" Target="https://www.medcase.health" TargetMode="External"/><Relationship Id="rId2451" Type="http://schemas.openxmlformats.org/officeDocument/2006/relationships/hyperlink" Target="https://www.formforce.com" TargetMode="External"/><Relationship Id="rId532" Type="http://schemas.openxmlformats.org/officeDocument/2006/relationships/hyperlink" Target="https://pivotlearning.com" TargetMode="External"/><Relationship Id="rId1121" Type="http://schemas.openxmlformats.org/officeDocument/2006/relationships/hyperlink" Target="https://www.aquaai.com" TargetMode="External"/><Relationship Id="rId2452" Type="http://schemas.openxmlformats.org/officeDocument/2006/relationships/hyperlink" Target="https://www.libertypipelineservices.com" TargetMode="External"/><Relationship Id="rId531" Type="http://schemas.openxmlformats.org/officeDocument/2006/relationships/hyperlink" Target="https://moboo.io" TargetMode="External"/><Relationship Id="rId1122" Type="http://schemas.openxmlformats.org/officeDocument/2006/relationships/hyperlink" Target="https://www.bitpool.com" TargetMode="External"/><Relationship Id="rId2453" Type="http://schemas.openxmlformats.org/officeDocument/2006/relationships/hyperlink" Target="https://www.datatekin.com" TargetMode="External"/><Relationship Id="rId530" Type="http://schemas.openxmlformats.org/officeDocument/2006/relationships/hyperlink" Target="https://knoma.io" TargetMode="External"/><Relationship Id="rId1123" Type="http://schemas.openxmlformats.org/officeDocument/2006/relationships/hyperlink" Target="https://www.sodevelopment.com" TargetMode="External"/><Relationship Id="rId2454" Type="http://schemas.openxmlformats.org/officeDocument/2006/relationships/hyperlink" Target="https://www.idaso.com" TargetMode="External"/><Relationship Id="rId1124" Type="http://schemas.openxmlformats.org/officeDocument/2006/relationships/hyperlink" Target="https://www.tensorid.com" TargetMode="External"/><Relationship Id="rId2455" Type="http://schemas.openxmlformats.org/officeDocument/2006/relationships/hyperlink" Target="https://www.rimiflu.com" TargetMode="External"/><Relationship Id="rId1158" Type="http://schemas.openxmlformats.org/officeDocument/2006/relationships/hyperlink" Target="https://www.atstraffic.com" TargetMode="External"/><Relationship Id="rId2489" Type="http://schemas.openxmlformats.org/officeDocument/2006/relationships/hyperlink" Target="https://www.usanpn.org" TargetMode="External"/><Relationship Id="rId1159" Type="http://schemas.openxmlformats.org/officeDocument/2006/relationships/hyperlink" Target="https://www.apsdata.com" TargetMode="External"/><Relationship Id="rId569" Type="http://schemas.openxmlformats.org/officeDocument/2006/relationships/hyperlink" Target="https://niftylearning.com" TargetMode="External"/><Relationship Id="rId568" Type="http://schemas.openxmlformats.org/officeDocument/2006/relationships/hyperlink" Target="https://baims.com" TargetMode="External"/><Relationship Id="rId567" Type="http://schemas.openxmlformats.org/officeDocument/2006/relationships/hyperlink" Target="https://getatomi.com" TargetMode="External"/><Relationship Id="rId566" Type="http://schemas.openxmlformats.org/officeDocument/2006/relationships/hyperlink" Target="https://aila.ai" TargetMode="External"/><Relationship Id="rId2480" Type="http://schemas.openxmlformats.org/officeDocument/2006/relationships/hyperlink" Target="https://www.opinioni.net" TargetMode="External"/><Relationship Id="rId561" Type="http://schemas.openxmlformats.org/officeDocument/2006/relationships/hyperlink" Target="https://itherapy.com" TargetMode="External"/><Relationship Id="rId1150" Type="http://schemas.openxmlformats.org/officeDocument/2006/relationships/hyperlink" Target="https://www.lutherconsulting.com" TargetMode="External"/><Relationship Id="rId2481" Type="http://schemas.openxmlformats.org/officeDocument/2006/relationships/hyperlink" Target="https://www.lukky.ai" TargetMode="External"/><Relationship Id="rId560" Type="http://schemas.openxmlformats.org/officeDocument/2006/relationships/hyperlink" Target="https://scout.education" TargetMode="External"/><Relationship Id="rId1151" Type="http://schemas.openxmlformats.org/officeDocument/2006/relationships/hyperlink" Target="https://www.agterra.com" TargetMode="External"/><Relationship Id="rId2482" Type="http://schemas.openxmlformats.org/officeDocument/2006/relationships/hyperlink" Target="https://www.probit.com" TargetMode="External"/><Relationship Id="rId1152" Type="http://schemas.openxmlformats.org/officeDocument/2006/relationships/hyperlink" Target="https://www.hi4ai.com" TargetMode="External"/><Relationship Id="rId2483" Type="http://schemas.openxmlformats.org/officeDocument/2006/relationships/hyperlink" Target="https://www.eponic.com" TargetMode="External"/><Relationship Id="rId1153" Type="http://schemas.openxmlformats.org/officeDocument/2006/relationships/hyperlink" Target="https://www.mcmillionresearch.com" TargetMode="External"/><Relationship Id="rId2484" Type="http://schemas.openxmlformats.org/officeDocument/2006/relationships/hyperlink" Target="https://www.valeria.ai" TargetMode="External"/><Relationship Id="rId565" Type="http://schemas.openxmlformats.org/officeDocument/2006/relationships/hyperlink" Target="https://www.lidolearning.com" TargetMode="External"/><Relationship Id="rId1154" Type="http://schemas.openxmlformats.org/officeDocument/2006/relationships/hyperlink" Target="https://www.creare.com.br" TargetMode="External"/><Relationship Id="rId2485" Type="http://schemas.openxmlformats.org/officeDocument/2006/relationships/hyperlink" Target="https://www.entitylabs.io" TargetMode="External"/><Relationship Id="rId564" Type="http://schemas.openxmlformats.org/officeDocument/2006/relationships/hyperlink" Target="https://airblack.co" TargetMode="External"/><Relationship Id="rId1155" Type="http://schemas.openxmlformats.org/officeDocument/2006/relationships/hyperlink" Target="https://www.jobhopin.com" TargetMode="External"/><Relationship Id="rId2486" Type="http://schemas.openxmlformats.org/officeDocument/2006/relationships/hyperlink" Target="https://www.gamaetiket.com" TargetMode="External"/><Relationship Id="rId563" Type="http://schemas.openxmlformats.org/officeDocument/2006/relationships/hyperlink" Target="https://www.lokibots.com" TargetMode="External"/><Relationship Id="rId1156" Type="http://schemas.openxmlformats.org/officeDocument/2006/relationships/hyperlink" Target="https://www.numbersprotocol.io" TargetMode="External"/><Relationship Id="rId2487" Type="http://schemas.openxmlformats.org/officeDocument/2006/relationships/hyperlink" Target="https://www.datalekt.com" TargetMode="External"/><Relationship Id="rId562" Type="http://schemas.openxmlformats.org/officeDocument/2006/relationships/hyperlink" Target="https://gradewiz.com" TargetMode="External"/><Relationship Id="rId1157" Type="http://schemas.openxmlformats.org/officeDocument/2006/relationships/hyperlink" Target="https://www.virasoft.com" TargetMode="External"/><Relationship Id="rId2488" Type="http://schemas.openxmlformats.org/officeDocument/2006/relationships/hyperlink" Target="https://www.gruppomarcheinformatica.it" TargetMode="External"/><Relationship Id="rId1147" Type="http://schemas.openxmlformats.org/officeDocument/2006/relationships/hyperlink" Target="https://www.medimergent.com" TargetMode="External"/><Relationship Id="rId2478" Type="http://schemas.openxmlformats.org/officeDocument/2006/relationships/hyperlink" Target="https://www.osis.com" TargetMode="External"/><Relationship Id="rId1148" Type="http://schemas.openxmlformats.org/officeDocument/2006/relationships/hyperlink" Target="https://www.zdscada.com" TargetMode="External"/><Relationship Id="rId2479" Type="http://schemas.openxmlformats.org/officeDocument/2006/relationships/hyperlink" Target="https://www.scidatasoft.com" TargetMode="External"/><Relationship Id="rId1149" Type="http://schemas.openxmlformats.org/officeDocument/2006/relationships/hyperlink" Target="https://www.foretellglobal.com" TargetMode="External"/><Relationship Id="rId558" Type="http://schemas.openxmlformats.org/officeDocument/2006/relationships/hyperlink" Target="http://code.org" TargetMode="External"/><Relationship Id="rId557" Type="http://schemas.openxmlformats.org/officeDocument/2006/relationships/hyperlink" Target="https://excellencelearning.com" TargetMode="External"/><Relationship Id="rId556" Type="http://schemas.openxmlformats.org/officeDocument/2006/relationships/hyperlink" Target="https://www.italki.com" TargetMode="External"/><Relationship Id="rId555" Type="http://schemas.openxmlformats.org/officeDocument/2006/relationships/hyperlink" Target="https://www.upgrad.com" TargetMode="External"/><Relationship Id="rId559" Type="http://schemas.openxmlformats.org/officeDocument/2006/relationships/hyperlink" Target="https://code.org" TargetMode="External"/><Relationship Id="rId550" Type="http://schemas.openxmlformats.org/officeDocument/2006/relationships/hyperlink" Target="https://plexuss.com" TargetMode="External"/><Relationship Id="rId2470" Type="http://schemas.openxmlformats.org/officeDocument/2006/relationships/hyperlink" Target="https://www.k2reimagine.com" TargetMode="External"/><Relationship Id="rId1140" Type="http://schemas.openxmlformats.org/officeDocument/2006/relationships/hyperlink" Target="https://www.datawow.io" TargetMode="External"/><Relationship Id="rId2471" Type="http://schemas.openxmlformats.org/officeDocument/2006/relationships/hyperlink" Target="https://www.epsi-inc.com" TargetMode="External"/><Relationship Id="rId1141" Type="http://schemas.openxmlformats.org/officeDocument/2006/relationships/hyperlink" Target="https://www.morleycompanies.com" TargetMode="External"/><Relationship Id="rId2472" Type="http://schemas.openxmlformats.org/officeDocument/2006/relationships/hyperlink" Target="https://www.cido.ai" TargetMode="External"/><Relationship Id="rId1142" Type="http://schemas.openxmlformats.org/officeDocument/2006/relationships/hyperlink" Target="https://www.mindify.ai" TargetMode="External"/><Relationship Id="rId2473" Type="http://schemas.openxmlformats.org/officeDocument/2006/relationships/hyperlink" Target="https://www.geonord.no" TargetMode="External"/><Relationship Id="rId554" Type="http://schemas.openxmlformats.org/officeDocument/2006/relationships/hyperlink" Target="https://www.codedex.io" TargetMode="External"/><Relationship Id="rId1143" Type="http://schemas.openxmlformats.org/officeDocument/2006/relationships/hyperlink" Target="https://www.natific.com" TargetMode="External"/><Relationship Id="rId2474" Type="http://schemas.openxmlformats.org/officeDocument/2006/relationships/hyperlink" Target="https://www.xdoto.com" TargetMode="External"/><Relationship Id="rId553" Type="http://schemas.openxmlformats.org/officeDocument/2006/relationships/hyperlink" Target="https://www.antwalk.com" TargetMode="External"/><Relationship Id="rId1144" Type="http://schemas.openxmlformats.org/officeDocument/2006/relationships/hyperlink" Target="https://www.scalehub.ai" TargetMode="External"/><Relationship Id="rId2475" Type="http://schemas.openxmlformats.org/officeDocument/2006/relationships/hyperlink" Target="https://www.motionalysis.com" TargetMode="External"/><Relationship Id="rId552" Type="http://schemas.openxmlformats.org/officeDocument/2006/relationships/hyperlink" Target="https://skytraders.it" TargetMode="External"/><Relationship Id="rId1145" Type="http://schemas.openxmlformats.org/officeDocument/2006/relationships/hyperlink" Target="https://www.rapidata.com" TargetMode="External"/><Relationship Id="rId2476" Type="http://schemas.openxmlformats.org/officeDocument/2006/relationships/hyperlink" Target="https://www.lanchuangtech.com" TargetMode="External"/><Relationship Id="rId551" Type="http://schemas.openxmlformats.org/officeDocument/2006/relationships/hyperlink" Target="https://www.beedeez.com" TargetMode="External"/><Relationship Id="rId1146" Type="http://schemas.openxmlformats.org/officeDocument/2006/relationships/hyperlink" Target="https://www.fusebase.com" TargetMode="External"/><Relationship Id="rId2477" Type="http://schemas.openxmlformats.org/officeDocument/2006/relationships/hyperlink" Target="https://www.rtdelectronics.com" TargetMode="External"/><Relationship Id="rId495" Type="http://schemas.openxmlformats.org/officeDocument/2006/relationships/hyperlink" Target="https://codehs.com" TargetMode="External"/><Relationship Id="rId494" Type="http://schemas.openxmlformats.org/officeDocument/2006/relationships/hyperlink" Target="https://conexed.com" TargetMode="External"/><Relationship Id="rId493" Type="http://schemas.openxmlformats.org/officeDocument/2006/relationships/hyperlink" Target="https://www.brighthorizons.com" TargetMode="External"/><Relationship Id="rId492" Type="http://schemas.openxmlformats.org/officeDocument/2006/relationships/hyperlink" Target="https://thynk.cloud" TargetMode="External"/><Relationship Id="rId499" Type="http://schemas.openxmlformats.org/officeDocument/2006/relationships/hyperlink" Target="https://www.ringleplus.com" TargetMode="External"/><Relationship Id="rId498" Type="http://schemas.openxmlformats.org/officeDocument/2006/relationships/hyperlink" Target="https://careeros.io" TargetMode="External"/><Relationship Id="rId497" Type="http://schemas.openxmlformats.org/officeDocument/2006/relationships/hyperlink" Target="https://vuihoc.vn" TargetMode="External"/><Relationship Id="rId496" Type="http://schemas.openxmlformats.org/officeDocument/2006/relationships/hyperlink" Target="http://vuihoc.vn" TargetMode="External"/><Relationship Id="rId1213" Type="http://schemas.openxmlformats.org/officeDocument/2006/relationships/hyperlink" Target="https://www.etgrow.com" TargetMode="External"/><Relationship Id="rId2544" Type="http://schemas.openxmlformats.org/officeDocument/2006/relationships/hyperlink" Target="https://www.sinpex.com" TargetMode="External"/><Relationship Id="rId1214" Type="http://schemas.openxmlformats.org/officeDocument/2006/relationships/hyperlink" Target="http://suntec.ai" TargetMode="External"/><Relationship Id="rId2545" Type="http://schemas.openxmlformats.org/officeDocument/2006/relationships/hyperlink" Target="https://www.snorkel.ai" TargetMode="External"/><Relationship Id="rId1215" Type="http://schemas.openxmlformats.org/officeDocument/2006/relationships/hyperlink" Target="https://www.suntec.ai" TargetMode="External"/><Relationship Id="rId2546" Type="http://schemas.openxmlformats.org/officeDocument/2006/relationships/hyperlink" Target="https://www.ethon.ai" TargetMode="External"/><Relationship Id="rId1216" Type="http://schemas.openxmlformats.org/officeDocument/2006/relationships/hyperlink" Target="https://www.bettertasks.io" TargetMode="External"/><Relationship Id="rId2547" Type="http://schemas.openxmlformats.org/officeDocument/2006/relationships/hyperlink" Target="https://www.datasaur.ai" TargetMode="External"/><Relationship Id="rId1217" Type="http://schemas.openxmlformats.org/officeDocument/2006/relationships/hyperlink" Target="https://www.kadence.com" TargetMode="External"/><Relationship Id="rId2548" Type="http://schemas.openxmlformats.org/officeDocument/2006/relationships/hyperlink" Target="https://www.edgecross.com" TargetMode="External"/><Relationship Id="rId1218" Type="http://schemas.openxmlformats.org/officeDocument/2006/relationships/hyperlink" Target="https://www.eavetech.com" TargetMode="External"/><Relationship Id="rId2549" Type="http://schemas.openxmlformats.org/officeDocument/2006/relationships/hyperlink" Target="https://www.blocks.io" TargetMode="External"/><Relationship Id="rId1219" Type="http://schemas.openxmlformats.org/officeDocument/2006/relationships/hyperlink" Target="http://jaxon.ai" TargetMode="External"/><Relationship Id="rId2540" Type="http://schemas.openxmlformats.org/officeDocument/2006/relationships/hyperlink" Target="https://www.wholeearthfoundation.org" TargetMode="External"/><Relationship Id="rId1210" Type="http://schemas.openxmlformats.org/officeDocument/2006/relationships/hyperlink" Target="https://www.medtrak.com" TargetMode="External"/><Relationship Id="rId2541" Type="http://schemas.openxmlformats.org/officeDocument/2006/relationships/hyperlink" Target="https://www.immediation.com" TargetMode="External"/><Relationship Id="rId1211" Type="http://schemas.openxmlformats.org/officeDocument/2006/relationships/hyperlink" Target="https://www.labfront.com" TargetMode="External"/><Relationship Id="rId2542" Type="http://schemas.openxmlformats.org/officeDocument/2006/relationships/hyperlink" Target="http://form.com" TargetMode="External"/><Relationship Id="rId1212" Type="http://schemas.openxmlformats.org/officeDocument/2006/relationships/hyperlink" Target="https://www.questionscout.com" TargetMode="External"/><Relationship Id="rId2543" Type="http://schemas.openxmlformats.org/officeDocument/2006/relationships/hyperlink" Target="https://www.form.com" TargetMode="External"/><Relationship Id="rId1202" Type="http://schemas.openxmlformats.org/officeDocument/2006/relationships/hyperlink" Target="https://www.cvikota.com" TargetMode="External"/><Relationship Id="rId2533" Type="http://schemas.openxmlformats.org/officeDocument/2006/relationships/hyperlink" Target="https://www.africa.ai" TargetMode="External"/><Relationship Id="rId1203" Type="http://schemas.openxmlformats.org/officeDocument/2006/relationships/hyperlink" Target="https://www.nbs.gov" TargetMode="External"/><Relationship Id="rId2534" Type="http://schemas.openxmlformats.org/officeDocument/2006/relationships/hyperlink" Target="https://www.hdrain.com" TargetMode="External"/><Relationship Id="rId1204" Type="http://schemas.openxmlformats.org/officeDocument/2006/relationships/hyperlink" Target="https://www.snapforms.com" TargetMode="External"/><Relationship Id="rId2535" Type="http://schemas.openxmlformats.org/officeDocument/2006/relationships/hyperlink" Target="https://www.aisquared.com" TargetMode="External"/><Relationship Id="rId1205" Type="http://schemas.openxmlformats.org/officeDocument/2006/relationships/hyperlink" Target="https://www.ofekaerial.com" TargetMode="External"/><Relationship Id="rId2536" Type="http://schemas.openxmlformats.org/officeDocument/2006/relationships/hyperlink" Target="https://www.repdata.com" TargetMode="External"/><Relationship Id="rId1206" Type="http://schemas.openxmlformats.org/officeDocument/2006/relationships/hyperlink" Target="https://www.svastia.com" TargetMode="External"/><Relationship Id="rId2537" Type="http://schemas.openxmlformats.org/officeDocument/2006/relationships/hyperlink" Target="https://www.reengen.com" TargetMode="External"/><Relationship Id="rId1207" Type="http://schemas.openxmlformats.org/officeDocument/2006/relationships/hyperlink" Target="https://www.datai.ai" TargetMode="External"/><Relationship Id="rId2538" Type="http://schemas.openxmlformats.org/officeDocument/2006/relationships/hyperlink" Target="https://www.flatsorspikes.com" TargetMode="External"/><Relationship Id="rId1208" Type="http://schemas.openxmlformats.org/officeDocument/2006/relationships/hyperlink" Target="https://www.marketinsightcorp.com" TargetMode="External"/><Relationship Id="rId2539" Type="http://schemas.openxmlformats.org/officeDocument/2006/relationships/hyperlink" Target="https://www.orbintel.com" TargetMode="External"/><Relationship Id="rId1209" Type="http://schemas.openxmlformats.org/officeDocument/2006/relationships/hyperlink" Target="https://www.precise.com" TargetMode="External"/><Relationship Id="rId2530" Type="http://schemas.openxmlformats.org/officeDocument/2006/relationships/hyperlink" Target="https://www.tablogs.com" TargetMode="External"/><Relationship Id="rId1200" Type="http://schemas.openxmlformats.org/officeDocument/2006/relationships/hyperlink" Target="https://www.unitlab.ai" TargetMode="External"/><Relationship Id="rId2531" Type="http://schemas.openxmlformats.org/officeDocument/2006/relationships/hyperlink" Target="https://www.datasinc.com" TargetMode="External"/><Relationship Id="rId1201" Type="http://schemas.openxmlformats.org/officeDocument/2006/relationships/hyperlink" Target="https://www.touchstar.com" TargetMode="External"/><Relationship Id="rId2532" Type="http://schemas.openxmlformats.org/officeDocument/2006/relationships/hyperlink" Target="http://africa.ai" TargetMode="External"/><Relationship Id="rId1235" Type="http://schemas.openxmlformats.org/officeDocument/2006/relationships/hyperlink" Target="https://www.credamo.com" TargetMode="External"/><Relationship Id="rId2566" Type="http://schemas.openxmlformats.org/officeDocument/2006/relationships/hyperlink" Target="https://www.remcare.org" TargetMode="External"/><Relationship Id="rId1236" Type="http://schemas.openxmlformats.org/officeDocument/2006/relationships/hyperlink" Target="https://www.simplex.com" TargetMode="External"/><Relationship Id="rId2567" Type="http://schemas.openxmlformats.org/officeDocument/2006/relationships/hyperlink" Target="https://www.immdata.com" TargetMode="External"/><Relationship Id="rId1237" Type="http://schemas.openxmlformats.org/officeDocument/2006/relationships/hyperlink" Target="https://www.crgglobal.com" TargetMode="External"/><Relationship Id="rId2568" Type="http://schemas.openxmlformats.org/officeDocument/2006/relationships/hyperlink" Target="https://www.indrocorp.com" TargetMode="External"/><Relationship Id="rId1238" Type="http://schemas.openxmlformats.org/officeDocument/2006/relationships/hyperlink" Target="https://www.miratsinsights.com" TargetMode="External"/><Relationship Id="rId2569" Type="http://schemas.openxmlformats.org/officeDocument/2006/relationships/hyperlink" Target="https://www.giiso.com" TargetMode="External"/><Relationship Id="rId1239" Type="http://schemas.openxmlformats.org/officeDocument/2006/relationships/hyperlink" Target="https://www.baytechassoc.com" TargetMode="External"/><Relationship Id="rId409" Type="http://schemas.openxmlformats.org/officeDocument/2006/relationships/hyperlink" Target="https://instruqt.com" TargetMode="External"/><Relationship Id="rId404" Type="http://schemas.openxmlformats.org/officeDocument/2006/relationships/hyperlink" Target="https://www.tuition.io" TargetMode="External"/><Relationship Id="rId403" Type="http://schemas.openxmlformats.org/officeDocument/2006/relationships/hyperlink" Target="http://tuition.io" TargetMode="External"/><Relationship Id="rId402" Type="http://schemas.openxmlformats.org/officeDocument/2006/relationships/hyperlink" Target="https://sortient.com" TargetMode="External"/><Relationship Id="rId401" Type="http://schemas.openxmlformats.org/officeDocument/2006/relationships/hyperlink" Target="https://knowbox.io" TargetMode="External"/><Relationship Id="rId408" Type="http://schemas.openxmlformats.org/officeDocument/2006/relationships/hyperlink" Target="https://ischoolconnect.com" TargetMode="External"/><Relationship Id="rId407" Type="http://schemas.openxmlformats.org/officeDocument/2006/relationships/hyperlink" Target="https://letitu.com" TargetMode="External"/><Relationship Id="rId406" Type="http://schemas.openxmlformats.org/officeDocument/2006/relationships/hyperlink" Target="https://amplio.org" TargetMode="External"/><Relationship Id="rId405" Type="http://schemas.openxmlformats.org/officeDocument/2006/relationships/hyperlink" Target="https://shikho.com" TargetMode="External"/><Relationship Id="rId2560" Type="http://schemas.openxmlformats.org/officeDocument/2006/relationships/hyperlink" Target="https://www.crawly.ai" TargetMode="External"/><Relationship Id="rId1230" Type="http://schemas.openxmlformats.org/officeDocument/2006/relationships/hyperlink" Target="https://www.opinionbox.com" TargetMode="External"/><Relationship Id="rId2561" Type="http://schemas.openxmlformats.org/officeDocument/2006/relationships/hyperlink" Target="https://www.enabledintelligence.com" TargetMode="External"/><Relationship Id="rId400" Type="http://schemas.openxmlformats.org/officeDocument/2006/relationships/hyperlink" Target="https://finanz.ai" TargetMode="External"/><Relationship Id="rId1231" Type="http://schemas.openxmlformats.org/officeDocument/2006/relationships/hyperlink" Target="https://www.zparse.com" TargetMode="External"/><Relationship Id="rId2562" Type="http://schemas.openxmlformats.org/officeDocument/2006/relationships/hyperlink" Target="https://www.telusdigital.com" TargetMode="External"/><Relationship Id="rId1232" Type="http://schemas.openxmlformats.org/officeDocument/2006/relationships/hyperlink" Target="https://www.norstatgroup.com" TargetMode="External"/><Relationship Id="rId2563" Type="http://schemas.openxmlformats.org/officeDocument/2006/relationships/hyperlink" Target="https://www.fulcrumapp.com" TargetMode="External"/><Relationship Id="rId1233" Type="http://schemas.openxmlformats.org/officeDocument/2006/relationships/hyperlink" Target="https://www.socialscore.com" TargetMode="External"/><Relationship Id="rId2564" Type="http://schemas.openxmlformats.org/officeDocument/2006/relationships/hyperlink" Target="https://www.cumbuca.com" TargetMode="External"/><Relationship Id="rId1234" Type="http://schemas.openxmlformats.org/officeDocument/2006/relationships/hyperlink" Target="https://www.touchgis.com" TargetMode="External"/><Relationship Id="rId2565" Type="http://schemas.openxmlformats.org/officeDocument/2006/relationships/hyperlink" Target="https://www.felt.com" TargetMode="External"/><Relationship Id="rId1224" Type="http://schemas.openxmlformats.org/officeDocument/2006/relationships/hyperlink" Target="https://www.threepalm.com" TargetMode="External"/><Relationship Id="rId2555" Type="http://schemas.openxmlformats.org/officeDocument/2006/relationships/hyperlink" Target="https://www.jiaoyi-tech.com" TargetMode="External"/><Relationship Id="rId1225" Type="http://schemas.openxmlformats.org/officeDocument/2006/relationships/hyperlink" Target="https://www.striketru.com" TargetMode="External"/><Relationship Id="rId2556" Type="http://schemas.openxmlformats.org/officeDocument/2006/relationships/hyperlink" Target="https://www.maze.co" TargetMode="External"/><Relationship Id="rId1226" Type="http://schemas.openxmlformats.org/officeDocument/2006/relationships/hyperlink" Target="https://www.doccaster.com" TargetMode="External"/><Relationship Id="rId2557" Type="http://schemas.openxmlformats.org/officeDocument/2006/relationships/hyperlink" Target="https://www.t6health.com" TargetMode="External"/><Relationship Id="rId1227" Type="http://schemas.openxmlformats.org/officeDocument/2006/relationships/hyperlink" Target="https://www.researchresults.com" TargetMode="External"/><Relationship Id="rId2558" Type="http://schemas.openxmlformats.org/officeDocument/2006/relationships/hyperlink" Target="https://www.crowdsorsa.com" TargetMode="External"/><Relationship Id="rId1228" Type="http://schemas.openxmlformats.org/officeDocument/2006/relationships/hyperlink" Target="https://www.voxapp.io" TargetMode="External"/><Relationship Id="rId2559" Type="http://schemas.openxmlformats.org/officeDocument/2006/relationships/hyperlink" Target="https://www.galetech.com" TargetMode="External"/><Relationship Id="rId1229" Type="http://schemas.openxmlformats.org/officeDocument/2006/relationships/hyperlink" Target="https://www.trisk.ai" TargetMode="External"/><Relationship Id="rId2550" Type="http://schemas.openxmlformats.org/officeDocument/2006/relationships/hyperlink" Target="https://www.farmbackup.com" TargetMode="External"/><Relationship Id="rId1220" Type="http://schemas.openxmlformats.org/officeDocument/2006/relationships/hyperlink" Target="https://www.jaxon.ai" TargetMode="External"/><Relationship Id="rId2551" Type="http://schemas.openxmlformats.org/officeDocument/2006/relationships/hyperlink" Target="https://www.libertysource.com" TargetMode="External"/><Relationship Id="rId1221" Type="http://schemas.openxmlformats.org/officeDocument/2006/relationships/hyperlink" Target="https://www.soltrafego.com" TargetMode="External"/><Relationship Id="rId2552" Type="http://schemas.openxmlformats.org/officeDocument/2006/relationships/hyperlink" Target="https://www.fulcrumair.com" TargetMode="External"/><Relationship Id="rId1222" Type="http://schemas.openxmlformats.org/officeDocument/2006/relationships/hyperlink" Target="http://labelme.csail.mit.edu" TargetMode="External"/><Relationship Id="rId2553" Type="http://schemas.openxmlformats.org/officeDocument/2006/relationships/hyperlink" Target="https://www.inmoment.com" TargetMode="External"/><Relationship Id="rId1223" Type="http://schemas.openxmlformats.org/officeDocument/2006/relationships/hyperlink" Target="https://www.datswhy.com" TargetMode="External"/><Relationship Id="rId2554" Type="http://schemas.openxmlformats.org/officeDocument/2006/relationships/hyperlink" Target="https://www.bizportal.com" TargetMode="External"/><Relationship Id="rId2500" Type="http://schemas.openxmlformats.org/officeDocument/2006/relationships/hyperlink" Target="https://www.khanagroup.com" TargetMode="External"/><Relationship Id="rId2501" Type="http://schemas.openxmlformats.org/officeDocument/2006/relationships/hyperlink" Target="https://www.accupoint.com" TargetMode="External"/><Relationship Id="rId2502" Type="http://schemas.openxmlformats.org/officeDocument/2006/relationships/hyperlink" Target="https://www.studentvoice.com" TargetMode="External"/><Relationship Id="rId2503" Type="http://schemas.openxmlformats.org/officeDocument/2006/relationships/hyperlink" Target="https://www.gkainsights.com" TargetMode="External"/><Relationship Id="rId2504" Type="http://schemas.openxmlformats.org/officeDocument/2006/relationships/hyperlink" Target="https://www.fileflow.com" TargetMode="External"/><Relationship Id="rId2505" Type="http://schemas.openxmlformats.org/officeDocument/2006/relationships/hyperlink" Target="https://www.trendresearch.com" TargetMode="External"/><Relationship Id="rId2506" Type="http://schemas.openxmlformats.org/officeDocument/2006/relationships/hyperlink" Target="https://www.simulacra.com" TargetMode="External"/><Relationship Id="rId2507" Type="http://schemas.openxmlformats.org/officeDocument/2006/relationships/hyperlink" Target="https://www.danelec.com" TargetMode="External"/><Relationship Id="rId2508" Type="http://schemas.openxmlformats.org/officeDocument/2006/relationships/hyperlink" Target="https://www.datasystem.com" TargetMode="External"/><Relationship Id="rId2509" Type="http://schemas.openxmlformats.org/officeDocument/2006/relationships/hyperlink" Target="https://www.wacresearch.com" TargetMode="External"/><Relationship Id="rId2522" Type="http://schemas.openxmlformats.org/officeDocument/2006/relationships/hyperlink" Target="https://www.classactioncapital.com" TargetMode="External"/><Relationship Id="rId2523" Type="http://schemas.openxmlformats.org/officeDocument/2006/relationships/hyperlink" Target="https://www.gretel.ai" TargetMode="External"/><Relationship Id="rId2524" Type="http://schemas.openxmlformats.org/officeDocument/2006/relationships/hyperlink" Target="https://www.m47.ai" TargetMode="External"/><Relationship Id="rId2525" Type="http://schemas.openxmlformats.org/officeDocument/2006/relationships/hyperlink" Target="https://www.kpiready.com" TargetMode="External"/><Relationship Id="rId2526" Type="http://schemas.openxmlformats.org/officeDocument/2006/relationships/hyperlink" Target="https://www.haelixa.com" TargetMode="External"/><Relationship Id="rId2527" Type="http://schemas.openxmlformats.org/officeDocument/2006/relationships/hyperlink" Target="https://www.progoo.com" TargetMode="External"/><Relationship Id="rId2528" Type="http://schemas.openxmlformats.org/officeDocument/2006/relationships/hyperlink" Target="https://www.datable.io" TargetMode="External"/><Relationship Id="rId2529" Type="http://schemas.openxmlformats.org/officeDocument/2006/relationships/hyperlink" Target="https://www.precisionhawk.com" TargetMode="External"/><Relationship Id="rId2520" Type="http://schemas.openxmlformats.org/officeDocument/2006/relationships/hyperlink" Target="https://www.insurtech.com" TargetMode="External"/><Relationship Id="rId2521" Type="http://schemas.openxmlformats.org/officeDocument/2006/relationships/hyperlink" Target="https://www.creare.com" TargetMode="External"/><Relationship Id="rId2511" Type="http://schemas.openxmlformats.org/officeDocument/2006/relationships/hyperlink" Target="https://www.deiteo.ai" TargetMode="External"/><Relationship Id="rId2512" Type="http://schemas.openxmlformats.org/officeDocument/2006/relationships/hyperlink" Target="https://www.performancechallenges.com" TargetMode="External"/><Relationship Id="rId2513" Type="http://schemas.openxmlformats.org/officeDocument/2006/relationships/hyperlink" Target="https://www.inspectionapps.com" TargetMode="External"/><Relationship Id="rId2514" Type="http://schemas.openxmlformats.org/officeDocument/2006/relationships/hyperlink" Target="https://www.pocstock.com" TargetMode="External"/><Relationship Id="rId2515" Type="http://schemas.openxmlformats.org/officeDocument/2006/relationships/hyperlink" Target="https://www.checkpointid.com" TargetMode="External"/><Relationship Id="rId2516" Type="http://schemas.openxmlformats.org/officeDocument/2006/relationships/hyperlink" Target="https://www.choiceform.com" TargetMode="External"/><Relationship Id="rId2517" Type="http://schemas.openxmlformats.org/officeDocument/2006/relationships/hyperlink" Target="https://www.shelvz.com" TargetMode="External"/><Relationship Id="rId2518" Type="http://schemas.openxmlformats.org/officeDocument/2006/relationships/hyperlink" Target="https://www.thread.ai" TargetMode="External"/><Relationship Id="rId2519" Type="http://schemas.openxmlformats.org/officeDocument/2006/relationships/hyperlink" Target="https://www.oncochain.io" TargetMode="External"/><Relationship Id="rId2510" Type="http://schemas.openxmlformats.org/officeDocument/2006/relationships/hyperlink" Target="https://www.envigilant.com" TargetMode="External"/><Relationship Id="rId469" Type="http://schemas.openxmlformats.org/officeDocument/2006/relationships/hyperlink" Target="https://www.tinytap.com" TargetMode="External"/><Relationship Id="rId468" Type="http://schemas.openxmlformats.org/officeDocument/2006/relationships/hyperlink" Target="https://oda.ai" TargetMode="External"/><Relationship Id="rId467" Type="http://schemas.openxmlformats.org/officeDocument/2006/relationships/hyperlink" Target="https://2018.vc" TargetMode="External"/><Relationship Id="rId1290" Type="http://schemas.openxmlformats.org/officeDocument/2006/relationships/hyperlink" Target="https://www.trustmusicdistribution.com" TargetMode="External"/><Relationship Id="rId1291" Type="http://schemas.openxmlformats.org/officeDocument/2006/relationships/hyperlink" Target="https://www.openeddi.com" TargetMode="External"/><Relationship Id="rId1292" Type="http://schemas.openxmlformats.org/officeDocument/2006/relationships/hyperlink" Target="https://www.sxblue.com" TargetMode="External"/><Relationship Id="rId462" Type="http://schemas.openxmlformats.org/officeDocument/2006/relationships/hyperlink" Target="https://edrolo.com.au" TargetMode="External"/><Relationship Id="rId1293" Type="http://schemas.openxmlformats.org/officeDocument/2006/relationships/hyperlink" Target="https://www.chainway.net" TargetMode="External"/><Relationship Id="rId461" Type="http://schemas.openxmlformats.org/officeDocument/2006/relationships/hyperlink" Target="https://novoed.com" TargetMode="External"/><Relationship Id="rId1294" Type="http://schemas.openxmlformats.org/officeDocument/2006/relationships/hyperlink" Target="https://www.econz.com" TargetMode="External"/><Relationship Id="rId460" Type="http://schemas.openxmlformats.org/officeDocument/2006/relationships/hyperlink" Target="https://www.zhangmen.com" TargetMode="External"/><Relationship Id="rId1295" Type="http://schemas.openxmlformats.org/officeDocument/2006/relationships/hyperlink" Target="https://www.adcmovil.com" TargetMode="External"/><Relationship Id="rId1296" Type="http://schemas.openxmlformats.org/officeDocument/2006/relationships/hyperlink" Target="https://www.researchmetrics.com" TargetMode="External"/><Relationship Id="rId466" Type="http://schemas.openxmlformats.org/officeDocument/2006/relationships/hyperlink" Target="https://redbrickedu.com" TargetMode="External"/><Relationship Id="rId1297" Type="http://schemas.openxmlformats.org/officeDocument/2006/relationships/hyperlink" Target="https://www.mfgsys.com" TargetMode="External"/><Relationship Id="rId465" Type="http://schemas.openxmlformats.org/officeDocument/2006/relationships/hyperlink" Target="https://www.knewton.com" TargetMode="External"/><Relationship Id="rId1298" Type="http://schemas.openxmlformats.org/officeDocument/2006/relationships/hyperlink" Target="https://www.bdata.com" TargetMode="External"/><Relationship Id="rId464" Type="http://schemas.openxmlformats.org/officeDocument/2006/relationships/hyperlink" Target="https://www.digitalundivided.com" TargetMode="External"/><Relationship Id="rId1299" Type="http://schemas.openxmlformats.org/officeDocument/2006/relationships/hyperlink" Target="https://www.hedro.com.br" TargetMode="External"/><Relationship Id="rId463" Type="http://schemas.openxmlformats.org/officeDocument/2006/relationships/hyperlink" Target="https://yellowdig.co" TargetMode="External"/><Relationship Id="rId459" Type="http://schemas.openxmlformats.org/officeDocument/2006/relationships/hyperlink" Target="https://www.cakap.com" TargetMode="External"/><Relationship Id="rId458" Type="http://schemas.openxmlformats.org/officeDocument/2006/relationships/hyperlink" Target="https://chalktalk.com" TargetMode="External"/><Relationship Id="rId457" Type="http://schemas.openxmlformats.org/officeDocument/2006/relationships/hyperlink" Target="https://educbank.com" TargetMode="External"/><Relationship Id="rId456" Type="http://schemas.openxmlformats.org/officeDocument/2006/relationships/hyperlink" Target="https://www.benetech.org" TargetMode="External"/><Relationship Id="rId1280" Type="http://schemas.openxmlformats.org/officeDocument/2006/relationships/hyperlink" Target="https://www.webankieta.pl" TargetMode="External"/><Relationship Id="rId1281" Type="http://schemas.openxmlformats.org/officeDocument/2006/relationships/hyperlink" Target="https://www.axonator.com" TargetMode="External"/><Relationship Id="rId451" Type="http://schemas.openxmlformats.org/officeDocument/2006/relationships/hyperlink" Target="https://domitech.ai" TargetMode="External"/><Relationship Id="rId1282" Type="http://schemas.openxmlformats.org/officeDocument/2006/relationships/hyperlink" Target="https://www.fabcom.com" TargetMode="External"/><Relationship Id="rId450" Type="http://schemas.openxmlformats.org/officeDocument/2006/relationships/hyperlink" Target="https://learnie.app" TargetMode="External"/><Relationship Id="rId1283" Type="http://schemas.openxmlformats.org/officeDocument/2006/relationships/hyperlink" Target="https://www.clarifai.com" TargetMode="External"/><Relationship Id="rId1284" Type="http://schemas.openxmlformats.org/officeDocument/2006/relationships/hyperlink" Target="https://www.v7labs.com" TargetMode="External"/><Relationship Id="rId1285" Type="http://schemas.openxmlformats.org/officeDocument/2006/relationships/hyperlink" Target="https://www.grathic.com" TargetMode="External"/><Relationship Id="rId455" Type="http://schemas.openxmlformats.org/officeDocument/2006/relationships/hyperlink" Target="https://kunduz.com" TargetMode="External"/><Relationship Id="rId1286" Type="http://schemas.openxmlformats.org/officeDocument/2006/relationships/hyperlink" Target="https://www.shamrockplus.com" TargetMode="External"/><Relationship Id="rId454" Type="http://schemas.openxmlformats.org/officeDocument/2006/relationships/hyperlink" Target="https://www.fenbi.com" TargetMode="External"/><Relationship Id="rId1287" Type="http://schemas.openxmlformats.org/officeDocument/2006/relationships/hyperlink" Target="https://www.kampobrasil.com" TargetMode="External"/><Relationship Id="rId453" Type="http://schemas.openxmlformats.org/officeDocument/2006/relationships/hyperlink" Target="https://joinrs.com" TargetMode="External"/><Relationship Id="rId1288" Type="http://schemas.openxmlformats.org/officeDocument/2006/relationships/hyperlink" Target="https://www.mindflow.ai" TargetMode="External"/><Relationship Id="rId452" Type="http://schemas.openxmlformats.org/officeDocument/2006/relationships/hyperlink" Target="https://semilla.co" TargetMode="External"/><Relationship Id="rId1289" Type="http://schemas.openxmlformats.org/officeDocument/2006/relationships/hyperlink" Target="https://www.shopfloorautomations.com" TargetMode="External"/><Relationship Id="rId3018" Type="http://schemas.openxmlformats.org/officeDocument/2006/relationships/hyperlink" Target="https://aiproductaccelerator.com" TargetMode="External"/><Relationship Id="rId3017" Type="http://schemas.openxmlformats.org/officeDocument/2006/relationships/hyperlink" Target="https://aicerts.io" TargetMode="External"/><Relationship Id="rId3019" Type="http://schemas.openxmlformats.org/officeDocument/2006/relationships/hyperlink" Target="https://www.centuracollege.edu" TargetMode="External"/><Relationship Id="rId491" Type="http://schemas.openxmlformats.org/officeDocument/2006/relationships/hyperlink" Target="https://reportwell.com" TargetMode="External"/><Relationship Id="rId490" Type="http://schemas.openxmlformats.org/officeDocument/2006/relationships/hyperlink" Target="https://educato.ai" TargetMode="External"/><Relationship Id="rId489" Type="http://schemas.openxmlformats.org/officeDocument/2006/relationships/hyperlink" Target="https://heyhi.sg" TargetMode="External"/><Relationship Id="rId484" Type="http://schemas.openxmlformats.org/officeDocument/2006/relationships/hyperlink" Target="https://www.americanpubliceducation.com" TargetMode="External"/><Relationship Id="rId3010" Type="http://schemas.openxmlformats.org/officeDocument/2006/relationships/hyperlink" Target="https://admizzionzcampuz.com" TargetMode="External"/><Relationship Id="rId483" Type="http://schemas.openxmlformats.org/officeDocument/2006/relationships/hyperlink" Target="https://www.zhuoshi-tech.com" TargetMode="External"/><Relationship Id="rId482" Type="http://schemas.openxmlformats.org/officeDocument/2006/relationships/hyperlink" Target="https://playbook.com" TargetMode="External"/><Relationship Id="rId3012" Type="http://schemas.openxmlformats.org/officeDocument/2006/relationships/hyperlink" Target="https://www.adtalem.com" TargetMode="External"/><Relationship Id="rId481" Type="http://schemas.openxmlformats.org/officeDocument/2006/relationships/hyperlink" Target="https://smartschool.be" TargetMode="External"/><Relationship Id="rId3011" Type="http://schemas.openxmlformats.org/officeDocument/2006/relationships/hyperlink" Target="https://adroidex.com" TargetMode="External"/><Relationship Id="rId488" Type="http://schemas.openxmlformats.org/officeDocument/2006/relationships/hyperlink" Target="https://www.lecturio.com" TargetMode="External"/><Relationship Id="rId3014" Type="http://schemas.openxmlformats.org/officeDocument/2006/relationships/hyperlink" Target="https://aegroupindia.com" TargetMode="External"/><Relationship Id="rId487" Type="http://schemas.openxmlformats.org/officeDocument/2006/relationships/hyperlink" Target="https://kidaptive.com" TargetMode="External"/><Relationship Id="rId3013" Type="http://schemas.openxmlformats.org/officeDocument/2006/relationships/hyperlink" Target="https://advancedclinicaltraining.com" TargetMode="External"/><Relationship Id="rId486" Type="http://schemas.openxmlformats.org/officeDocument/2006/relationships/hyperlink" Target="https://www.neworiental.org" TargetMode="External"/><Relationship Id="rId3016" Type="http://schemas.openxmlformats.org/officeDocument/2006/relationships/hyperlink" Target="https://www.agilemind.com" TargetMode="External"/><Relationship Id="rId485" Type="http://schemas.openxmlformats.org/officeDocument/2006/relationships/hyperlink" Target="https://area9lyceum.com" TargetMode="External"/><Relationship Id="rId3015" Type="http://schemas.openxmlformats.org/officeDocument/2006/relationships/hyperlink" Target="https://aeclindia.com" TargetMode="External"/><Relationship Id="rId3007" Type="http://schemas.openxmlformats.org/officeDocument/2006/relationships/hyperlink" Target="https://www.actionet.com" TargetMode="External"/><Relationship Id="rId3006" Type="http://schemas.openxmlformats.org/officeDocument/2006/relationships/hyperlink" Target="https://acousticmemory.com" TargetMode="External"/><Relationship Id="rId3009" Type="http://schemas.openxmlformats.org/officeDocument/2006/relationships/hyperlink" Target="https://admitsure.com" TargetMode="External"/><Relationship Id="rId3008" Type="http://schemas.openxmlformats.org/officeDocument/2006/relationships/hyperlink" Target="https://actionify.com" TargetMode="External"/><Relationship Id="rId480" Type="http://schemas.openxmlformats.org/officeDocument/2006/relationships/hyperlink" Target="https://beepboop.ai" TargetMode="External"/><Relationship Id="rId479" Type="http://schemas.openxmlformats.org/officeDocument/2006/relationships/hyperlink" Target="https://kinnu.xyz" TargetMode="External"/><Relationship Id="rId478" Type="http://schemas.openxmlformats.org/officeDocument/2006/relationships/hyperlink" Target="https://noodlemarkets.com" TargetMode="External"/><Relationship Id="rId473" Type="http://schemas.openxmlformats.org/officeDocument/2006/relationships/hyperlink" Target="https://housingcloud.com" TargetMode="External"/><Relationship Id="rId472" Type="http://schemas.openxmlformats.org/officeDocument/2006/relationships/hyperlink" Target="https://www.creativelive.com" TargetMode="External"/><Relationship Id="rId471" Type="http://schemas.openxmlformats.org/officeDocument/2006/relationships/hyperlink" Target="https://www.noveleffect.com" TargetMode="External"/><Relationship Id="rId3001" Type="http://schemas.openxmlformats.org/officeDocument/2006/relationships/hyperlink" Target="https://acadally.com" TargetMode="External"/><Relationship Id="rId470" Type="http://schemas.openxmlformats.org/officeDocument/2006/relationships/hyperlink" Target="https://edcapit.com" TargetMode="External"/><Relationship Id="rId3000" Type="http://schemas.openxmlformats.org/officeDocument/2006/relationships/hyperlink" Target="https://abplearning.com" TargetMode="External"/><Relationship Id="rId477" Type="http://schemas.openxmlformats.org/officeDocument/2006/relationships/hyperlink" Target="https://symphome.com" TargetMode="External"/><Relationship Id="rId3003" Type="http://schemas.openxmlformats.org/officeDocument/2006/relationships/hyperlink" Target="https://academicpartnerships.com" TargetMode="External"/><Relationship Id="rId476" Type="http://schemas.openxmlformats.org/officeDocument/2006/relationships/hyperlink" Target="https://kadama.com" TargetMode="External"/><Relationship Id="rId3002" Type="http://schemas.openxmlformats.org/officeDocument/2006/relationships/hyperlink" Target="https://academian.com" TargetMode="External"/><Relationship Id="rId475" Type="http://schemas.openxmlformats.org/officeDocument/2006/relationships/hyperlink" Target="https://bodyswaps.co" TargetMode="External"/><Relationship Id="rId3005" Type="http://schemas.openxmlformats.org/officeDocument/2006/relationships/hyperlink" Target="https://accelerationacademies.org" TargetMode="External"/><Relationship Id="rId474" Type="http://schemas.openxmlformats.org/officeDocument/2006/relationships/hyperlink" Target="https://carousellearning.com" TargetMode="External"/><Relationship Id="rId3004" Type="http://schemas.openxmlformats.org/officeDocument/2006/relationships/hyperlink" Target="https://accelerate.education" TargetMode="External"/><Relationship Id="rId1257" Type="http://schemas.openxmlformats.org/officeDocument/2006/relationships/hyperlink" Target="https://www.allglobal.com" TargetMode="External"/><Relationship Id="rId2588" Type="http://schemas.openxmlformats.org/officeDocument/2006/relationships/hyperlink" Target="https://www.superizzy.ai" TargetMode="External"/><Relationship Id="rId1258" Type="http://schemas.openxmlformats.org/officeDocument/2006/relationships/hyperlink" Target="https://www.northvalleyprecision.com" TargetMode="External"/><Relationship Id="rId2589" Type="http://schemas.openxmlformats.org/officeDocument/2006/relationships/hyperlink" Target="https://www.xitaidata.com" TargetMode="External"/><Relationship Id="rId1259" Type="http://schemas.openxmlformats.org/officeDocument/2006/relationships/hyperlink" Target="https://www.clevr.ai" TargetMode="External"/><Relationship Id="rId426" Type="http://schemas.openxmlformats.org/officeDocument/2006/relationships/hyperlink" Target="https://lectera.com" TargetMode="External"/><Relationship Id="rId425" Type="http://schemas.openxmlformats.org/officeDocument/2006/relationships/hyperlink" Target="https://esai.ai" TargetMode="External"/><Relationship Id="rId424" Type="http://schemas.openxmlformats.org/officeDocument/2006/relationships/hyperlink" Target="https://ucademy.com" TargetMode="External"/><Relationship Id="rId423" Type="http://schemas.openxmlformats.org/officeDocument/2006/relationships/hyperlink" Target="https://glorang.com" TargetMode="External"/><Relationship Id="rId429" Type="http://schemas.openxmlformats.org/officeDocument/2006/relationships/hyperlink" Target="https://www.mosabi.com" TargetMode="External"/><Relationship Id="rId428" Type="http://schemas.openxmlformats.org/officeDocument/2006/relationships/hyperlink" Target="https://earlyday.com" TargetMode="External"/><Relationship Id="rId427" Type="http://schemas.openxmlformats.org/officeDocument/2006/relationships/hyperlink" Target="https://algooru.com" TargetMode="External"/><Relationship Id="rId2580" Type="http://schemas.openxmlformats.org/officeDocument/2006/relationships/hyperlink" Target="https://www.publicdata.com" TargetMode="External"/><Relationship Id="rId1250" Type="http://schemas.openxmlformats.org/officeDocument/2006/relationships/hyperlink" Target="https://www.qmetrx.com" TargetMode="External"/><Relationship Id="rId2581" Type="http://schemas.openxmlformats.org/officeDocument/2006/relationships/hyperlink" Target="https://www.quantumai.com" TargetMode="External"/><Relationship Id="rId1251" Type="http://schemas.openxmlformats.org/officeDocument/2006/relationships/hyperlink" Target="https://www.scytec.com" TargetMode="External"/><Relationship Id="rId2582" Type="http://schemas.openxmlformats.org/officeDocument/2006/relationships/hyperlink" Target="https://www.auditsu.com" TargetMode="External"/><Relationship Id="rId1252" Type="http://schemas.openxmlformats.org/officeDocument/2006/relationships/hyperlink" Target="https://www.irisrdgroup.com" TargetMode="External"/><Relationship Id="rId2583" Type="http://schemas.openxmlformats.org/officeDocument/2006/relationships/hyperlink" Target="https://www.panels.ai" TargetMode="External"/><Relationship Id="rId422" Type="http://schemas.openxmlformats.org/officeDocument/2006/relationships/hyperlink" Target="https://melscience.com" TargetMode="External"/><Relationship Id="rId1253" Type="http://schemas.openxmlformats.org/officeDocument/2006/relationships/hyperlink" Target="https://www.factonium.com" TargetMode="External"/><Relationship Id="rId2584" Type="http://schemas.openxmlformats.org/officeDocument/2006/relationships/hyperlink" Target="https://www.dataloop.ai" TargetMode="External"/><Relationship Id="rId421" Type="http://schemas.openxmlformats.org/officeDocument/2006/relationships/hyperlink" Target="https://authenticasolutions.com" TargetMode="External"/><Relationship Id="rId1254" Type="http://schemas.openxmlformats.org/officeDocument/2006/relationships/hyperlink" Target="https://www.escent.com" TargetMode="External"/><Relationship Id="rId2585" Type="http://schemas.openxmlformats.org/officeDocument/2006/relationships/hyperlink" Target="https://www.unlockland.com" TargetMode="External"/><Relationship Id="rId420" Type="http://schemas.openxmlformats.org/officeDocument/2006/relationships/hyperlink" Target="https://prepia.co" TargetMode="External"/><Relationship Id="rId1255" Type="http://schemas.openxmlformats.org/officeDocument/2006/relationships/hyperlink" Target="https://www.weldqc.com" TargetMode="External"/><Relationship Id="rId2586" Type="http://schemas.openxmlformats.org/officeDocument/2006/relationships/hyperlink" Target="https://www.afterquery.com" TargetMode="External"/><Relationship Id="rId1256" Type="http://schemas.openxmlformats.org/officeDocument/2006/relationships/hyperlink" Target="https://www.idsresearch.com" TargetMode="External"/><Relationship Id="rId2587" Type="http://schemas.openxmlformats.org/officeDocument/2006/relationships/hyperlink" Target="https://www.supportyourapp.com" TargetMode="External"/><Relationship Id="rId1246" Type="http://schemas.openxmlformats.org/officeDocument/2006/relationships/hyperlink" Target="https://www.task360.com" TargetMode="External"/><Relationship Id="rId2577" Type="http://schemas.openxmlformats.org/officeDocument/2006/relationships/hyperlink" Target="https://health.pingan.com" TargetMode="External"/><Relationship Id="rId1247" Type="http://schemas.openxmlformats.org/officeDocument/2006/relationships/hyperlink" Target="https://www.firetrol.net" TargetMode="External"/><Relationship Id="rId2578" Type="http://schemas.openxmlformats.org/officeDocument/2006/relationships/hyperlink" Target="https://www.nimbleway.com" TargetMode="External"/><Relationship Id="rId1248" Type="http://schemas.openxmlformats.org/officeDocument/2006/relationships/hyperlink" Target="https://www.webscraping.com" TargetMode="External"/><Relationship Id="rId2579" Type="http://schemas.openxmlformats.org/officeDocument/2006/relationships/hyperlink" Target="https://www.konnektu.com" TargetMode="External"/><Relationship Id="rId1249" Type="http://schemas.openxmlformats.org/officeDocument/2006/relationships/hyperlink" Target="https://www.reconmr.com" TargetMode="External"/><Relationship Id="rId415" Type="http://schemas.openxmlformats.org/officeDocument/2006/relationships/hyperlink" Target="https://cirkledin.com" TargetMode="External"/><Relationship Id="rId414" Type="http://schemas.openxmlformats.org/officeDocument/2006/relationships/hyperlink" Target="https://www.wuolah.com" TargetMode="External"/><Relationship Id="rId413" Type="http://schemas.openxmlformats.org/officeDocument/2006/relationships/hyperlink" Target="https://www.hootreading.com" TargetMode="External"/><Relationship Id="rId412" Type="http://schemas.openxmlformats.org/officeDocument/2006/relationships/hyperlink" Target="https://www.hyperiondev.com" TargetMode="External"/><Relationship Id="rId419" Type="http://schemas.openxmlformats.org/officeDocument/2006/relationships/hyperlink" Target="https://www.bluelearn.in" TargetMode="External"/><Relationship Id="rId418" Type="http://schemas.openxmlformats.org/officeDocument/2006/relationships/hyperlink" Target="https://www.turingcollege.com" TargetMode="External"/><Relationship Id="rId417" Type="http://schemas.openxmlformats.org/officeDocument/2006/relationships/hyperlink" Target="https://curipod.com" TargetMode="External"/><Relationship Id="rId416" Type="http://schemas.openxmlformats.org/officeDocument/2006/relationships/hyperlink" Target="https://uconnectlabs.com" TargetMode="External"/><Relationship Id="rId2570" Type="http://schemas.openxmlformats.org/officeDocument/2006/relationships/hyperlink" Target="https://www.deepnatural.ai" TargetMode="External"/><Relationship Id="rId1240" Type="http://schemas.openxmlformats.org/officeDocument/2006/relationships/hyperlink" Target="https://www.doforms.com" TargetMode="External"/><Relationship Id="rId2571" Type="http://schemas.openxmlformats.org/officeDocument/2006/relationships/hyperlink" Target="https://www.yev.ai" TargetMode="External"/><Relationship Id="rId1241" Type="http://schemas.openxmlformats.org/officeDocument/2006/relationships/hyperlink" Target="https://www.anaxee.com" TargetMode="External"/><Relationship Id="rId2572" Type="http://schemas.openxmlformats.org/officeDocument/2006/relationships/hyperlink" Target="https://www.dashrobotics.com" TargetMode="External"/><Relationship Id="rId411" Type="http://schemas.openxmlformats.org/officeDocument/2006/relationships/hyperlink" Target="https://edvisorly.com" TargetMode="External"/><Relationship Id="rId1242" Type="http://schemas.openxmlformats.org/officeDocument/2006/relationships/hyperlink" Target="https://www.researchconnect.com" TargetMode="External"/><Relationship Id="rId2573" Type="http://schemas.openxmlformats.org/officeDocument/2006/relationships/hyperlink" Target="https://www.neurasity.com" TargetMode="External"/><Relationship Id="rId410" Type="http://schemas.openxmlformats.org/officeDocument/2006/relationships/hyperlink" Target="https://ahura.ai" TargetMode="External"/><Relationship Id="rId1243" Type="http://schemas.openxmlformats.org/officeDocument/2006/relationships/hyperlink" Target="https://www.zerion.io" TargetMode="External"/><Relationship Id="rId2574" Type="http://schemas.openxmlformats.org/officeDocument/2006/relationships/hyperlink" Target="https://www.centaurlabs.com" TargetMode="External"/><Relationship Id="rId1244" Type="http://schemas.openxmlformats.org/officeDocument/2006/relationships/hyperlink" Target="https://www.phyle.com" TargetMode="External"/><Relationship Id="rId2575" Type="http://schemas.openxmlformats.org/officeDocument/2006/relationships/hyperlink" Target="https://www.taroworks.com" TargetMode="External"/><Relationship Id="rId1245" Type="http://schemas.openxmlformats.org/officeDocument/2006/relationships/hyperlink" Target="https://www.medical-note.com" TargetMode="External"/><Relationship Id="rId2576" Type="http://schemas.openxmlformats.org/officeDocument/2006/relationships/hyperlink" Target="https://www.sustainly.com" TargetMode="External"/><Relationship Id="rId1279" Type="http://schemas.openxmlformats.org/officeDocument/2006/relationships/hyperlink" Target="https://www.decisionpointresearch.com" TargetMode="External"/><Relationship Id="rId448" Type="http://schemas.openxmlformats.org/officeDocument/2006/relationships/hyperlink" Target="https://complori.com" TargetMode="External"/><Relationship Id="rId447" Type="http://schemas.openxmlformats.org/officeDocument/2006/relationships/hyperlink" Target="https://tutoredbyteachers.com" TargetMode="External"/><Relationship Id="rId446" Type="http://schemas.openxmlformats.org/officeDocument/2006/relationships/hyperlink" Target="https://electives.io" TargetMode="External"/><Relationship Id="rId445" Type="http://schemas.openxmlformats.org/officeDocument/2006/relationships/hyperlink" Target="https://particula.io" TargetMode="External"/><Relationship Id="rId449" Type="http://schemas.openxmlformats.org/officeDocument/2006/relationships/hyperlink" Target="https://acilearning.com" TargetMode="External"/><Relationship Id="rId1270" Type="http://schemas.openxmlformats.org/officeDocument/2006/relationships/hyperlink" Target="https://www.mktg.com" TargetMode="External"/><Relationship Id="rId440" Type="http://schemas.openxmlformats.org/officeDocument/2006/relationships/hyperlink" Target="https://twinscience.com" TargetMode="External"/><Relationship Id="rId1271" Type="http://schemas.openxmlformats.org/officeDocument/2006/relationships/hyperlink" Target="https://www.oculai.com" TargetMode="External"/><Relationship Id="rId1272" Type="http://schemas.openxmlformats.org/officeDocument/2006/relationships/hyperlink" Target="https://www.lemonai.com" TargetMode="External"/><Relationship Id="rId1273" Type="http://schemas.openxmlformats.org/officeDocument/2006/relationships/hyperlink" Target="https://www.traxid.com" TargetMode="External"/><Relationship Id="rId1274" Type="http://schemas.openxmlformats.org/officeDocument/2006/relationships/hyperlink" Target="https://www.sealandaire.com" TargetMode="External"/><Relationship Id="rId444" Type="http://schemas.openxmlformats.org/officeDocument/2006/relationships/hyperlink" Target="https://empowered.education" TargetMode="External"/><Relationship Id="rId1275" Type="http://schemas.openxmlformats.org/officeDocument/2006/relationships/hyperlink" Target="https://www.gallowayresearch.com" TargetMode="External"/><Relationship Id="rId443" Type="http://schemas.openxmlformats.org/officeDocument/2006/relationships/hyperlink" Target="https://digitaled.com" TargetMode="External"/><Relationship Id="rId1276" Type="http://schemas.openxmlformats.org/officeDocument/2006/relationships/hyperlink" Target="https://www.timeco.com" TargetMode="External"/><Relationship Id="rId442" Type="http://schemas.openxmlformats.org/officeDocument/2006/relationships/hyperlink" Target="https://proofofknowledge.com" TargetMode="External"/><Relationship Id="rId1277" Type="http://schemas.openxmlformats.org/officeDocument/2006/relationships/hyperlink" Target="https://www.hdfgroup.org" TargetMode="External"/><Relationship Id="rId441" Type="http://schemas.openxmlformats.org/officeDocument/2006/relationships/hyperlink" Target="https://frizzle.ai" TargetMode="External"/><Relationship Id="rId1278" Type="http://schemas.openxmlformats.org/officeDocument/2006/relationships/hyperlink" Target="https://www.wearerlabs.com" TargetMode="External"/><Relationship Id="rId1268" Type="http://schemas.openxmlformats.org/officeDocument/2006/relationships/hyperlink" Target="https://www.siskonautomation.com" TargetMode="External"/><Relationship Id="rId2599" Type="http://schemas.openxmlformats.org/officeDocument/2006/relationships/hyperlink" Target="https://www.formpl.us" TargetMode="External"/><Relationship Id="rId1269" Type="http://schemas.openxmlformats.org/officeDocument/2006/relationships/hyperlink" Target="https://www.ryminc.com" TargetMode="External"/><Relationship Id="rId437" Type="http://schemas.openxmlformats.org/officeDocument/2006/relationships/hyperlink" Target="https://getcourse.ru" TargetMode="External"/><Relationship Id="rId436" Type="http://schemas.openxmlformats.org/officeDocument/2006/relationships/hyperlink" Target="http://getcourse.ru" TargetMode="External"/><Relationship Id="rId435" Type="http://schemas.openxmlformats.org/officeDocument/2006/relationships/hyperlink" Target="https://smalltalk2.me" TargetMode="External"/><Relationship Id="rId434" Type="http://schemas.openxmlformats.org/officeDocument/2006/relationships/hyperlink" Target="http://smalltalk2.me" TargetMode="External"/><Relationship Id="rId439" Type="http://schemas.openxmlformats.org/officeDocument/2006/relationships/hyperlink" Target="https://linus.education" TargetMode="External"/><Relationship Id="rId438" Type="http://schemas.openxmlformats.org/officeDocument/2006/relationships/hyperlink" Target="https://atomlearning.com" TargetMode="External"/><Relationship Id="rId2590" Type="http://schemas.openxmlformats.org/officeDocument/2006/relationships/hyperlink" Target="https://www.pawa.ai" TargetMode="External"/><Relationship Id="rId1260" Type="http://schemas.openxmlformats.org/officeDocument/2006/relationships/hyperlink" Target="https://www.irbureau.com" TargetMode="External"/><Relationship Id="rId2591" Type="http://schemas.openxmlformats.org/officeDocument/2006/relationships/hyperlink" Target="https://www.eoitech.com" TargetMode="External"/><Relationship Id="rId1261" Type="http://schemas.openxmlformats.org/officeDocument/2006/relationships/hyperlink" Target="https://www.beemotion.ai" TargetMode="External"/><Relationship Id="rId2592" Type="http://schemas.openxmlformats.org/officeDocument/2006/relationships/hyperlink" Target="https://www.taojinyun.com" TargetMode="External"/><Relationship Id="rId1262" Type="http://schemas.openxmlformats.org/officeDocument/2006/relationships/hyperlink" Target="https://www.codecorp.com" TargetMode="External"/><Relationship Id="rId2593" Type="http://schemas.openxmlformats.org/officeDocument/2006/relationships/hyperlink" Target="https://www.abaka.ai" TargetMode="External"/><Relationship Id="rId1263" Type="http://schemas.openxmlformats.org/officeDocument/2006/relationships/hyperlink" Target="https://www.precisionopinion.com" TargetMode="External"/><Relationship Id="rId2594" Type="http://schemas.openxmlformats.org/officeDocument/2006/relationships/hyperlink" Target="https://www.carmino.com" TargetMode="External"/><Relationship Id="rId433" Type="http://schemas.openxmlformats.org/officeDocument/2006/relationships/hyperlink" Target="https://openmindlearning.com" TargetMode="External"/><Relationship Id="rId1264" Type="http://schemas.openxmlformats.org/officeDocument/2006/relationships/hyperlink" Target="https://www.qspgeo.com" TargetMode="External"/><Relationship Id="rId2595" Type="http://schemas.openxmlformats.org/officeDocument/2006/relationships/hyperlink" Target="https://www.troveo.ai" TargetMode="External"/><Relationship Id="rId432" Type="http://schemas.openxmlformats.org/officeDocument/2006/relationships/hyperlink" Target="https://www.learnerbly.com" TargetMode="External"/><Relationship Id="rId1265" Type="http://schemas.openxmlformats.org/officeDocument/2006/relationships/hyperlink" Target="https://www.jibunu.com" TargetMode="External"/><Relationship Id="rId2596" Type="http://schemas.openxmlformats.org/officeDocument/2006/relationships/hyperlink" Target="https://www.flikforge.com" TargetMode="External"/><Relationship Id="rId431" Type="http://schemas.openxmlformats.org/officeDocument/2006/relationships/hyperlink" Target="https://beyondpulse.com" TargetMode="External"/><Relationship Id="rId1266" Type="http://schemas.openxmlformats.org/officeDocument/2006/relationships/hyperlink" Target="https://www.spatialengineering.com" TargetMode="External"/><Relationship Id="rId2597" Type="http://schemas.openxmlformats.org/officeDocument/2006/relationships/hyperlink" Target="https://www.mesatechsys.com" TargetMode="External"/><Relationship Id="rId430" Type="http://schemas.openxmlformats.org/officeDocument/2006/relationships/hyperlink" Target="https://blokstechnology.com" TargetMode="External"/><Relationship Id="rId1267" Type="http://schemas.openxmlformats.org/officeDocument/2006/relationships/hyperlink" Target="https://www.tableflix.com" TargetMode="External"/><Relationship Id="rId2598" Type="http://schemas.openxmlformats.org/officeDocument/2006/relationships/hyperlink" Target="https://www.mayizhongbao.com" TargetMode="External"/><Relationship Id="rId3070" Type="http://schemas.openxmlformats.org/officeDocument/2006/relationships/hyperlink" Target="https://axelindia.org" TargetMode="External"/><Relationship Id="rId3072" Type="http://schemas.openxmlformats.org/officeDocument/2006/relationships/hyperlink" Target="https://axisteletherapy.com" TargetMode="External"/><Relationship Id="rId3071" Type="http://schemas.openxmlformats.org/officeDocument/2006/relationships/hyperlink" Target="https://axieducation.com" TargetMode="External"/><Relationship Id="rId3074" Type="http://schemas.openxmlformats.org/officeDocument/2006/relationships/hyperlink" Target="https://bfuhs.ac.in" TargetMode="External"/><Relationship Id="rId3073" Type="http://schemas.openxmlformats.org/officeDocument/2006/relationships/hyperlink" Target="https://www.axxces.com" TargetMode="External"/><Relationship Id="rId3076" Type="http://schemas.openxmlformats.org/officeDocument/2006/relationships/hyperlink" Target="https://www.barbri.com" TargetMode="External"/><Relationship Id="rId3075" Type="http://schemas.openxmlformats.org/officeDocument/2006/relationships/hyperlink" Target="https://ballisticlearning.com" TargetMode="External"/><Relationship Id="rId3078" Type="http://schemas.openxmlformats.org/officeDocument/2006/relationships/hyperlink" Target="https://www.bbcstudios.com" TargetMode="External"/><Relationship Id="rId3077" Type="http://schemas.openxmlformats.org/officeDocument/2006/relationships/hyperlink" Target="https://www.bartleby.com" TargetMode="External"/><Relationship Id="rId3079" Type="http://schemas.openxmlformats.org/officeDocument/2006/relationships/hyperlink" Target="https://bctschool.org" TargetMode="External"/><Relationship Id="rId3061" Type="http://schemas.openxmlformats.org/officeDocument/2006/relationships/hyperlink" Target="https://atalacademy.aicte-india.org" TargetMode="External"/><Relationship Id="rId3060" Type="http://schemas.openxmlformats.org/officeDocument/2006/relationships/hyperlink" Target="https://www.asugsvsummit.com" TargetMode="External"/><Relationship Id="rId3063" Type="http://schemas.openxmlformats.org/officeDocument/2006/relationships/hyperlink" Target="https://www.atlastraining.com" TargetMode="External"/><Relationship Id="rId3062" Type="http://schemas.openxmlformats.org/officeDocument/2006/relationships/hyperlink" Target="https://www.atkinsrealis.com" TargetMode="External"/><Relationship Id="rId3065" Type="http://schemas.openxmlformats.org/officeDocument/2006/relationships/hyperlink" Target="https://www.attc.org" TargetMode="External"/><Relationship Id="rId3064" Type="http://schemas.openxmlformats.org/officeDocument/2006/relationships/hyperlink" Target="https://www.atpstar.com" TargetMode="External"/><Relationship Id="rId3067" Type="http://schemas.openxmlformats.org/officeDocument/2006/relationships/hyperlink" Target="https://authenticlearninglabs.com" TargetMode="External"/><Relationship Id="rId3066" Type="http://schemas.openxmlformats.org/officeDocument/2006/relationships/hyperlink" Target="https://www.aurusinc.com" TargetMode="External"/><Relationship Id="rId3069" Type="http://schemas.openxmlformats.org/officeDocument/2006/relationships/hyperlink" Target="https://avidii.com" TargetMode="External"/><Relationship Id="rId3068" Type="http://schemas.openxmlformats.org/officeDocument/2006/relationships/hyperlink" Target="https://www.avetta.com" TargetMode="External"/><Relationship Id="rId3090" Type="http://schemas.openxmlformats.org/officeDocument/2006/relationships/hyperlink" Target="https://bharatshaktifoundation.org" TargetMode="External"/><Relationship Id="rId3092" Type="http://schemas.openxmlformats.org/officeDocument/2006/relationships/hyperlink" Target="https://bimsmetrix.com" TargetMode="External"/><Relationship Id="rId3091" Type="http://schemas.openxmlformats.org/officeDocument/2006/relationships/hyperlink" Target="https://www.bigideasmath.com" TargetMode="External"/><Relationship Id="rId3094" Type="http://schemas.openxmlformats.org/officeDocument/2006/relationships/hyperlink" Target="https://www.biorasi.com" TargetMode="External"/><Relationship Id="rId3093" Type="http://schemas.openxmlformats.org/officeDocument/2006/relationships/hyperlink" Target="https://binarymagnus.com" TargetMode="External"/><Relationship Id="rId3096" Type="http://schemas.openxmlformats.org/officeDocument/2006/relationships/hyperlink" Target="https://bizivox.com" TargetMode="External"/><Relationship Id="rId3095" Type="http://schemas.openxmlformats.org/officeDocument/2006/relationships/hyperlink" Target="https://www.bispsolutions.com" TargetMode="External"/><Relationship Id="rId3098" Type="http://schemas.openxmlformats.org/officeDocument/2006/relationships/hyperlink" Target="https://bklaleducation.com" TargetMode="External"/><Relationship Id="rId3097" Type="http://schemas.openxmlformats.org/officeDocument/2006/relationships/hyperlink" Target="https://www.bizlibrary.com" TargetMode="External"/><Relationship Id="rId3099" Type="http://schemas.openxmlformats.org/officeDocument/2006/relationships/hyperlink" Target="https://www.blackboard.com" TargetMode="External"/><Relationship Id="rId3081" Type="http://schemas.openxmlformats.org/officeDocument/2006/relationships/hyperlink" Target="https://becomingsuperhuman.com" TargetMode="External"/><Relationship Id="rId3080" Type="http://schemas.openxmlformats.org/officeDocument/2006/relationships/hyperlink" Target="https://www.beaconacademynevada.org" TargetMode="External"/><Relationship Id="rId3083" Type="http://schemas.openxmlformats.org/officeDocument/2006/relationships/hyperlink" Target="https://www.belcan.com" TargetMode="External"/><Relationship Id="rId3082" Type="http://schemas.openxmlformats.org/officeDocument/2006/relationships/hyperlink" Target="https://beginningcareer.com" TargetMode="External"/><Relationship Id="rId3085" Type="http://schemas.openxmlformats.org/officeDocument/2006/relationships/hyperlink" Target="https://www.benesse.co.in" TargetMode="External"/><Relationship Id="rId3084" Type="http://schemas.openxmlformats.org/officeDocument/2006/relationships/hyperlink" Target="https://www.benchprep.com" TargetMode="External"/><Relationship Id="rId3087" Type="http://schemas.openxmlformats.org/officeDocument/2006/relationships/hyperlink" Target="https://bootcamp.berkeley.edu" TargetMode="External"/><Relationship Id="rId3086" Type="http://schemas.openxmlformats.org/officeDocument/2006/relationships/hyperlink" Target="https://www.bennington.edu" TargetMode="External"/><Relationship Id="rId3089" Type="http://schemas.openxmlformats.org/officeDocument/2006/relationships/hyperlink" Target="https://bharalisacademy.com" TargetMode="External"/><Relationship Id="rId3088" Type="http://schemas.openxmlformats.org/officeDocument/2006/relationships/hyperlink" Target="https://bfedutech.com" TargetMode="External"/><Relationship Id="rId3039" Type="http://schemas.openxmlformats.org/officeDocument/2006/relationships/hyperlink" Target="https://ankyrin.com" TargetMode="External"/><Relationship Id="rId1" Type="http://schemas.openxmlformats.org/officeDocument/2006/relationships/hyperlink" Target="https://harmonic.fun/" TargetMode="External"/><Relationship Id="rId2" Type="http://schemas.openxmlformats.org/officeDocument/2006/relationships/hyperlink" Target="https://www.parallellearning.com" TargetMode="External"/><Relationship Id="rId3" Type="http://schemas.openxmlformats.org/officeDocument/2006/relationships/hyperlink" Target="https://www.multiverse.io" TargetMode="External"/><Relationship Id="rId4" Type="http://schemas.openxmlformats.org/officeDocument/2006/relationships/hyperlink" Target="https://www.d2l.com" TargetMode="External"/><Relationship Id="rId3030" Type="http://schemas.openxmlformats.org/officeDocument/2006/relationships/hyperlink" Target="https://www.alleninteractions.com" TargetMode="External"/><Relationship Id="rId9" Type="http://schemas.openxmlformats.org/officeDocument/2006/relationships/hyperlink" Target="https://www.maven.com" TargetMode="External"/><Relationship Id="rId3032" Type="http://schemas.openxmlformats.org/officeDocument/2006/relationships/hyperlink" Target="https://alwaysbestcare.com" TargetMode="External"/><Relationship Id="rId3031" Type="http://schemas.openxmlformats.org/officeDocument/2006/relationships/hyperlink" Target="https://www.almabetter.com" TargetMode="External"/><Relationship Id="rId3034" Type="http://schemas.openxmlformats.org/officeDocument/2006/relationships/hyperlink" Target="https://www.americanwatercollege.org" TargetMode="External"/><Relationship Id="rId3033" Type="http://schemas.openxmlformats.org/officeDocument/2006/relationships/hyperlink" Target="https://amandigitalagency.com" TargetMode="External"/><Relationship Id="rId5" Type="http://schemas.openxmlformats.org/officeDocument/2006/relationships/hyperlink" Target="https://www.upwards.net" TargetMode="External"/><Relationship Id="rId3036" Type="http://schemas.openxmlformats.org/officeDocument/2006/relationships/hyperlink" Target="https://amplify.com" TargetMode="External"/><Relationship Id="rId6" Type="http://schemas.openxmlformats.org/officeDocument/2006/relationships/hyperlink" Target="https://www.classdojo.com" TargetMode="External"/><Relationship Id="rId3035" Type="http://schemas.openxmlformats.org/officeDocument/2006/relationships/hyperlink" Target="https://amphisoft.com" TargetMode="External"/><Relationship Id="rId7" Type="http://schemas.openxmlformats.org/officeDocument/2006/relationships/hyperlink" Target="https://www.flintapp.org" TargetMode="External"/><Relationship Id="rId3038" Type="http://schemas.openxmlformats.org/officeDocument/2006/relationships/hyperlink" Target="https://angloscape.com" TargetMode="External"/><Relationship Id="rId8" Type="http://schemas.openxmlformats.org/officeDocument/2006/relationships/hyperlink" Target="https://oboe.education" TargetMode="External"/><Relationship Id="rId3037" Type="http://schemas.openxmlformats.org/officeDocument/2006/relationships/hyperlink" Target="https://www.analyticsvidhya.com" TargetMode="External"/><Relationship Id="rId3029" Type="http://schemas.openxmlformats.org/officeDocument/2006/relationships/hyperlink" Target="https://www.allen.ac.in" TargetMode="External"/><Relationship Id="rId3028" Type="http://schemas.openxmlformats.org/officeDocument/2006/relationships/hyperlink" Target="https://allenoverseas.com" TargetMode="External"/><Relationship Id="rId3021" Type="http://schemas.openxmlformats.org/officeDocument/2006/relationships/hyperlink" Target="https://aiuonline.edu" TargetMode="External"/><Relationship Id="rId3020" Type="http://schemas.openxmlformats.org/officeDocument/2006/relationships/hyperlink" Target="https://aimsdigital.com" TargetMode="External"/><Relationship Id="rId3023" Type="http://schemas.openxmlformats.org/officeDocument/2006/relationships/hyperlink" Target="https://aktoptimize.com" TargetMode="External"/><Relationship Id="rId3022" Type="http://schemas.openxmlformats.org/officeDocument/2006/relationships/hyperlink" Target="https://akshargyan.com" TargetMode="External"/><Relationship Id="rId3025" Type="http://schemas.openxmlformats.org/officeDocument/2006/relationships/hyperlink" Target="https://alertinfomedia.com" TargetMode="External"/><Relationship Id="rId3024" Type="http://schemas.openxmlformats.org/officeDocument/2006/relationships/hyperlink" Target="https://albert.io" TargetMode="External"/><Relationship Id="rId3027" Type="http://schemas.openxmlformats.org/officeDocument/2006/relationships/hyperlink" Target="https://allarium.com" TargetMode="External"/><Relationship Id="rId3026" Type="http://schemas.openxmlformats.org/officeDocument/2006/relationships/hyperlink" Target="https://www.newsonair.gov.in" TargetMode="External"/><Relationship Id="rId3050" Type="http://schemas.openxmlformats.org/officeDocument/2006/relationships/hyperlink" Target="https://ariseducation.org" TargetMode="External"/><Relationship Id="rId3052" Type="http://schemas.openxmlformats.org/officeDocument/2006/relationships/hyperlink" Target="https://aryanhr.com" TargetMode="External"/><Relationship Id="rId3051" Type="http://schemas.openxmlformats.org/officeDocument/2006/relationships/hyperlink" Target="https://www.arizonacollege.edu" TargetMode="External"/><Relationship Id="rId3054" Type="http://schemas.openxmlformats.org/officeDocument/2006/relationships/hyperlink" Target="https://www.assess.com" TargetMode="External"/><Relationship Id="rId3053" Type="http://schemas.openxmlformats.org/officeDocument/2006/relationships/hyperlink" Target="https://aspenpublishing.com" TargetMode="External"/><Relationship Id="rId3056" Type="http://schemas.openxmlformats.org/officeDocument/2006/relationships/hyperlink" Target="https://www.assignmentbuddy.com" TargetMode="External"/><Relationship Id="rId3055" Type="http://schemas.openxmlformats.org/officeDocument/2006/relationships/hyperlink" Target="http://assignmentbuddy.com" TargetMode="External"/><Relationship Id="rId3058" Type="http://schemas.openxmlformats.org/officeDocument/2006/relationships/hyperlink" Target="https://www.assumption.edu" TargetMode="External"/><Relationship Id="rId3057" Type="http://schemas.openxmlformats.org/officeDocument/2006/relationships/hyperlink" Target="https://assignmentsweb.com" TargetMode="External"/><Relationship Id="rId3059" Type="http://schemas.openxmlformats.org/officeDocument/2006/relationships/hyperlink" Target="https://www.asuprepdigital.org" TargetMode="External"/><Relationship Id="rId3041" Type="http://schemas.openxmlformats.org/officeDocument/2006/relationships/hyperlink" Target="https://www.ansrsource.com" TargetMode="External"/><Relationship Id="rId3040" Type="http://schemas.openxmlformats.org/officeDocument/2006/relationships/hyperlink" Target="https://ansoz.com" TargetMode="External"/><Relationship Id="rId3043" Type="http://schemas.openxmlformats.org/officeDocument/2006/relationships/hyperlink" Target="https://www.anthology.com" TargetMode="External"/><Relationship Id="rId3042" Type="http://schemas.openxmlformats.org/officeDocument/2006/relationships/hyperlink" Target="https://anstinetech.com" TargetMode="External"/><Relationship Id="rId3045" Type="http://schemas.openxmlformats.org/officeDocument/2006/relationships/hyperlink" Target="https://appositelearning.com" TargetMode="External"/><Relationship Id="rId3044" Type="http://schemas.openxmlformats.org/officeDocument/2006/relationships/hyperlink" Target="https://appliedscholastics.org" TargetMode="External"/><Relationship Id="rId3047" Type="http://schemas.openxmlformats.org/officeDocument/2006/relationships/hyperlink" Target="https://www.aptech-worldwide.com" TargetMode="External"/><Relationship Id="rId3046" Type="http://schemas.openxmlformats.org/officeDocument/2006/relationships/hyperlink" Target="https://www.aptaracorp.com" TargetMode="External"/><Relationship Id="rId3049" Type="http://schemas.openxmlformats.org/officeDocument/2006/relationships/hyperlink" Target="https://areteeminstitute.org" TargetMode="External"/><Relationship Id="rId3048" Type="http://schemas.openxmlformats.org/officeDocument/2006/relationships/hyperlink" Target="https://aquinasconsulting.com" TargetMode="External"/><Relationship Id="rId2600" Type="http://schemas.openxmlformats.org/officeDocument/2006/relationships/hyperlink" Target="https://www.biaodandashi.com" TargetMode="External"/><Relationship Id="rId2601" Type="http://schemas.openxmlformats.org/officeDocument/2006/relationships/hyperlink" Target="https://www.fancompass.com" TargetMode="External"/><Relationship Id="rId2602" Type="http://schemas.openxmlformats.org/officeDocument/2006/relationships/hyperlink" Target="https://www.datapull.com" TargetMode="External"/><Relationship Id="rId2603" Type="http://schemas.openxmlformats.org/officeDocument/2006/relationships/hyperlink" Target="https://www.outsidevoice.com" TargetMode="External"/><Relationship Id="rId2604" Type="http://schemas.openxmlformats.org/officeDocument/2006/relationships/hyperlink" Target="https://www.arimsys.com" TargetMode="External"/><Relationship Id="rId2605" Type="http://schemas.openxmlformats.org/officeDocument/2006/relationships/hyperlink" Target="https://www.vmatrix.com" TargetMode="External"/><Relationship Id="rId2606" Type="http://schemas.openxmlformats.org/officeDocument/2006/relationships/hyperlink" Target="https://www.anteo.ai" TargetMode="External"/><Relationship Id="rId808" Type="http://schemas.openxmlformats.org/officeDocument/2006/relationships/hyperlink" Target="https://www.utel.edu.mx" TargetMode="External"/><Relationship Id="rId2607" Type="http://schemas.openxmlformats.org/officeDocument/2006/relationships/hyperlink" Target="https://www.housingbase.com" TargetMode="External"/><Relationship Id="rId807" Type="http://schemas.openxmlformats.org/officeDocument/2006/relationships/hyperlink" Target="https://www.soundtrap.com" TargetMode="External"/><Relationship Id="rId2608" Type="http://schemas.openxmlformats.org/officeDocument/2006/relationships/hyperlink" Target="https://www.doordu.com" TargetMode="External"/><Relationship Id="rId806" Type="http://schemas.openxmlformats.org/officeDocument/2006/relationships/hyperlink" Target="https://intellectokids.com" TargetMode="External"/><Relationship Id="rId2609" Type="http://schemas.openxmlformats.org/officeDocument/2006/relationships/hyperlink" Target="https://www.airconnect.ai" TargetMode="External"/><Relationship Id="rId805" Type="http://schemas.openxmlformats.org/officeDocument/2006/relationships/hyperlink" Target="https://growappy.com" TargetMode="External"/><Relationship Id="rId809" Type="http://schemas.openxmlformats.org/officeDocument/2006/relationships/hyperlink" Target="https://sixup.com" TargetMode="External"/><Relationship Id="rId800" Type="http://schemas.openxmlformats.org/officeDocument/2006/relationships/hyperlink" Target="https://cerebry.co" TargetMode="External"/><Relationship Id="rId804" Type="http://schemas.openxmlformats.org/officeDocument/2006/relationships/hyperlink" Target="https://immersioned.com" TargetMode="External"/><Relationship Id="rId803" Type="http://schemas.openxmlformats.org/officeDocument/2006/relationships/hyperlink" Target="https://www.thinkful.com" TargetMode="External"/><Relationship Id="rId802" Type="http://schemas.openxmlformats.org/officeDocument/2006/relationships/hyperlink" Target="https://winuall.com" TargetMode="External"/><Relationship Id="rId801" Type="http://schemas.openxmlformats.org/officeDocument/2006/relationships/hyperlink" Target="https://gopeer.org" TargetMode="External"/><Relationship Id="rId1334" Type="http://schemas.openxmlformats.org/officeDocument/2006/relationships/hyperlink" Target="https://www.syniotec.com" TargetMode="External"/><Relationship Id="rId2665" Type="http://schemas.openxmlformats.org/officeDocument/2006/relationships/hyperlink" Target="https://www.bio-beat.com" TargetMode="External"/><Relationship Id="rId1335" Type="http://schemas.openxmlformats.org/officeDocument/2006/relationships/hyperlink" Target="https://www.rosresearch.com" TargetMode="External"/><Relationship Id="rId2666" Type="http://schemas.openxmlformats.org/officeDocument/2006/relationships/hyperlink" Target="https://www.objectways.com" TargetMode="External"/><Relationship Id="rId1336" Type="http://schemas.openxmlformats.org/officeDocument/2006/relationships/hyperlink" Target="https://www.questsampling.com" TargetMode="External"/><Relationship Id="rId2667" Type="http://schemas.openxmlformats.org/officeDocument/2006/relationships/hyperlink" Target="https://www.thingsboard.io" TargetMode="External"/><Relationship Id="rId1337" Type="http://schemas.openxmlformats.org/officeDocument/2006/relationships/hyperlink" Target="https://www.scale.com" TargetMode="External"/><Relationship Id="rId2668" Type="http://schemas.openxmlformats.org/officeDocument/2006/relationships/hyperlink" Target="https://www.xverum.com" TargetMode="External"/><Relationship Id="rId1338" Type="http://schemas.openxmlformats.org/officeDocument/2006/relationships/hyperlink" Target="https://www.sngresearch.com" TargetMode="External"/><Relationship Id="rId2669" Type="http://schemas.openxmlformats.org/officeDocument/2006/relationships/hyperlink" Target="https://www.autotco.com" TargetMode="External"/><Relationship Id="rId1339" Type="http://schemas.openxmlformats.org/officeDocument/2006/relationships/hyperlink" Target="https://www.abatools.com" TargetMode="External"/><Relationship Id="rId745" Type="http://schemas.openxmlformats.org/officeDocument/2006/relationships/hyperlink" Target="https://turingspace.com" TargetMode="External"/><Relationship Id="rId744" Type="http://schemas.openxmlformats.org/officeDocument/2006/relationships/hyperlink" Target="https://meitnerai.com" TargetMode="External"/><Relationship Id="rId743" Type="http://schemas.openxmlformats.org/officeDocument/2006/relationships/hyperlink" Target="https://withpath.com" TargetMode="External"/><Relationship Id="rId742" Type="http://schemas.openxmlformats.org/officeDocument/2006/relationships/hyperlink" Target="https://collegeguidancenetwork.com" TargetMode="External"/><Relationship Id="rId749" Type="http://schemas.openxmlformats.org/officeDocument/2006/relationships/hyperlink" Target="https://life-is-tech.com" TargetMode="External"/><Relationship Id="rId748" Type="http://schemas.openxmlformats.org/officeDocument/2006/relationships/hyperlink" Target="https://chefkoochooloo.com" TargetMode="External"/><Relationship Id="rId747" Type="http://schemas.openxmlformats.org/officeDocument/2006/relationships/hyperlink" Target="https://pustack.com" TargetMode="External"/><Relationship Id="rId746" Type="http://schemas.openxmlformats.org/officeDocument/2006/relationships/hyperlink" Target="https://creativegalileo.com" TargetMode="External"/><Relationship Id="rId2660" Type="http://schemas.openxmlformats.org/officeDocument/2006/relationships/hyperlink" Target="https://www.soax.com" TargetMode="External"/><Relationship Id="rId741" Type="http://schemas.openxmlformats.org/officeDocument/2006/relationships/hyperlink" Target="https://nkenne.com" TargetMode="External"/><Relationship Id="rId1330" Type="http://schemas.openxmlformats.org/officeDocument/2006/relationships/hyperlink" Target="https://www.diversifiedtechnologies.com" TargetMode="External"/><Relationship Id="rId2661" Type="http://schemas.openxmlformats.org/officeDocument/2006/relationships/hyperlink" Target="https://www.lxt.ai" TargetMode="External"/><Relationship Id="rId740" Type="http://schemas.openxmlformats.org/officeDocument/2006/relationships/hyperlink" Target="https://whalesbot.ai" TargetMode="External"/><Relationship Id="rId1331" Type="http://schemas.openxmlformats.org/officeDocument/2006/relationships/hyperlink" Target="https://www.halterix.com" TargetMode="External"/><Relationship Id="rId2662" Type="http://schemas.openxmlformats.org/officeDocument/2006/relationships/hyperlink" Target="https://www.datanest.com" TargetMode="External"/><Relationship Id="rId1332" Type="http://schemas.openxmlformats.org/officeDocument/2006/relationships/hyperlink" Target="https://www.emscharts.com" TargetMode="External"/><Relationship Id="rId2663" Type="http://schemas.openxmlformats.org/officeDocument/2006/relationships/hyperlink" Target="https://www.keymakr.com" TargetMode="External"/><Relationship Id="rId1333" Type="http://schemas.openxmlformats.org/officeDocument/2006/relationships/hyperlink" Target="https://www.fluentd.org" TargetMode="External"/><Relationship Id="rId2664" Type="http://schemas.openxmlformats.org/officeDocument/2006/relationships/hyperlink" Target="https://www.onenine.com" TargetMode="External"/><Relationship Id="rId1323" Type="http://schemas.openxmlformats.org/officeDocument/2006/relationships/hyperlink" Target="https://www.icerobotics.com" TargetMode="External"/><Relationship Id="rId2654" Type="http://schemas.openxmlformats.org/officeDocument/2006/relationships/hyperlink" Target="https://www.archive.org" TargetMode="External"/><Relationship Id="rId1324" Type="http://schemas.openxmlformats.org/officeDocument/2006/relationships/hyperlink" Target="https://www.signalengineering.com" TargetMode="External"/><Relationship Id="rId2655" Type="http://schemas.openxmlformats.org/officeDocument/2006/relationships/hyperlink" Target="https://www.pangeanic.com" TargetMode="External"/><Relationship Id="rId1325" Type="http://schemas.openxmlformats.org/officeDocument/2006/relationships/hyperlink" Target="https://www.amgenvironmental.com" TargetMode="External"/><Relationship Id="rId2656" Type="http://schemas.openxmlformats.org/officeDocument/2006/relationships/hyperlink" Target="https://www.grepr.com" TargetMode="External"/><Relationship Id="rId1326" Type="http://schemas.openxmlformats.org/officeDocument/2006/relationships/hyperlink" Target="https://www.leonardoimpact.com" TargetMode="External"/><Relationship Id="rId2657" Type="http://schemas.openxmlformats.org/officeDocument/2006/relationships/hyperlink" Target="https://www.retaildata.com" TargetMode="External"/><Relationship Id="rId1327" Type="http://schemas.openxmlformats.org/officeDocument/2006/relationships/hyperlink" Target="https://www.crowdai.org" TargetMode="External"/><Relationship Id="rId2658" Type="http://schemas.openxmlformats.org/officeDocument/2006/relationships/hyperlink" Target="https://www.neareo.com" TargetMode="External"/><Relationship Id="rId1328" Type="http://schemas.openxmlformats.org/officeDocument/2006/relationships/hyperlink" Target="https://www.piigab.com" TargetMode="External"/><Relationship Id="rId2659" Type="http://schemas.openxmlformats.org/officeDocument/2006/relationships/hyperlink" Target="https://www.agrobotics.com" TargetMode="External"/><Relationship Id="rId1329" Type="http://schemas.openxmlformats.org/officeDocument/2006/relationships/hyperlink" Target="https://www.startguides.com" TargetMode="External"/><Relationship Id="rId739" Type="http://schemas.openxmlformats.org/officeDocument/2006/relationships/hyperlink" Target="https://morningscore.io" TargetMode="External"/><Relationship Id="rId734" Type="http://schemas.openxmlformats.org/officeDocument/2006/relationships/hyperlink" Target="https://www.gostudent.org" TargetMode="External"/><Relationship Id="rId733" Type="http://schemas.openxmlformats.org/officeDocument/2006/relationships/hyperlink" Target="https://smashcut.ai" TargetMode="External"/><Relationship Id="rId732" Type="http://schemas.openxmlformats.org/officeDocument/2006/relationships/hyperlink" Target="https://www.smartstudy.com" TargetMode="External"/><Relationship Id="rId731" Type="http://schemas.openxmlformats.org/officeDocument/2006/relationships/hyperlink" Target="http://smartstudy.com" TargetMode="External"/><Relationship Id="rId738" Type="http://schemas.openxmlformats.org/officeDocument/2006/relationships/hyperlink" Target="https://soefia.com" TargetMode="External"/><Relationship Id="rId737" Type="http://schemas.openxmlformats.org/officeDocument/2006/relationships/hyperlink" Target="https://lumii.me" TargetMode="External"/><Relationship Id="rId736" Type="http://schemas.openxmlformats.org/officeDocument/2006/relationships/hyperlink" Target="http://lumii.me" TargetMode="External"/><Relationship Id="rId735" Type="http://schemas.openxmlformats.org/officeDocument/2006/relationships/hyperlink" Target="https://komodowellbeing.com" TargetMode="External"/><Relationship Id="rId730" Type="http://schemas.openxmlformats.org/officeDocument/2006/relationships/hyperlink" Target="https://edves.net" TargetMode="External"/><Relationship Id="rId2650" Type="http://schemas.openxmlformats.org/officeDocument/2006/relationships/hyperlink" Target="https://www.appen.com" TargetMode="External"/><Relationship Id="rId1320" Type="http://schemas.openxmlformats.org/officeDocument/2006/relationships/hyperlink" Target="https://www.syncora.ai" TargetMode="External"/><Relationship Id="rId2651" Type="http://schemas.openxmlformats.org/officeDocument/2006/relationships/hyperlink" Target="https://www.invigor.com.au" TargetMode="External"/><Relationship Id="rId1321" Type="http://schemas.openxmlformats.org/officeDocument/2006/relationships/hyperlink" Target="https://www.rosenthalresearch.com" TargetMode="External"/><Relationship Id="rId2652" Type="http://schemas.openxmlformats.org/officeDocument/2006/relationships/hyperlink" Target="https://www.aint.ai" TargetMode="External"/><Relationship Id="rId1322" Type="http://schemas.openxmlformats.org/officeDocument/2006/relationships/hyperlink" Target="https://www.californiasurveyresearch.com" TargetMode="External"/><Relationship Id="rId2653" Type="http://schemas.openxmlformats.org/officeDocument/2006/relationships/hyperlink" Target="https://www.ctrldata.com" TargetMode="External"/><Relationship Id="rId1356" Type="http://schemas.openxmlformats.org/officeDocument/2006/relationships/hyperlink" Target="http://mappa.ai" TargetMode="External"/><Relationship Id="rId2687" Type="http://schemas.openxmlformats.org/officeDocument/2006/relationships/hyperlink" Target="http://hub.xyz" TargetMode="External"/><Relationship Id="rId1357" Type="http://schemas.openxmlformats.org/officeDocument/2006/relationships/hyperlink" Target="https://www.mappa.ai" TargetMode="External"/><Relationship Id="rId2688" Type="http://schemas.openxmlformats.org/officeDocument/2006/relationships/hyperlink" Target="https://www.hub.xyz" TargetMode="External"/><Relationship Id="rId1358" Type="http://schemas.openxmlformats.org/officeDocument/2006/relationships/hyperlink" Target="https://www.storyline.ai" TargetMode="External"/><Relationship Id="rId2689" Type="http://schemas.openxmlformats.org/officeDocument/2006/relationships/hyperlink" Target="https://www.imapdata.com" TargetMode="External"/><Relationship Id="rId1359" Type="http://schemas.openxmlformats.org/officeDocument/2006/relationships/hyperlink" Target="https://www.zaam.ai" TargetMode="External"/><Relationship Id="rId767" Type="http://schemas.openxmlformats.org/officeDocument/2006/relationships/hyperlink" Target="https://hacku.io" TargetMode="External"/><Relationship Id="rId766" Type="http://schemas.openxmlformats.org/officeDocument/2006/relationships/hyperlink" Target="https://stylus.ai" TargetMode="External"/><Relationship Id="rId765" Type="http://schemas.openxmlformats.org/officeDocument/2006/relationships/hyperlink" Target="https://freewheelin.ai" TargetMode="External"/><Relationship Id="rId764" Type="http://schemas.openxmlformats.org/officeDocument/2006/relationships/hyperlink" Target="https://www.teacheron.com" TargetMode="External"/><Relationship Id="rId769" Type="http://schemas.openxmlformats.org/officeDocument/2006/relationships/hyperlink" Target="https://easy-tutor.com" TargetMode="External"/><Relationship Id="rId768" Type="http://schemas.openxmlformats.org/officeDocument/2006/relationships/hyperlink" Target="https://lingotalk.com" TargetMode="External"/><Relationship Id="rId2680" Type="http://schemas.openxmlformats.org/officeDocument/2006/relationships/hyperlink" Target="http://edgecase.ai" TargetMode="External"/><Relationship Id="rId1350" Type="http://schemas.openxmlformats.org/officeDocument/2006/relationships/hyperlink" Target="https://www.incharge.org" TargetMode="External"/><Relationship Id="rId2681" Type="http://schemas.openxmlformats.org/officeDocument/2006/relationships/hyperlink" Target="https://www.edgecase.ai" TargetMode="External"/><Relationship Id="rId1351" Type="http://schemas.openxmlformats.org/officeDocument/2006/relationships/hyperlink" Target="https://www.asicontrol.com" TargetMode="External"/><Relationship Id="rId2682" Type="http://schemas.openxmlformats.org/officeDocument/2006/relationships/hyperlink" Target="https://www.intellitrack.com" TargetMode="External"/><Relationship Id="rId763" Type="http://schemas.openxmlformats.org/officeDocument/2006/relationships/hyperlink" Target="http://teacheron.com" TargetMode="External"/><Relationship Id="rId1352" Type="http://schemas.openxmlformats.org/officeDocument/2006/relationships/hyperlink" Target="https://www.amrmarketresearch.com" TargetMode="External"/><Relationship Id="rId2683" Type="http://schemas.openxmlformats.org/officeDocument/2006/relationships/hyperlink" Target="https://www.ata-global.com" TargetMode="External"/><Relationship Id="rId762" Type="http://schemas.openxmlformats.org/officeDocument/2006/relationships/hyperlink" Target="https://classtechnologies.com" TargetMode="External"/><Relationship Id="rId1353" Type="http://schemas.openxmlformats.org/officeDocument/2006/relationships/hyperlink" Target="https://www.sms-group.com" TargetMode="External"/><Relationship Id="rId2684" Type="http://schemas.openxmlformats.org/officeDocument/2006/relationships/hyperlink" Target="https://www.smaregi.jp" TargetMode="External"/><Relationship Id="rId761" Type="http://schemas.openxmlformats.org/officeDocument/2006/relationships/hyperlink" Target="https://ciara.ai" TargetMode="External"/><Relationship Id="rId1354" Type="http://schemas.openxmlformats.org/officeDocument/2006/relationships/hyperlink" Target="https://www.waveformintelligence.com" TargetMode="External"/><Relationship Id="rId2685" Type="http://schemas.openxmlformats.org/officeDocument/2006/relationships/hyperlink" Target="https://www.octaneai.com" TargetMode="External"/><Relationship Id="rId760" Type="http://schemas.openxmlformats.org/officeDocument/2006/relationships/hyperlink" Target="https://paper.co" TargetMode="External"/><Relationship Id="rId1355" Type="http://schemas.openxmlformats.org/officeDocument/2006/relationships/hyperlink" Target="https://www.globalme.net" TargetMode="External"/><Relationship Id="rId2686" Type="http://schemas.openxmlformats.org/officeDocument/2006/relationships/hyperlink" Target="https://www.osazskin.com" TargetMode="External"/><Relationship Id="rId1345" Type="http://schemas.openxmlformats.org/officeDocument/2006/relationships/hyperlink" Target="https://www.greenbee.ai" TargetMode="External"/><Relationship Id="rId2676" Type="http://schemas.openxmlformats.org/officeDocument/2006/relationships/hyperlink" Target="https://www.vipvt.com" TargetMode="External"/><Relationship Id="rId1346" Type="http://schemas.openxmlformats.org/officeDocument/2006/relationships/hyperlink" Target="https://www.satra.com" TargetMode="External"/><Relationship Id="rId2677" Type="http://schemas.openxmlformats.org/officeDocument/2006/relationships/hyperlink" Target="https://www.ultrainfo.com" TargetMode="External"/><Relationship Id="rId1347" Type="http://schemas.openxmlformats.org/officeDocument/2006/relationships/hyperlink" Target="https://www.mindkosh.ai" TargetMode="External"/><Relationship Id="rId2678" Type="http://schemas.openxmlformats.org/officeDocument/2006/relationships/hyperlink" Target="https://www.magpi.com" TargetMode="External"/><Relationship Id="rId1348" Type="http://schemas.openxmlformats.org/officeDocument/2006/relationships/hyperlink" Target="https://www.madisonconsulting.com" TargetMode="External"/><Relationship Id="rId2679" Type="http://schemas.openxmlformats.org/officeDocument/2006/relationships/hyperlink" Target="https://www.walr.com" TargetMode="External"/><Relationship Id="rId1349" Type="http://schemas.openxmlformats.org/officeDocument/2006/relationships/hyperlink" Target="https://www.sato-europe.com" TargetMode="External"/><Relationship Id="rId756" Type="http://schemas.openxmlformats.org/officeDocument/2006/relationships/hyperlink" Target="https://ashna.ai" TargetMode="External"/><Relationship Id="rId755" Type="http://schemas.openxmlformats.org/officeDocument/2006/relationships/hyperlink" Target="https://xunlocked.com" TargetMode="External"/><Relationship Id="rId754" Type="http://schemas.openxmlformats.org/officeDocument/2006/relationships/hyperlink" Target="https://edsoma.com" TargetMode="External"/><Relationship Id="rId753" Type="http://schemas.openxmlformats.org/officeDocument/2006/relationships/hyperlink" Target="https://practice.xyz" TargetMode="External"/><Relationship Id="rId759" Type="http://schemas.openxmlformats.org/officeDocument/2006/relationships/hyperlink" Target="https://pineappleacademy.co" TargetMode="External"/><Relationship Id="rId758" Type="http://schemas.openxmlformats.org/officeDocument/2006/relationships/hyperlink" Target="https://zillyplanet.com" TargetMode="External"/><Relationship Id="rId757" Type="http://schemas.openxmlformats.org/officeDocument/2006/relationships/hyperlink" Target="https://kamina.ai" TargetMode="External"/><Relationship Id="rId2670" Type="http://schemas.openxmlformats.org/officeDocument/2006/relationships/hyperlink" Target="https://www.showcaseinsights.com" TargetMode="External"/><Relationship Id="rId1340" Type="http://schemas.openxmlformats.org/officeDocument/2006/relationships/hyperlink" Target="https://www.origogroup.com" TargetMode="External"/><Relationship Id="rId2671" Type="http://schemas.openxmlformats.org/officeDocument/2006/relationships/hyperlink" Target="https://www.wilkinsresearch.com" TargetMode="External"/><Relationship Id="rId752" Type="http://schemas.openxmlformats.org/officeDocument/2006/relationships/hyperlink" Target="https://uplanner.com" TargetMode="External"/><Relationship Id="rId1341" Type="http://schemas.openxmlformats.org/officeDocument/2006/relationships/hyperlink" Target="https://www.feeds.ai" TargetMode="External"/><Relationship Id="rId2672" Type="http://schemas.openxmlformats.org/officeDocument/2006/relationships/hyperlink" Target="https://www.schneidergis.com" TargetMode="External"/><Relationship Id="rId751" Type="http://schemas.openxmlformats.org/officeDocument/2006/relationships/hyperlink" Target="https://develhope.co" TargetMode="External"/><Relationship Id="rId1342" Type="http://schemas.openxmlformats.org/officeDocument/2006/relationships/hyperlink" Target="https://www.argossci.com" TargetMode="External"/><Relationship Id="rId2673" Type="http://schemas.openxmlformats.org/officeDocument/2006/relationships/hyperlink" Target="https://www.arisdata.com" TargetMode="External"/><Relationship Id="rId750" Type="http://schemas.openxmlformats.org/officeDocument/2006/relationships/hyperlink" Target="https://www.afya.com.br" TargetMode="External"/><Relationship Id="rId1343" Type="http://schemas.openxmlformats.org/officeDocument/2006/relationships/hyperlink" Target="https://www.franklindataventures.com" TargetMode="External"/><Relationship Id="rId2674" Type="http://schemas.openxmlformats.org/officeDocument/2006/relationships/hyperlink" Target="https://www.helpware.com" TargetMode="External"/><Relationship Id="rId1344" Type="http://schemas.openxmlformats.org/officeDocument/2006/relationships/hyperlink" Target="https://www.tekwavesolutions.com" TargetMode="External"/><Relationship Id="rId2675" Type="http://schemas.openxmlformats.org/officeDocument/2006/relationships/hyperlink" Target="https://www.sato-global.com" TargetMode="External"/><Relationship Id="rId2621" Type="http://schemas.openxmlformats.org/officeDocument/2006/relationships/hyperlink" Target="https://www.granularinsights.com" TargetMode="External"/><Relationship Id="rId2622" Type="http://schemas.openxmlformats.org/officeDocument/2006/relationships/hyperlink" Target="https://www.kangyunhulian.com" TargetMode="External"/><Relationship Id="rId2623" Type="http://schemas.openxmlformats.org/officeDocument/2006/relationships/hyperlink" Target="https://www.wellaware.com" TargetMode="External"/><Relationship Id="rId2624" Type="http://schemas.openxmlformats.org/officeDocument/2006/relationships/hyperlink" Target="https://www.urbandatacollective.org" TargetMode="External"/><Relationship Id="rId2625" Type="http://schemas.openxmlformats.org/officeDocument/2006/relationships/hyperlink" Target="https://www.connexicore.com" TargetMode="External"/><Relationship Id="rId2626" Type="http://schemas.openxmlformats.org/officeDocument/2006/relationships/hyperlink" Target="https://www.humansignal.com" TargetMode="External"/><Relationship Id="rId2627" Type="http://schemas.openxmlformats.org/officeDocument/2006/relationships/hyperlink" Target="https://www.metrolla.com" TargetMode="External"/><Relationship Id="rId2628" Type="http://schemas.openxmlformats.org/officeDocument/2006/relationships/hyperlink" Target="http://super.ai" TargetMode="External"/><Relationship Id="rId709" Type="http://schemas.openxmlformats.org/officeDocument/2006/relationships/hyperlink" Target="https://kimo.ai" TargetMode="External"/><Relationship Id="rId2629" Type="http://schemas.openxmlformats.org/officeDocument/2006/relationships/hyperlink" Target="https://www.super.ai" TargetMode="External"/><Relationship Id="rId708" Type="http://schemas.openxmlformats.org/officeDocument/2006/relationships/hyperlink" Target="https://integem.com" TargetMode="External"/><Relationship Id="rId707" Type="http://schemas.openxmlformats.org/officeDocument/2006/relationships/hyperlink" Target="https://makers.tech" TargetMode="External"/><Relationship Id="rId706" Type="http://schemas.openxmlformats.org/officeDocument/2006/relationships/hyperlink" Target="https://coursedog.com" TargetMode="External"/><Relationship Id="rId701" Type="http://schemas.openxmlformats.org/officeDocument/2006/relationships/hyperlink" Target="https://zicklearn.com" TargetMode="External"/><Relationship Id="rId700" Type="http://schemas.openxmlformats.org/officeDocument/2006/relationships/hyperlink" Target="https://www.kaochong.com" TargetMode="External"/><Relationship Id="rId705" Type="http://schemas.openxmlformats.org/officeDocument/2006/relationships/hyperlink" Target="https://terminal.com" TargetMode="External"/><Relationship Id="rId704" Type="http://schemas.openxmlformats.org/officeDocument/2006/relationships/hyperlink" Target="http://terminal.com" TargetMode="External"/><Relationship Id="rId703" Type="http://schemas.openxmlformats.org/officeDocument/2006/relationships/hyperlink" Target="https://pointavenue.com" TargetMode="External"/><Relationship Id="rId702" Type="http://schemas.openxmlformats.org/officeDocument/2006/relationships/hyperlink" Target="https://learnzillion.com" TargetMode="External"/><Relationship Id="rId2620" Type="http://schemas.openxmlformats.org/officeDocument/2006/relationships/hyperlink" Target="https://www.browsi.com" TargetMode="External"/><Relationship Id="rId2610" Type="http://schemas.openxmlformats.org/officeDocument/2006/relationships/hyperlink" Target="https://www.24x7offshoring.com" TargetMode="External"/><Relationship Id="rId2611" Type="http://schemas.openxmlformats.org/officeDocument/2006/relationships/hyperlink" Target="https://www.health-connected.com" TargetMode="External"/><Relationship Id="rId2612" Type="http://schemas.openxmlformats.org/officeDocument/2006/relationships/hyperlink" Target="https://www.swiftsight.ai" TargetMode="External"/><Relationship Id="rId2613" Type="http://schemas.openxmlformats.org/officeDocument/2006/relationships/hyperlink" Target="https://www.atdata.com" TargetMode="External"/><Relationship Id="rId2614" Type="http://schemas.openxmlformats.org/officeDocument/2006/relationships/hyperlink" Target="https://www.eleka.com" TargetMode="External"/><Relationship Id="rId2615" Type="http://schemas.openxmlformats.org/officeDocument/2006/relationships/hyperlink" Target="http://moneyball.ai" TargetMode="External"/><Relationship Id="rId2616" Type="http://schemas.openxmlformats.org/officeDocument/2006/relationships/hyperlink" Target="https://www.moneyball.ai" TargetMode="External"/><Relationship Id="rId2617" Type="http://schemas.openxmlformats.org/officeDocument/2006/relationships/hyperlink" Target="https://www.aisnetwork.com" TargetMode="External"/><Relationship Id="rId2618" Type="http://schemas.openxmlformats.org/officeDocument/2006/relationships/hyperlink" Target="https://www.therapieces.com" TargetMode="External"/><Relationship Id="rId2619" Type="http://schemas.openxmlformats.org/officeDocument/2006/relationships/hyperlink" Target="https://www.utrigg.com" TargetMode="External"/><Relationship Id="rId1312" Type="http://schemas.openxmlformats.org/officeDocument/2006/relationships/hyperlink" Target="https://www.mobulalabs.com" TargetMode="External"/><Relationship Id="rId2643" Type="http://schemas.openxmlformats.org/officeDocument/2006/relationships/hyperlink" Target="https://www.quera.com" TargetMode="External"/><Relationship Id="rId1313" Type="http://schemas.openxmlformats.org/officeDocument/2006/relationships/hyperlink" Target="https://www.steadysense.com" TargetMode="External"/><Relationship Id="rId2644" Type="http://schemas.openxmlformats.org/officeDocument/2006/relationships/hyperlink" Target="https://www.erud.ai" TargetMode="External"/><Relationship Id="rId1314" Type="http://schemas.openxmlformats.org/officeDocument/2006/relationships/hyperlink" Target="https://www.ayadata.ai" TargetMode="External"/><Relationship Id="rId2645" Type="http://schemas.openxmlformats.org/officeDocument/2006/relationships/hyperlink" Target="https://www.sigma-ai.com" TargetMode="External"/><Relationship Id="rId1315" Type="http://schemas.openxmlformats.org/officeDocument/2006/relationships/hyperlink" Target="https://www.arraycorp.com" TargetMode="External"/><Relationship Id="rId2646" Type="http://schemas.openxmlformats.org/officeDocument/2006/relationships/hyperlink" Target="https://www.shaip.com" TargetMode="External"/><Relationship Id="rId1316" Type="http://schemas.openxmlformats.org/officeDocument/2006/relationships/hyperlink" Target="https://www.xurveykshan.com" TargetMode="External"/><Relationship Id="rId2647" Type="http://schemas.openxmlformats.org/officeDocument/2006/relationships/hyperlink" Target="https://www.parados.ai" TargetMode="External"/><Relationship Id="rId1317" Type="http://schemas.openxmlformats.org/officeDocument/2006/relationships/hyperlink" Target="https://www.c23research.com" TargetMode="External"/><Relationship Id="rId2648" Type="http://schemas.openxmlformats.org/officeDocument/2006/relationships/hyperlink" Target="https://www.physisinvest.com" TargetMode="External"/><Relationship Id="rId1318" Type="http://schemas.openxmlformats.org/officeDocument/2006/relationships/hyperlink" Target="https://www.atimo.nl" TargetMode="External"/><Relationship Id="rId2649" Type="http://schemas.openxmlformats.org/officeDocument/2006/relationships/hyperlink" Target="https://www.sillonblue.com" TargetMode="External"/><Relationship Id="rId1319" Type="http://schemas.openxmlformats.org/officeDocument/2006/relationships/hyperlink" Target="https://www.writeresult.com" TargetMode="External"/><Relationship Id="rId729" Type="http://schemas.openxmlformats.org/officeDocument/2006/relationships/hyperlink" Target="https://woostudy.com" TargetMode="External"/><Relationship Id="rId728" Type="http://schemas.openxmlformats.org/officeDocument/2006/relationships/hyperlink" Target="https://www.neverware.com" TargetMode="External"/><Relationship Id="rId723" Type="http://schemas.openxmlformats.org/officeDocument/2006/relationships/hyperlink" Target="https://teamsatchel.com" TargetMode="External"/><Relationship Id="rId722" Type="http://schemas.openxmlformats.org/officeDocument/2006/relationships/hyperlink" Target="https://simplestudy.io" TargetMode="External"/><Relationship Id="rId721" Type="http://schemas.openxmlformats.org/officeDocument/2006/relationships/hyperlink" Target="https://creanovation.com" TargetMode="External"/><Relationship Id="rId720" Type="http://schemas.openxmlformats.org/officeDocument/2006/relationships/hyperlink" Target="https://ovida.io" TargetMode="External"/><Relationship Id="rId727" Type="http://schemas.openxmlformats.org/officeDocument/2006/relationships/hyperlink" Target="https://stimy.ai" TargetMode="External"/><Relationship Id="rId726" Type="http://schemas.openxmlformats.org/officeDocument/2006/relationships/hyperlink" Target="https://aqai.io" TargetMode="External"/><Relationship Id="rId725" Type="http://schemas.openxmlformats.org/officeDocument/2006/relationships/hyperlink" Target="https://www.usebraintrust.com" TargetMode="External"/><Relationship Id="rId724" Type="http://schemas.openxmlformats.org/officeDocument/2006/relationships/hyperlink" Target="https://construkts.com" TargetMode="External"/><Relationship Id="rId2640" Type="http://schemas.openxmlformats.org/officeDocument/2006/relationships/hyperlink" Target="https://www.hanoverpark.com" TargetMode="External"/><Relationship Id="rId1310" Type="http://schemas.openxmlformats.org/officeDocument/2006/relationships/hyperlink" Target="https://www.amalthea-group.com" TargetMode="External"/><Relationship Id="rId2641" Type="http://schemas.openxmlformats.org/officeDocument/2006/relationships/hyperlink" Target="https://www.isg-one.com" TargetMode="External"/><Relationship Id="rId1311" Type="http://schemas.openxmlformats.org/officeDocument/2006/relationships/hyperlink" Target="https://www.datacanservices.com" TargetMode="External"/><Relationship Id="rId2642" Type="http://schemas.openxmlformats.org/officeDocument/2006/relationships/hyperlink" Target="https://www.innotechinsights.com" TargetMode="External"/><Relationship Id="rId1301" Type="http://schemas.openxmlformats.org/officeDocument/2006/relationships/hyperlink" Target="https://www.affinitygs.com" TargetMode="External"/><Relationship Id="rId2632" Type="http://schemas.openxmlformats.org/officeDocument/2006/relationships/hyperlink" Target="https://www.cogitotech.com" TargetMode="External"/><Relationship Id="rId1302" Type="http://schemas.openxmlformats.org/officeDocument/2006/relationships/hyperlink" Target="https://www.mcaleads.com" TargetMode="External"/><Relationship Id="rId2633" Type="http://schemas.openxmlformats.org/officeDocument/2006/relationships/hyperlink" Target="https://www.nrds.com" TargetMode="External"/><Relationship Id="rId1303" Type="http://schemas.openxmlformats.org/officeDocument/2006/relationships/hyperlink" Target="https://www.surveyanalytics.com" TargetMode="External"/><Relationship Id="rId2634" Type="http://schemas.openxmlformats.org/officeDocument/2006/relationships/hyperlink" Target="https://www.goliathaero.com" TargetMode="External"/><Relationship Id="rId1304" Type="http://schemas.openxmlformats.org/officeDocument/2006/relationships/hyperlink" Target="https://www.wovu.ai" TargetMode="External"/><Relationship Id="rId2635" Type="http://schemas.openxmlformats.org/officeDocument/2006/relationships/hyperlink" Target="https://www.aviationview.com" TargetMode="External"/><Relationship Id="rId1305" Type="http://schemas.openxmlformats.org/officeDocument/2006/relationships/hyperlink" Target="https://www.crsdata.com" TargetMode="External"/><Relationship Id="rId2636" Type="http://schemas.openxmlformats.org/officeDocument/2006/relationships/hyperlink" Target="https://www.xocean.com" TargetMode="External"/><Relationship Id="rId1306" Type="http://schemas.openxmlformats.org/officeDocument/2006/relationships/hyperlink" Target="https://www.southerntrafficservices.com" TargetMode="External"/><Relationship Id="rId2637" Type="http://schemas.openxmlformats.org/officeDocument/2006/relationships/hyperlink" Target="http://omica.ai" TargetMode="External"/><Relationship Id="rId1307" Type="http://schemas.openxmlformats.org/officeDocument/2006/relationships/hyperlink" Target="https://www.zhuge.com" TargetMode="External"/><Relationship Id="rId2638" Type="http://schemas.openxmlformats.org/officeDocument/2006/relationships/hyperlink" Target="https://www.omica.ai" TargetMode="External"/><Relationship Id="rId1308" Type="http://schemas.openxmlformats.org/officeDocument/2006/relationships/hyperlink" Target="https://www.bluemeta.com" TargetMode="External"/><Relationship Id="rId2639" Type="http://schemas.openxmlformats.org/officeDocument/2006/relationships/hyperlink" Target="https://www.byte.ai" TargetMode="External"/><Relationship Id="rId1309" Type="http://schemas.openxmlformats.org/officeDocument/2006/relationships/hyperlink" Target="https://www.korrel8.com" TargetMode="External"/><Relationship Id="rId719" Type="http://schemas.openxmlformats.org/officeDocument/2006/relationships/hyperlink" Target="https://substrate.ai" TargetMode="External"/><Relationship Id="rId718" Type="http://schemas.openxmlformats.org/officeDocument/2006/relationships/hyperlink" Target="https://www.iitb.ac.in" TargetMode="External"/><Relationship Id="rId717" Type="http://schemas.openxmlformats.org/officeDocument/2006/relationships/hyperlink" Target="https://biiu.com" TargetMode="External"/><Relationship Id="rId712" Type="http://schemas.openxmlformats.org/officeDocument/2006/relationships/hyperlink" Target="https://www.sanjieke.cn" TargetMode="External"/><Relationship Id="rId711" Type="http://schemas.openxmlformats.org/officeDocument/2006/relationships/hyperlink" Target="https://paperboxhealth.com" TargetMode="External"/><Relationship Id="rId710" Type="http://schemas.openxmlformats.org/officeDocument/2006/relationships/hyperlink" Target="https://greenworkx.org" TargetMode="External"/><Relationship Id="rId716" Type="http://schemas.openxmlformats.org/officeDocument/2006/relationships/hyperlink" Target="https://byjus.com" TargetMode="External"/><Relationship Id="rId715" Type="http://schemas.openxmlformats.org/officeDocument/2006/relationships/hyperlink" Target="https://www.idra.org" TargetMode="External"/><Relationship Id="rId714" Type="http://schemas.openxmlformats.org/officeDocument/2006/relationships/hyperlink" Target="https://junilearning.com" TargetMode="External"/><Relationship Id="rId713" Type="http://schemas.openxmlformats.org/officeDocument/2006/relationships/hyperlink" Target="https://www.cadmus.io" TargetMode="External"/><Relationship Id="rId2630" Type="http://schemas.openxmlformats.org/officeDocument/2006/relationships/hyperlink" Target="https://www.dasbox.ai" TargetMode="External"/><Relationship Id="rId1300" Type="http://schemas.openxmlformats.org/officeDocument/2006/relationships/hyperlink" Target="https://www.getyourprospect.com" TargetMode="External"/><Relationship Id="rId2631" Type="http://schemas.openxmlformats.org/officeDocument/2006/relationships/hyperlink" Target="https://www.brandandlabel.com" TargetMode="External"/><Relationship Id="rId3117" Type="http://schemas.openxmlformats.org/officeDocument/2006/relationships/hyperlink" Target="https://www.brioelabs.com" TargetMode="External"/><Relationship Id="rId3116" Type="http://schemas.openxmlformats.org/officeDocument/2006/relationships/hyperlink" Target="https://brightchamps.com" TargetMode="External"/><Relationship Id="rId3119" Type="http://schemas.openxmlformats.org/officeDocument/2006/relationships/hyperlink" Target="https://www.business-science.io" TargetMode="External"/><Relationship Id="rId3118" Type="http://schemas.openxmlformats.org/officeDocument/2006/relationships/hyperlink" Target="https://bulbapp.com" TargetMode="External"/><Relationship Id="rId3111" Type="http://schemas.openxmlformats.org/officeDocument/2006/relationships/hyperlink" Target="https://brainstem.org" TargetMode="External"/><Relationship Id="rId3110" Type="http://schemas.openxmlformats.org/officeDocument/2006/relationships/hyperlink" Target="https://www.brainpop.com" TargetMode="External"/><Relationship Id="rId3113" Type="http://schemas.openxmlformats.org/officeDocument/2006/relationships/hyperlink" Target="https://www.brandonhall.com" TargetMode="External"/><Relationship Id="rId3112" Type="http://schemas.openxmlformats.org/officeDocument/2006/relationships/hyperlink" Target="https://brandeducation.com" TargetMode="External"/><Relationship Id="rId3115" Type="http://schemas.openxmlformats.org/officeDocument/2006/relationships/hyperlink" Target="https://brewinideas.com" TargetMode="External"/><Relationship Id="rId3114" Type="http://schemas.openxmlformats.org/officeDocument/2006/relationships/hyperlink" Target="https://brenebrown.com" TargetMode="External"/><Relationship Id="rId3106" Type="http://schemas.openxmlformats.org/officeDocument/2006/relationships/hyperlink" Target="https://www.bluedragonips.com" TargetMode="External"/><Relationship Id="rId3105" Type="http://schemas.openxmlformats.org/officeDocument/2006/relationships/hyperlink" Target="https://bluecubeit.com" TargetMode="External"/><Relationship Id="rId3108" Type="http://schemas.openxmlformats.org/officeDocument/2006/relationships/hyperlink" Target="https://bombayteenchallenge.org" TargetMode="External"/><Relationship Id="rId3107" Type="http://schemas.openxmlformats.org/officeDocument/2006/relationships/hyperlink" Target="https://blueprintprep.com" TargetMode="External"/><Relationship Id="rId3109" Type="http://schemas.openxmlformats.org/officeDocument/2006/relationships/hyperlink" Target="https://www.bostonsoftwares.com" TargetMode="External"/><Relationship Id="rId3100" Type="http://schemas.openxmlformats.org/officeDocument/2006/relationships/hyperlink" Target="https://blackcatacademy.in" TargetMode="External"/><Relationship Id="rId3102" Type="http://schemas.openxmlformats.org/officeDocument/2006/relationships/hyperlink" Target="https://blitzlearning.in" TargetMode="External"/><Relationship Id="rId3101" Type="http://schemas.openxmlformats.org/officeDocument/2006/relationships/hyperlink" Target="https://blezgo.com" TargetMode="External"/><Relationship Id="rId3104" Type="http://schemas.openxmlformats.org/officeDocument/2006/relationships/hyperlink" Target="https://www.mangahigh.com" TargetMode="External"/><Relationship Id="rId3103" Type="http://schemas.openxmlformats.org/officeDocument/2006/relationships/hyperlink" Target="https://www.blueacornici.com" TargetMode="External"/><Relationship Id="rId3139" Type="http://schemas.openxmlformats.org/officeDocument/2006/relationships/hyperlink" Target="https://careercertified.com" TargetMode="External"/><Relationship Id="rId3138" Type="http://schemas.openxmlformats.org/officeDocument/2006/relationships/hyperlink" Target="https://carecourses.com" TargetMode="External"/><Relationship Id="rId3131" Type="http://schemas.openxmlformats.org/officeDocument/2006/relationships/hyperlink" Target="https://www.cambiumlearning.com" TargetMode="External"/><Relationship Id="rId3130" Type="http://schemas.openxmlformats.org/officeDocument/2006/relationships/hyperlink" Target="https://www.cambiumassessment.com" TargetMode="External"/><Relationship Id="rId3133" Type="http://schemas.openxmlformats.org/officeDocument/2006/relationships/hyperlink" Target="https://www.cambridgeassessment.org.uk" TargetMode="External"/><Relationship Id="rId3132" Type="http://schemas.openxmlformats.org/officeDocument/2006/relationships/hyperlink" Target="https://www.cambly.com" TargetMode="External"/><Relationship Id="rId3135" Type="http://schemas.openxmlformats.org/officeDocument/2006/relationships/hyperlink" Target="https://candorsolutions.in" TargetMode="External"/><Relationship Id="rId3134" Type="http://schemas.openxmlformats.org/officeDocument/2006/relationships/hyperlink" Target="https://campusfinancial.in" TargetMode="External"/><Relationship Id="rId3137" Type="http://schemas.openxmlformats.org/officeDocument/2006/relationships/hyperlink" Target="https://www.capsim.com" TargetMode="External"/><Relationship Id="rId3136" Type="http://schemas.openxmlformats.org/officeDocument/2006/relationships/hyperlink" Target="https://www.capgemini.com" TargetMode="External"/><Relationship Id="rId3128" Type="http://schemas.openxmlformats.org/officeDocument/2006/relationships/hyperlink" Target="https://caitlinbacher.com" TargetMode="External"/><Relationship Id="rId3127" Type="http://schemas.openxmlformats.org/officeDocument/2006/relationships/hyperlink" Target="https://www.cai.io" TargetMode="External"/><Relationship Id="rId3129" Type="http://schemas.openxmlformats.org/officeDocument/2006/relationships/hyperlink" Target="https://calprus.com" TargetMode="External"/><Relationship Id="rId3120" Type="http://schemas.openxmlformats.org/officeDocument/2006/relationships/hyperlink" Target="https://www.butlercc.edu" TargetMode="External"/><Relationship Id="rId3122" Type="http://schemas.openxmlformats.org/officeDocument/2006/relationships/hyperlink" Target="https://byjusfutureschool.com" TargetMode="External"/><Relationship Id="rId3121" Type="http://schemas.openxmlformats.org/officeDocument/2006/relationships/hyperlink" Target="https://www.butlertech.org" TargetMode="External"/><Relationship Id="rId3124" Type="http://schemas.openxmlformats.org/officeDocument/2006/relationships/hyperlink" Target="https://www.bytelearn.com" TargetMode="External"/><Relationship Id="rId3123" Type="http://schemas.openxmlformats.org/officeDocument/2006/relationships/hyperlink" Target="http://bytelearn.com" TargetMode="External"/><Relationship Id="rId3126" Type="http://schemas.openxmlformats.org/officeDocument/2006/relationships/hyperlink" Target="https://cadgraf.com" TargetMode="External"/><Relationship Id="rId3125" Type="http://schemas.openxmlformats.org/officeDocument/2006/relationships/hyperlink" Target="https://c3itxperts.com" TargetMode="External"/><Relationship Id="rId1378" Type="http://schemas.openxmlformats.org/officeDocument/2006/relationships/hyperlink" Target="https://www.fanpower.ai" TargetMode="External"/><Relationship Id="rId1379" Type="http://schemas.openxmlformats.org/officeDocument/2006/relationships/hyperlink" Target="https://www.laterite.com" TargetMode="External"/><Relationship Id="rId789" Type="http://schemas.openxmlformats.org/officeDocument/2006/relationships/hyperlink" Target="https://oneseventeen.co" TargetMode="External"/><Relationship Id="rId788" Type="http://schemas.openxmlformats.org/officeDocument/2006/relationships/hyperlink" Target="https://noplag.com" TargetMode="External"/><Relationship Id="rId787" Type="http://schemas.openxmlformats.org/officeDocument/2006/relationships/hyperlink" Target="http://noplag.com" TargetMode="External"/><Relationship Id="rId786" Type="http://schemas.openxmlformats.org/officeDocument/2006/relationships/hyperlink" Target="https://4books.com" TargetMode="External"/><Relationship Id="rId781" Type="http://schemas.openxmlformats.org/officeDocument/2006/relationships/hyperlink" Target="https://famyo.com" TargetMode="External"/><Relationship Id="rId1370" Type="http://schemas.openxmlformats.org/officeDocument/2006/relationships/hyperlink" Target="https://www.asuratechnologies.com" TargetMode="External"/><Relationship Id="rId780" Type="http://schemas.openxmlformats.org/officeDocument/2006/relationships/hyperlink" Target="https://www.nd.com.cn" TargetMode="External"/><Relationship Id="rId1371" Type="http://schemas.openxmlformats.org/officeDocument/2006/relationships/hyperlink" Target="https://www.ssl.com" TargetMode="External"/><Relationship Id="rId1372" Type="http://schemas.openxmlformats.org/officeDocument/2006/relationships/hyperlink" Target="https://www.system13.com" TargetMode="External"/><Relationship Id="rId1373" Type="http://schemas.openxmlformats.org/officeDocument/2006/relationships/hyperlink" Target="https://www.networkadvertising.org" TargetMode="External"/><Relationship Id="rId785" Type="http://schemas.openxmlformats.org/officeDocument/2006/relationships/hyperlink" Target="https://visionarygroup.in" TargetMode="External"/><Relationship Id="rId1374" Type="http://schemas.openxmlformats.org/officeDocument/2006/relationships/hyperlink" Target="https://www.brycen.co.kr" TargetMode="External"/><Relationship Id="rId784" Type="http://schemas.openxmlformats.org/officeDocument/2006/relationships/hyperlink" Target="https://wexl.in" TargetMode="External"/><Relationship Id="rId1375" Type="http://schemas.openxmlformats.org/officeDocument/2006/relationships/hyperlink" Target="https://www.nextopt.com" TargetMode="External"/><Relationship Id="rId783" Type="http://schemas.openxmlformats.org/officeDocument/2006/relationships/hyperlink" Target="https://brainly.com" TargetMode="External"/><Relationship Id="rId1376" Type="http://schemas.openxmlformats.org/officeDocument/2006/relationships/hyperlink" Target="https://www.promarkresearch.com" TargetMode="External"/><Relationship Id="rId782" Type="http://schemas.openxmlformats.org/officeDocument/2006/relationships/hyperlink" Target="https://youthfulsavings.com" TargetMode="External"/><Relationship Id="rId1377" Type="http://schemas.openxmlformats.org/officeDocument/2006/relationships/hyperlink" Target="https://www.sensicore.com" TargetMode="External"/><Relationship Id="rId1367" Type="http://schemas.openxmlformats.org/officeDocument/2006/relationships/hyperlink" Target="https://www.rjrivera.com" TargetMode="External"/><Relationship Id="rId2698" Type="http://schemas.openxmlformats.org/officeDocument/2006/relationships/hyperlink" Target="https://www.brightdata.com" TargetMode="External"/><Relationship Id="rId1368" Type="http://schemas.openxmlformats.org/officeDocument/2006/relationships/hyperlink" Target="https://www.scraawl.com" TargetMode="External"/><Relationship Id="rId2699" Type="http://schemas.openxmlformats.org/officeDocument/2006/relationships/hyperlink" Target="https://www.morethandigital.info" TargetMode="External"/><Relationship Id="rId1369" Type="http://schemas.openxmlformats.org/officeDocument/2006/relationships/hyperlink" Target="https://www.videx.com" TargetMode="External"/><Relationship Id="rId778" Type="http://schemas.openxmlformats.org/officeDocument/2006/relationships/hyperlink" Target="https://www.coalasaude.com.br" TargetMode="External"/><Relationship Id="rId777" Type="http://schemas.openxmlformats.org/officeDocument/2006/relationships/hyperlink" Target="https://redmenta.com" TargetMode="External"/><Relationship Id="rId776" Type="http://schemas.openxmlformats.org/officeDocument/2006/relationships/hyperlink" Target="https://haxogames.com" TargetMode="External"/><Relationship Id="rId775" Type="http://schemas.openxmlformats.org/officeDocument/2006/relationships/hyperlink" Target="https://hrfy.in" TargetMode="External"/><Relationship Id="rId779" Type="http://schemas.openxmlformats.org/officeDocument/2006/relationships/hyperlink" Target="https://www.codecademy.com" TargetMode="External"/><Relationship Id="rId770" Type="http://schemas.openxmlformats.org/officeDocument/2006/relationships/hyperlink" Target="https://key2enable.com" TargetMode="External"/><Relationship Id="rId2690" Type="http://schemas.openxmlformats.org/officeDocument/2006/relationships/hyperlink" Target="https://www.researchnow.com" TargetMode="External"/><Relationship Id="rId1360" Type="http://schemas.openxmlformats.org/officeDocument/2006/relationships/hyperlink" Target="https://www.patchai.com" TargetMode="External"/><Relationship Id="rId2691" Type="http://schemas.openxmlformats.org/officeDocument/2006/relationships/hyperlink" Target="https://www.pegasus.com" TargetMode="External"/><Relationship Id="rId1361" Type="http://schemas.openxmlformats.org/officeDocument/2006/relationships/hyperlink" Target="https://www.ta-da.io" TargetMode="External"/><Relationship Id="rId2692" Type="http://schemas.openxmlformats.org/officeDocument/2006/relationships/hyperlink" Target="https://www.pointly.ai" TargetMode="External"/><Relationship Id="rId1362" Type="http://schemas.openxmlformats.org/officeDocument/2006/relationships/hyperlink" Target="https://www.racoindustries.com" TargetMode="External"/><Relationship Id="rId2693" Type="http://schemas.openxmlformats.org/officeDocument/2006/relationships/hyperlink" Target="https://www.crmarketsurveys.com" TargetMode="External"/><Relationship Id="rId774" Type="http://schemas.openxmlformats.org/officeDocument/2006/relationships/hyperlink" Target="https://crescendo.ai" TargetMode="External"/><Relationship Id="rId1363" Type="http://schemas.openxmlformats.org/officeDocument/2006/relationships/hyperlink" Target="https://www.tanium.com" TargetMode="External"/><Relationship Id="rId2694" Type="http://schemas.openxmlformats.org/officeDocument/2006/relationships/hyperlink" Target="https://www.ormi.com" TargetMode="External"/><Relationship Id="rId773" Type="http://schemas.openxmlformats.org/officeDocument/2006/relationships/hyperlink" Target="https://pearl.com" TargetMode="External"/><Relationship Id="rId1364" Type="http://schemas.openxmlformats.org/officeDocument/2006/relationships/hyperlink" Target="https://www.medsign.com" TargetMode="External"/><Relationship Id="rId2695" Type="http://schemas.openxmlformats.org/officeDocument/2006/relationships/hyperlink" Target="https://www.securecell.ch" TargetMode="External"/><Relationship Id="rId772" Type="http://schemas.openxmlformats.org/officeDocument/2006/relationships/hyperlink" Target="https://iridescentlearning.org" TargetMode="External"/><Relationship Id="rId1365" Type="http://schemas.openxmlformats.org/officeDocument/2006/relationships/hyperlink" Target="http://trainingdata.io" TargetMode="External"/><Relationship Id="rId2696" Type="http://schemas.openxmlformats.org/officeDocument/2006/relationships/hyperlink" Target="https://www.junipersys.com" TargetMode="External"/><Relationship Id="rId771" Type="http://schemas.openxmlformats.org/officeDocument/2006/relationships/hyperlink" Target="https://kyt.ai" TargetMode="External"/><Relationship Id="rId1366" Type="http://schemas.openxmlformats.org/officeDocument/2006/relationships/hyperlink" Target="https://www.trainingdata.io" TargetMode="External"/><Relationship Id="rId2697" Type="http://schemas.openxmlformats.org/officeDocument/2006/relationships/hyperlink" Target="https://www.turning.com" TargetMode="External"/><Relationship Id="rId1390" Type="http://schemas.openxmlformats.org/officeDocument/2006/relationships/hyperlink" Target="https://www.teamhaven.com" TargetMode="External"/><Relationship Id="rId1391" Type="http://schemas.openxmlformats.org/officeDocument/2006/relationships/hyperlink" Target="https://www.onthespotsystems.com" TargetMode="External"/><Relationship Id="rId1392" Type="http://schemas.openxmlformats.org/officeDocument/2006/relationships/hyperlink" Target="http://digigraph.me" TargetMode="External"/><Relationship Id="rId1393" Type="http://schemas.openxmlformats.org/officeDocument/2006/relationships/hyperlink" Target="https://www.digigraph.me" TargetMode="External"/><Relationship Id="rId1394" Type="http://schemas.openxmlformats.org/officeDocument/2006/relationships/hyperlink" Target="https://www.peggymalone.com" TargetMode="External"/><Relationship Id="rId1395" Type="http://schemas.openxmlformats.org/officeDocument/2006/relationships/hyperlink" Target="https://www.pervidi.com" TargetMode="External"/><Relationship Id="rId1396" Type="http://schemas.openxmlformats.org/officeDocument/2006/relationships/hyperlink" Target="https://www.preagri.com" TargetMode="External"/><Relationship Id="rId1397" Type="http://schemas.openxmlformats.org/officeDocument/2006/relationships/hyperlink" Target="https://www.synel.com" TargetMode="External"/><Relationship Id="rId1398" Type="http://schemas.openxmlformats.org/officeDocument/2006/relationships/hyperlink" Target="https://www.bccdistribution.com" TargetMode="External"/><Relationship Id="rId1399" Type="http://schemas.openxmlformats.org/officeDocument/2006/relationships/hyperlink" Target="https://www.visionsoft.com" TargetMode="External"/><Relationship Id="rId1389" Type="http://schemas.openxmlformats.org/officeDocument/2006/relationships/hyperlink" Target="https://www.asaresearch.com" TargetMode="External"/><Relationship Id="rId799" Type="http://schemas.openxmlformats.org/officeDocument/2006/relationships/hyperlink" Target="https://lynxeducate.com" TargetMode="External"/><Relationship Id="rId798" Type="http://schemas.openxmlformats.org/officeDocument/2006/relationships/hyperlink" Target="https://fearlessplus.com" TargetMode="External"/><Relationship Id="rId797" Type="http://schemas.openxmlformats.org/officeDocument/2006/relationships/hyperlink" Target="https://ambi.ai" TargetMode="External"/><Relationship Id="rId1380" Type="http://schemas.openxmlformats.org/officeDocument/2006/relationships/hyperlink" Target="https://www.houstonexec.com" TargetMode="External"/><Relationship Id="rId792" Type="http://schemas.openxmlformats.org/officeDocument/2006/relationships/hyperlink" Target="https://taghive.com" TargetMode="External"/><Relationship Id="rId1381" Type="http://schemas.openxmlformats.org/officeDocument/2006/relationships/hyperlink" Target="https://www.dataforensics.com" TargetMode="External"/><Relationship Id="rId791" Type="http://schemas.openxmlformats.org/officeDocument/2006/relationships/hyperlink" Target="https://tsunamixr.com" TargetMode="External"/><Relationship Id="rId1382" Type="http://schemas.openxmlformats.org/officeDocument/2006/relationships/hyperlink" Target="https://www.directionsinresearch.com" TargetMode="External"/><Relationship Id="rId790" Type="http://schemas.openxmlformats.org/officeDocument/2006/relationships/hyperlink" Target="https://edcraft.io" TargetMode="External"/><Relationship Id="rId1383" Type="http://schemas.openxmlformats.org/officeDocument/2006/relationships/hyperlink" Target="https://www.pixora.ai" TargetMode="External"/><Relationship Id="rId1384" Type="http://schemas.openxmlformats.org/officeDocument/2006/relationships/hyperlink" Target="https://www.benthic.com" TargetMode="External"/><Relationship Id="rId796" Type="http://schemas.openxmlformats.org/officeDocument/2006/relationships/hyperlink" Target="https://applify.ai" TargetMode="External"/><Relationship Id="rId1385" Type="http://schemas.openxmlformats.org/officeDocument/2006/relationships/hyperlink" Target="https://www.americainfrastructure.com" TargetMode="External"/><Relationship Id="rId795" Type="http://schemas.openxmlformats.org/officeDocument/2006/relationships/hyperlink" Target="https://www.labster.com" TargetMode="External"/><Relationship Id="rId1386" Type="http://schemas.openxmlformats.org/officeDocument/2006/relationships/hyperlink" Target="https://www.fastforward.ai" TargetMode="External"/><Relationship Id="rId794" Type="http://schemas.openxmlformats.org/officeDocument/2006/relationships/hyperlink" Target="https://fireflylearning.com" TargetMode="External"/><Relationship Id="rId1387" Type="http://schemas.openxmlformats.org/officeDocument/2006/relationships/hyperlink" Target="https://www.myc.ai" TargetMode="External"/><Relationship Id="rId793" Type="http://schemas.openxmlformats.org/officeDocument/2006/relationships/hyperlink" Target="https://studyhall.education" TargetMode="External"/><Relationship Id="rId1388" Type="http://schemas.openxmlformats.org/officeDocument/2006/relationships/hyperlink" Target="https://www.ecopaths.org" TargetMode="External"/><Relationship Id="rId3191" Type="http://schemas.openxmlformats.org/officeDocument/2006/relationships/hyperlink" Target="https://competentum.com" TargetMode="External"/><Relationship Id="rId3190" Type="http://schemas.openxmlformats.org/officeDocument/2006/relationships/hyperlink" Target="https://ccneo.org" TargetMode="External"/><Relationship Id="rId3193" Type="http://schemas.openxmlformats.org/officeDocument/2006/relationships/hyperlink" Target="https://concordlearninggroup.com" TargetMode="External"/><Relationship Id="rId3192" Type="http://schemas.openxmlformats.org/officeDocument/2006/relationships/hyperlink" Target="https://www.compunnel.com" TargetMode="External"/><Relationship Id="rId3195" Type="http://schemas.openxmlformats.org/officeDocument/2006/relationships/hyperlink" Target="https://connectingduniya.com" TargetMode="External"/><Relationship Id="rId3194" Type="http://schemas.openxmlformats.org/officeDocument/2006/relationships/hyperlink" Target="https://www.conduent.com" TargetMode="External"/><Relationship Id="rId3197" Type="http://schemas.openxmlformats.org/officeDocument/2006/relationships/hyperlink" Target="https://www.contentenablers.com" TargetMode="External"/><Relationship Id="rId3196" Type="http://schemas.openxmlformats.org/officeDocument/2006/relationships/hyperlink" Target="https://constructionistlearning.com" TargetMode="External"/><Relationship Id="rId3199" Type="http://schemas.openxmlformats.org/officeDocument/2006/relationships/hyperlink" Target="https://cordovapublications.com" TargetMode="External"/><Relationship Id="rId3198" Type="http://schemas.openxmlformats.org/officeDocument/2006/relationships/hyperlink" Target="https://continualengine.com" TargetMode="External"/><Relationship Id="rId3180" Type="http://schemas.openxmlformats.org/officeDocument/2006/relationships/hyperlink" Target="https://www.codinghero.ai" TargetMode="External"/><Relationship Id="rId3182" Type="http://schemas.openxmlformats.org/officeDocument/2006/relationships/hyperlink" Target="https://cognigix.com" TargetMode="External"/><Relationship Id="rId3181" Type="http://schemas.openxmlformats.org/officeDocument/2006/relationships/hyperlink" Target="https://codonlearning.com" TargetMode="External"/><Relationship Id="rId3184" Type="http://schemas.openxmlformats.org/officeDocument/2006/relationships/hyperlink" Target="https://cognitiveadvisors.com" TargetMode="External"/><Relationship Id="rId3183" Type="http://schemas.openxmlformats.org/officeDocument/2006/relationships/hyperlink" Target="https://www.cognitel.com" TargetMode="External"/><Relationship Id="rId3186" Type="http://schemas.openxmlformats.org/officeDocument/2006/relationships/hyperlink" Target="https://www.cokeredu.com" TargetMode="External"/><Relationship Id="rId3185" Type="http://schemas.openxmlformats.org/officeDocument/2006/relationships/hyperlink" Target="https://www.cognixia.com" TargetMode="External"/><Relationship Id="rId3188" Type="http://schemas.openxmlformats.org/officeDocument/2006/relationships/hyperlink" Target="https://collegepass.org" TargetMode="External"/><Relationship Id="rId3187" Type="http://schemas.openxmlformats.org/officeDocument/2006/relationships/hyperlink" Target="https://www.colibrigroup.com" TargetMode="External"/><Relationship Id="rId3189" Type="http://schemas.openxmlformats.org/officeDocument/2006/relationships/hyperlink" Target="https://www.commlabindia.com" TargetMode="External"/><Relationship Id="rId3151" Type="http://schemas.openxmlformats.org/officeDocument/2006/relationships/hyperlink" Target="https://www.cengage.co.in" TargetMode="External"/><Relationship Id="rId3150" Type="http://schemas.openxmlformats.org/officeDocument/2006/relationships/hyperlink" Target="https://www.cengage.com" TargetMode="External"/><Relationship Id="rId3153" Type="http://schemas.openxmlformats.org/officeDocument/2006/relationships/hyperlink" Target="https://www.cmecourses.org" TargetMode="External"/><Relationship Id="rId3152" Type="http://schemas.openxmlformats.org/officeDocument/2006/relationships/hyperlink" Target="https://www.cforat.org" TargetMode="External"/><Relationship Id="rId3155" Type="http://schemas.openxmlformats.org/officeDocument/2006/relationships/hyperlink" Target="https://www.centumacademy.com" TargetMode="External"/><Relationship Id="rId3154" Type="http://schemas.openxmlformats.org/officeDocument/2006/relationships/hyperlink" Target="https://www.centific.com" TargetMode="External"/><Relationship Id="rId3157" Type="http://schemas.openxmlformats.org/officeDocument/2006/relationships/hyperlink" Target="https://www.kglindia.com" TargetMode="External"/><Relationship Id="rId3156" Type="http://schemas.openxmlformats.org/officeDocument/2006/relationships/hyperlink" Target="https://www.cenveo.com" TargetMode="External"/><Relationship Id="rId3159" Type="http://schemas.openxmlformats.org/officeDocument/2006/relationships/hyperlink" Target="http://certocean.com" TargetMode="External"/><Relationship Id="rId3158" Type="http://schemas.openxmlformats.org/officeDocument/2006/relationships/hyperlink" Target="https://certerasolutions.com" TargetMode="External"/><Relationship Id="rId3149" Type="http://schemas.openxmlformats.org/officeDocument/2006/relationships/hyperlink" Target="https://ccsglobaltech.com" TargetMode="External"/><Relationship Id="rId3140" Type="http://schemas.openxmlformats.org/officeDocument/2006/relationships/hyperlink" Target="https://www.careerlauncher.com" TargetMode="External"/><Relationship Id="rId3142" Type="http://schemas.openxmlformats.org/officeDocument/2006/relationships/hyperlink" Target="https://careerlearning.com" TargetMode="External"/><Relationship Id="rId3141" Type="http://schemas.openxmlformats.org/officeDocument/2006/relationships/hyperlink" Target="https://careeracademy.com" TargetMode="External"/><Relationship Id="rId3144" Type="http://schemas.openxmlformats.org/officeDocument/2006/relationships/hyperlink" Target="https://www.carolina.com" TargetMode="External"/><Relationship Id="rId3143" Type="http://schemas.openxmlformats.org/officeDocument/2006/relationships/hyperlink" Target="https://www.careers360.com" TargetMode="External"/><Relationship Id="rId3146" Type="http://schemas.openxmlformats.org/officeDocument/2006/relationships/hyperlink" Target="http://caunj.org" TargetMode="External"/><Relationship Id="rId3145" Type="http://schemas.openxmlformats.org/officeDocument/2006/relationships/hyperlink" Target="https://www.caspercollege.edu" TargetMode="External"/><Relationship Id="rId3148" Type="http://schemas.openxmlformats.org/officeDocument/2006/relationships/hyperlink" Target="https://ccctld.com" TargetMode="External"/><Relationship Id="rId3147" Type="http://schemas.openxmlformats.org/officeDocument/2006/relationships/hyperlink" Target="https://www.caunj.org" TargetMode="External"/><Relationship Id="rId3171" Type="http://schemas.openxmlformats.org/officeDocument/2006/relationships/hyperlink" Target="https://clarkcenter.nyc" TargetMode="External"/><Relationship Id="rId3170" Type="http://schemas.openxmlformats.org/officeDocument/2006/relationships/hyperlink" Target="https://www.clapingo.com" TargetMode="External"/><Relationship Id="rId3173" Type="http://schemas.openxmlformats.org/officeDocument/2006/relationships/hyperlink" Target="https://www.classlink.com" TargetMode="External"/><Relationship Id="rId3172" Type="http://schemas.openxmlformats.org/officeDocument/2006/relationships/hyperlink" Target="https://www.classera.com" TargetMode="External"/><Relationship Id="rId3175" Type="http://schemas.openxmlformats.org/officeDocument/2006/relationships/hyperlink" Target="https://www.coastalalabama.edu" TargetMode="External"/><Relationship Id="rId3174" Type="http://schemas.openxmlformats.org/officeDocument/2006/relationships/hyperlink" Target="https://www.clearchoice.com" TargetMode="External"/><Relationship Id="rId3177" Type="http://schemas.openxmlformats.org/officeDocument/2006/relationships/hyperlink" Target="https://www.codemantra.com" TargetMode="External"/><Relationship Id="rId3176" Type="http://schemas.openxmlformats.org/officeDocument/2006/relationships/hyperlink" Target="https://codebucket.in" TargetMode="External"/><Relationship Id="rId3179" Type="http://schemas.openxmlformats.org/officeDocument/2006/relationships/hyperlink" Target="https://codevidhya.com" TargetMode="External"/><Relationship Id="rId3178" Type="http://schemas.openxmlformats.org/officeDocument/2006/relationships/hyperlink" Target="https://www.codemonkey.com" TargetMode="External"/><Relationship Id="rId3160" Type="http://schemas.openxmlformats.org/officeDocument/2006/relationships/hyperlink" Target="https://www.certocean.com" TargetMode="External"/><Relationship Id="rId3162" Type="http://schemas.openxmlformats.org/officeDocument/2006/relationships/hyperlink" Target="https://ceryxdigital.com" TargetMode="External"/><Relationship Id="rId3161" Type="http://schemas.openxmlformats.org/officeDocument/2006/relationships/hyperlink" Target="https://certybox.com" TargetMode="External"/><Relationship Id="rId3164" Type="http://schemas.openxmlformats.org/officeDocument/2006/relationships/hyperlink" Target="https://www.cevmedia.com" TargetMode="External"/><Relationship Id="rId3163" Type="http://schemas.openxmlformats.org/officeDocument/2006/relationships/hyperlink" Target="https://www.cetpainfotech.com" TargetMode="External"/><Relationship Id="rId3166" Type="http://schemas.openxmlformats.org/officeDocument/2006/relationships/hyperlink" Target="https://chrismillerroofing.com" TargetMode="External"/><Relationship Id="rId3165" Type="http://schemas.openxmlformats.org/officeDocument/2006/relationships/hyperlink" Target="https://www.cceionline.edu" TargetMode="External"/><Relationship Id="rId3168" Type="http://schemas.openxmlformats.org/officeDocument/2006/relationships/hyperlink" Target="https://www.cit.ac.in" TargetMode="External"/><Relationship Id="rId3167" Type="http://schemas.openxmlformats.org/officeDocument/2006/relationships/hyperlink" Target="https://ciet.nic.in" TargetMode="External"/><Relationship Id="rId3169" Type="http://schemas.openxmlformats.org/officeDocument/2006/relationships/hyperlink" Target="https://www.ccny.cuny.edu" TargetMode="External"/><Relationship Id="rId2700" Type="http://schemas.openxmlformats.org/officeDocument/2006/relationships/hyperlink" Target="https://www.atla.ai" TargetMode="External"/><Relationship Id="rId2701" Type="http://schemas.openxmlformats.org/officeDocument/2006/relationships/hyperlink" Target="https://www.enginsystems.com" TargetMode="External"/><Relationship Id="rId2702" Type="http://schemas.openxmlformats.org/officeDocument/2006/relationships/hyperlink" Target="https://www.opendatabay.com" TargetMode="External"/><Relationship Id="rId2703" Type="http://schemas.openxmlformats.org/officeDocument/2006/relationships/hyperlink" Target="https://www.ravenhealth.com" TargetMode="External"/><Relationship Id="rId2704" Type="http://schemas.openxmlformats.org/officeDocument/2006/relationships/hyperlink" Target="https://www.demitool.com" TargetMode="External"/><Relationship Id="rId2705" Type="http://schemas.openxmlformats.org/officeDocument/2006/relationships/hyperlink" Target="https://www.campfireanalytics.com" TargetMode="External"/><Relationship Id="rId2706" Type="http://schemas.openxmlformats.org/officeDocument/2006/relationships/hyperlink" Target="https://www.linnaeuslab.com" TargetMode="External"/><Relationship Id="rId2707" Type="http://schemas.openxmlformats.org/officeDocument/2006/relationships/hyperlink" Target="https://www.owldatasolutions.com" TargetMode="External"/><Relationship Id="rId2708" Type="http://schemas.openxmlformats.org/officeDocument/2006/relationships/hyperlink" Target="https://www.gazelleresearch.com" TargetMode="External"/><Relationship Id="rId2709" Type="http://schemas.openxmlformats.org/officeDocument/2006/relationships/hyperlink" Target="https://www.nicholsresearch.com" TargetMode="External"/><Relationship Id="rId2720" Type="http://schemas.openxmlformats.org/officeDocument/2006/relationships/hyperlink" Target="https://www.idaxdata.com" TargetMode="External"/><Relationship Id="rId2721" Type="http://schemas.openxmlformats.org/officeDocument/2006/relationships/hyperlink" Target="https://www.paradigm.com" TargetMode="External"/><Relationship Id="rId2722" Type="http://schemas.openxmlformats.org/officeDocument/2006/relationships/hyperlink" Target="https://www.sama.ai" TargetMode="External"/><Relationship Id="rId2723" Type="http://schemas.openxmlformats.org/officeDocument/2006/relationships/hyperlink" Target="https://www.metapair.ai" TargetMode="External"/><Relationship Id="rId2724" Type="http://schemas.openxmlformats.org/officeDocument/2006/relationships/hyperlink" Target="https://www.a1msolutions.com" TargetMode="External"/><Relationship Id="rId2725" Type="http://schemas.openxmlformats.org/officeDocument/2006/relationships/hyperlink" Target="https://www.fsinetwork.com" TargetMode="External"/><Relationship Id="rId2726" Type="http://schemas.openxmlformats.org/officeDocument/2006/relationships/hyperlink" Target="https://www.boundaryai.com" TargetMode="External"/><Relationship Id="rId2727" Type="http://schemas.openxmlformats.org/officeDocument/2006/relationships/hyperlink" Target="https://www.tabscanner.com" TargetMode="External"/><Relationship Id="rId2728" Type="http://schemas.openxmlformats.org/officeDocument/2006/relationships/hyperlink" Target="https://www.indika.ai" TargetMode="External"/><Relationship Id="rId2729" Type="http://schemas.openxmlformats.org/officeDocument/2006/relationships/hyperlink" Target="https://www.castleglobal.com" TargetMode="External"/><Relationship Id="rId2710" Type="http://schemas.openxmlformats.org/officeDocument/2006/relationships/hyperlink" Target="https://www.msisurveys.com" TargetMode="External"/><Relationship Id="rId2711" Type="http://schemas.openxmlformats.org/officeDocument/2006/relationships/hyperlink" Target="https://www.luceresearch.com" TargetMode="External"/><Relationship Id="rId2712" Type="http://schemas.openxmlformats.org/officeDocument/2006/relationships/hyperlink" Target="https://www.basic.ai" TargetMode="External"/><Relationship Id="rId2713" Type="http://schemas.openxmlformats.org/officeDocument/2006/relationships/hyperlink" Target="https://www.smallplanet.com" TargetMode="External"/><Relationship Id="rId2714" Type="http://schemas.openxmlformats.org/officeDocument/2006/relationships/hyperlink" Target="https://www.rfgen.com" TargetMode="External"/><Relationship Id="rId2715" Type="http://schemas.openxmlformats.org/officeDocument/2006/relationships/hyperlink" Target="https://www.dataworksinternational.com" TargetMode="External"/><Relationship Id="rId2716" Type="http://schemas.openxmlformats.org/officeDocument/2006/relationships/hyperlink" Target="https://www.amlrightsource.com" TargetMode="External"/><Relationship Id="rId2717" Type="http://schemas.openxmlformats.org/officeDocument/2006/relationships/hyperlink" Target="https://www.instalabel.com" TargetMode="External"/><Relationship Id="rId2718" Type="http://schemas.openxmlformats.org/officeDocument/2006/relationships/hyperlink" Target="https://www.teesnap.com" TargetMode="External"/><Relationship Id="rId2719" Type="http://schemas.openxmlformats.org/officeDocument/2006/relationships/hyperlink" Target="https://www.ecsite.com" TargetMode="External"/><Relationship Id="rId1455" Type="http://schemas.openxmlformats.org/officeDocument/2006/relationships/hyperlink" Target="https://www.technologysolutions.com" TargetMode="External"/><Relationship Id="rId2786" Type="http://schemas.openxmlformats.org/officeDocument/2006/relationships/hyperlink" Target="https://www.geograma.com" TargetMode="External"/><Relationship Id="rId1456" Type="http://schemas.openxmlformats.org/officeDocument/2006/relationships/hyperlink" Target="https://www.puresoftware.com" TargetMode="External"/><Relationship Id="rId2787" Type="http://schemas.openxmlformats.org/officeDocument/2006/relationships/hyperlink" Target="https://www.adharasystems.com" TargetMode="External"/><Relationship Id="rId1457" Type="http://schemas.openxmlformats.org/officeDocument/2006/relationships/hyperlink" Target="https://www.kevit.io" TargetMode="External"/><Relationship Id="rId2788" Type="http://schemas.openxmlformats.org/officeDocument/2006/relationships/hyperlink" Target="https://www.fanhantech.com" TargetMode="External"/><Relationship Id="rId1458" Type="http://schemas.openxmlformats.org/officeDocument/2006/relationships/hyperlink" Target="https://www.parlando.com" TargetMode="External"/><Relationship Id="rId2789" Type="http://schemas.openxmlformats.org/officeDocument/2006/relationships/hyperlink" Target="https://www.adsinc.com" TargetMode="External"/><Relationship Id="rId1459" Type="http://schemas.openxmlformats.org/officeDocument/2006/relationships/hyperlink" Target="https://www.wisintl.com" TargetMode="External"/><Relationship Id="rId629" Type="http://schemas.openxmlformats.org/officeDocument/2006/relationships/hyperlink" Target="https://canyongbs.com" TargetMode="External"/><Relationship Id="rId624" Type="http://schemas.openxmlformats.org/officeDocument/2006/relationships/hyperlink" Target="https://ottodot.com" TargetMode="External"/><Relationship Id="rId623" Type="http://schemas.openxmlformats.org/officeDocument/2006/relationships/hyperlink" Target="https://wooskill.com" TargetMode="External"/><Relationship Id="rId622" Type="http://schemas.openxmlformats.org/officeDocument/2006/relationships/hyperlink" Target="https://www.kinedu.com" TargetMode="External"/><Relationship Id="rId621" Type="http://schemas.openxmlformats.org/officeDocument/2006/relationships/hyperlink" Target="https://ewa.works" TargetMode="External"/><Relationship Id="rId628" Type="http://schemas.openxmlformats.org/officeDocument/2006/relationships/hyperlink" Target="https://cyberconiq.com" TargetMode="External"/><Relationship Id="rId627" Type="http://schemas.openxmlformats.org/officeDocument/2006/relationships/hyperlink" Target="https://interactivecares.com" TargetMode="External"/><Relationship Id="rId626" Type="http://schemas.openxmlformats.org/officeDocument/2006/relationships/hyperlink" Target="https://paddy.app" TargetMode="External"/><Relationship Id="rId625" Type="http://schemas.openxmlformats.org/officeDocument/2006/relationships/hyperlink" Target="https://www.boclips.com" TargetMode="External"/><Relationship Id="rId2780" Type="http://schemas.openxmlformats.org/officeDocument/2006/relationships/hyperlink" Target="https://www.wellsgamingresearch.com" TargetMode="External"/><Relationship Id="rId1450" Type="http://schemas.openxmlformats.org/officeDocument/2006/relationships/hyperlink" Target="https://www.crowninformatics.com" TargetMode="External"/><Relationship Id="rId2781" Type="http://schemas.openxmlformats.org/officeDocument/2006/relationships/hyperlink" Target="https://www.agissar.com" TargetMode="External"/><Relationship Id="rId620" Type="http://schemas.openxmlformats.org/officeDocument/2006/relationships/hyperlink" Target="https://bridge-u.com" TargetMode="External"/><Relationship Id="rId1451" Type="http://schemas.openxmlformats.org/officeDocument/2006/relationships/hyperlink" Target="https://www.resonanteducation.com" TargetMode="External"/><Relationship Id="rId2782" Type="http://schemas.openxmlformats.org/officeDocument/2006/relationships/hyperlink" Target="https://www.fina.org" TargetMode="External"/><Relationship Id="rId1452" Type="http://schemas.openxmlformats.org/officeDocument/2006/relationships/hyperlink" Target="https://www.conservationbilling.com" TargetMode="External"/><Relationship Id="rId2783" Type="http://schemas.openxmlformats.org/officeDocument/2006/relationships/hyperlink" Target="https://www.auticomp.com" TargetMode="External"/><Relationship Id="rId1453" Type="http://schemas.openxmlformats.org/officeDocument/2006/relationships/hyperlink" Target="https://www.rockmasstechnologies.com" TargetMode="External"/><Relationship Id="rId2784" Type="http://schemas.openxmlformats.org/officeDocument/2006/relationships/hyperlink" Target="https://www.machinelearning.ws" TargetMode="External"/><Relationship Id="rId1454" Type="http://schemas.openxmlformats.org/officeDocument/2006/relationships/hyperlink" Target="https://www.ango.ai" TargetMode="External"/><Relationship Id="rId2785" Type="http://schemas.openxmlformats.org/officeDocument/2006/relationships/hyperlink" Target="https://www.wedakorea.com" TargetMode="External"/><Relationship Id="rId1444" Type="http://schemas.openxmlformats.org/officeDocument/2006/relationships/hyperlink" Target="https://www.superannotate.com" TargetMode="External"/><Relationship Id="rId2775" Type="http://schemas.openxmlformats.org/officeDocument/2006/relationships/hyperlink" Target="https://www.joinhandshake.com" TargetMode="External"/><Relationship Id="rId1445" Type="http://schemas.openxmlformats.org/officeDocument/2006/relationships/hyperlink" Target="https://www.eaglenxt.com" TargetMode="External"/><Relationship Id="rId2776" Type="http://schemas.openxmlformats.org/officeDocument/2006/relationships/hyperlink" Target="https://www.cbsolutions.com" TargetMode="External"/><Relationship Id="rId1446" Type="http://schemas.openxmlformats.org/officeDocument/2006/relationships/hyperlink" Target="https://www.funnel.io" TargetMode="External"/><Relationship Id="rId2777" Type="http://schemas.openxmlformats.org/officeDocument/2006/relationships/hyperlink" Target="https://www.poimapper.com" TargetMode="External"/><Relationship Id="rId1447" Type="http://schemas.openxmlformats.org/officeDocument/2006/relationships/hyperlink" Target="https://www.formassembly.com" TargetMode="External"/><Relationship Id="rId2778" Type="http://schemas.openxmlformats.org/officeDocument/2006/relationships/hyperlink" Target="https://www.quodit.com" TargetMode="External"/><Relationship Id="rId1448" Type="http://schemas.openxmlformats.org/officeDocument/2006/relationships/hyperlink" Target="https://www.labellerr.com" TargetMode="External"/><Relationship Id="rId2779" Type="http://schemas.openxmlformats.org/officeDocument/2006/relationships/hyperlink" Target="https://www.conserve.com" TargetMode="External"/><Relationship Id="rId1449" Type="http://schemas.openxmlformats.org/officeDocument/2006/relationships/hyperlink" Target="https://www.jarvisvisibility.com" TargetMode="External"/><Relationship Id="rId619" Type="http://schemas.openxmlformats.org/officeDocument/2006/relationships/hyperlink" Target="https://www.eupheuslearning.com" TargetMode="External"/><Relationship Id="rId618" Type="http://schemas.openxmlformats.org/officeDocument/2006/relationships/hyperlink" Target="https://emmersion.ai" TargetMode="External"/><Relationship Id="rId613" Type="http://schemas.openxmlformats.org/officeDocument/2006/relationships/hyperlink" Target="https://growthx.club" TargetMode="External"/><Relationship Id="rId612" Type="http://schemas.openxmlformats.org/officeDocument/2006/relationships/hyperlink" Target="https://wheebox.com" TargetMode="External"/><Relationship Id="rId611" Type="http://schemas.openxmlformats.org/officeDocument/2006/relationships/hyperlink" Target="https://changingedu.com" TargetMode="External"/><Relationship Id="rId610" Type="http://schemas.openxmlformats.org/officeDocument/2006/relationships/hyperlink" Target="https://footprintschildcare.com" TargetMode="External"/><Relationship Id="rId617" Type="http://schemas.openxmlformats.org/officeDocument/2006/relationships/hyperlink" Target="https://www.springpod.com" TargetMode="External"/><Relationship Id="rId616" Type="http://schemas.openxmlformats.org/officeDocument/2006/relationships/hyperlink" Target="https://www.koalalearning.com" TargetMode="External"/><Relationship Id="rId615" Type="http://schemas.openxmlformats.org/officeDocument/2006/relationships/hyperlink" Target="https://kiin.io" TargetMode="External"/><Relationship Id="rId614" Type="http://schemas.openxmlformats.org/officeDocument/2006/relationships/hyperlink" Target="https://globalalumni.org" TargetMode="External"/><Relationship Id="rId2770" Type="http://schemas.openxmlformats.org/officeDocument/2006/relationships/hyperlink" Target="https://www.hamwe.com" TargetMode="External"/><Relationship Id="rId1440" Type="http://schemas.openxmlformats.org/officeDocument/2006/relationships/hyperlink" Target="https://www.nerodata.com" TargetMode="External"/><Relationship Id="rId2771" Type="http://schemas.openxmlformats.org/officeDocument/2006/relationships/hyperlink" Target="https://www.hubblesky.com" TargetMode="External"/><Relationship Id="rId1441" Type="http://schemas.openxmlformats.org/officeDocument/2006/relationships/hyperlink" Target="https://www.automatonai.com" TargetMode="External"/><Relationship Id="rId2772" Type="http://schemas.openxmlformats.org/officeDocument/2006/relationships/hyperlink" Target="https://www.mobileforms.com" TargetMode="External"/><Relationship Id="rId1442" Type="http://schemas.openxmlformats.org/officeDocument/2006/relationships/hyperlink" Target="https://www.tkwresearch.com" TargetMode="External"/><Relationship Id="rId2773" Type="http://schemas.openxmlformats.org/officeDocument/2006/relationships/hyperlink" Target="https://www.orb-international.com" TargetMode="External"/><Relationship Id="rId1443" Type="http://schemas.openxmlformats.org/officeDocument/2006/relationships/hyperlink" Target="https://www.okapi.ai" TargetMode="External"/><Relationship Id="rId2774" Type="http://schemas.openxmlformats.org/officeDocument/2006/relationships/hyperlink" Target="https://www.socialcode.com" TargetMode="External"/><Relationship Id="rId1477" Type="http://schemas.openxmlformats.org/officeDocument/2006/relationships/hyperlink" Target="https://www.trilynx.com" TargetMode="External"/><Relationship Id="rId1478" Type="http://schemas.openxmlformats.org/officeDocument/2006/relationships/hyperlink" Target="https://www.ctseng.com" TargetMode="External"/><Relationship Id="rId1479" Type="http://schemas.openxmlformats.org/officeDocument/2006/relationships/hyperlink" Target="https://www.doxa.com" TargetMode="External"/><Relationship Id="rId646" Type="http://schemas.openxmlformats.org/officeDocument/2006/relationships/hyperlink" Target="https://artistworks.com" TargetMode="External"/><Relationship Id="rId645" Type="http://schemas.openxmlformats.org/officeDocument/2006/relationships/hyperlink" Target="https://tutorful.co.uk" TargetMode="External"/><Relationship Id="rId644" Type="http://schemas.openxmlformats.org/officeDocument/2006/relationships/hyperlink" Target="https://geckolabs.ai" TargetMode="External"/><Relationship Id="rId643" Type="http://schemas.openxmlformats.org/officeDocument/2006/relationships/hyperlink" Target="https://wedevx.co" TargetMode="External"/><Relationship Id="rId649" Type="http://schemas.openxmlformats.org/officeDocument/2006/relationships/hyperlink" Target="https://viascampus.com" TargetMode="External"/><Relationship Id="rId648" Type="http://schemas.openxmlformats.org/officeDocument/2006/relationships/hyperlink" Target="https://coddy.tech" TargetMode="External"/><Relationship Id="rId647" Type="http://schemas.openxmlformats.org/officeDocument/2006/relationships/hyperlink" Target="https://verif-y.com" TargetMode="External"/><Relationship Id="rId1470" Type="http://schemas.openxmlformats.org/officeDocument/2006/relationships/hyperlink" Target="https://www.fundconnect.com" TargetMode="External"/><Relationship Id="rId1471" Type="http://schemas.openxmlformats.org/officeDocument/2006/relationships/hyperlink" Target="https://www.isahit.com" TargetMode="External"/><Relationship Id="rId1472" Type="http://schemas.openxmlformats.org/officeDocument/2006/relationships/hyperlink" Target="https://www.bgaming.com" TargetMode="External"/><Relationship Id="rId642" Type="http://schemas.openxmlformats.org/officeDocument/2006/relationships/hyperlink" Target="https://mentalup.co" TargetMode="External"/><Relationship Id="rId1473" Type="http://schemas.openxmlformats.org/officeDocument/2006/relationships/hyperlink" Target="https://www.cteq.com" TargetMode="External"/><Relationship Id="rId641" Type="http://schemas.openxmlformats.org/officeDocument/2006/relationships/hyperlink" Target="https://databank.com" TargetMode="External"/><Relationship Id="rId1474" Type="http://schemas.openxmlformats.org/officeDocument/2006/relationships/hyperlink" Target="https://www.datamaker.com" TargetMode="External"/><Relationship Id="rId640" Type="http://schemas.openxmlformats.org/officeDocument/2006/relationships/hyperlink" Target="https://mocaa.ai" TargetMode="External"/><Relationship Id="rId1475" Type="http://schemas.openxmlformats.org/officeDocument/2006/relationships/hyperlink" Target="https://www.saudigitus.com" TargetMode="External"/><Relationship Id="rId1476" Type="http://schemas.openxmlformats.org/officeDocument/2006/relationships/hyperlink" Target="https://www.domaincrawler.com" TargetMode="External"/><Relationship Id="rId1466" Type="http://schemas.openxmlformats.org/officeDocument/2006/relationships/hyperlink" Target="https://www.databix.com" TargetMode="External"/><Relationship Id="rId2797" Type="http://schemas.openxmlformats.org/officeDocument/2006/relationships/hyperlink" Target="https://www.pexelresearch.com" TargetMode="External"/><Relationship Id="rId1467" Type="http://schemas.openxmlformats.org/officeDocument/2006/relationships/hyperlink" Target="https://www.panteia.com" TargetMode="External"/><Relationship Id="rId2798" Type="http://schemas.openxmlformats.org/officeDocument/2006/relationships/hyperlink" Target="https://www.mercor.com" TargetMode="External"/><Relationship Id="rId1468" Type="http://schemas.openxmlformats.org/officeDocument/2006/relationships/hyperlink" Target="https://www.imagingautomation.com" TargetMode="External"/><Relationship Id="rId2799" Type="http://schemas.openxmlformats.org/officeDocument/2006/relationships/hyperlink" Target="https://www.dtechtive.com" TargetMode="External"/><Relationship Id="rId1469" Type="http://schemas.openxmlformats.org/officeDocument/2006/relationships/hyperlink" Target="https://www.sprint19.com" TargetMode="External"/><Relationship Id="rId635" Type="http://schemas.openxmlformats.org/officeDocument/2006/relationships/hyperlink" Target="https://simconverse.com" TargetMode="External"/><Relationship Id="rId634" Type="http://schemas.openxmlformats.org/officeDocument/2006/relationships/hyperlink" Target="https://pyxiscience.com" TargetMode="External"/><Relationship Id="rId633" Type="http://schemas.openxmlformats.org/officeDocument/2006/relationships/hyperlink" Target="https://apprennet.com" TargetMode="External"/><Relationship Id="rId632" Type="http://schemas.openxmlformats.org/officeDocument/2006/relationships/hyperlink" Target="https://zoeimmersive.com" TargetMode="External"/><Relationship Id="rId639" Type="http://schemas.openxmlformats.org/officeDocument/2006/relationships/hyperlink" Target="https://moneywalkie.com" TargetMode="External"/><Relationship Id="rId638" Type="http://schemas.openxmlformats.org/officeDocument/2006/relationships/hyperlink" Target="https://empoweru.com" TargetMode="External"/><Relationship Id="rId637" Type="http://schemas.openxmlformats.org/officeDocument/2006/relationships/hyperlink" Target="https://clevai.com" TargetMode="External"/><Relationship Id="rId636" Type="http://schemas.openxmlformats.org/officeDocument/2006/relationships/hyperlink" Target="https://www.thinglink.com" TargetMode="External"/><Relationship Id="rId2790" Type="http://schemas.openxmlformats.org/officeDocument/2006/relationships/hyperlink" Target="https://www.rhodesperry.com" TargetMode="External"/><Relationship Id="rId1460" Type="http://schemas.openxmlformats.org/officeDocument/2006/relationships/hyperlink" Target="https://www.digitaldigest.com" TargetMode="External"/><Relationship Id="rId2791" Type="http://schemas.openxmlformats.org/officeDocument/2006/relationships/hyperlink" Target="https://www.cissec.com" TargetMode="External"/><Relationship Id="rId1461" Type="http://schemas.openxmlformats.org/officeDocument/2006/relationships/hyperlink" Target="https://www.bancaalbertini.com" TargetMode="External"/><Relationship Id="rId2792" Type="http://schemas.openxmlformats.org/officeDocument/2006/relationships/hyperlink" Target="http://raasify.io" TargetMode="External"/><Relationship Id="rId631" Type="http://schemas.openxmlformats.org/officeDocument/2006/relationships/hyperlink" Target="https://getsling.com" TargetMode="External"/><Relationship Id="rId1462" Type="http://schemas.openxmlformats.org/officeDocument/2006/relationships/hyperlink" Target="https://www.joydrone.com" TargetMode="External"/><Relationship Id="rId2793" Type="http://schemas.openxmlformats.org/officeDocument/2006/relationships/hyperlink" Target="https://www.raasify.io" TargetMode="External"/><Relationship Id="rId630" Type="http://schemas.openxmlformats.org/officeDocument/2006/relationships/hyperlink" Target="https://enrollml.com" TargetMode="External"/><Relationship Id="rId1463" Type="http://schemas.openxmlformats.org/officeDocument/2006/relationships/hyperlink" Target="https://www.dexer.com" TargetMode="External"/><Relationship Id="rId2794" Type="http://schemas.openxmlformats.org/officeDocument/2006/relationships/hyperlink" Target="https://www.timemark.com" TargetMode="External"/><Relationship Id="rId1464" Type="http://schemas.openxmlformats.org/officeDocument/2006/relationships/hyperlink" Target="http://samhub.io" TargetMode="External"/><Relationship Id="rId2795" Type="http://schemas.openxmlformats.org/officeDocument/2006/relationships/hyperlink" Target="https://www.insightscenter.com" TargetMode="External"/><Relationship Id="rId1465" Type="http://schemas.openxmlformats.org/officeDocument/2006/relationships/hyperlink" Target="https://www.samhub.io" TargetMode="External"/><Relationship Id="rId2796" Type="http://schemas.openxmlformats.org/officeDocument/2006/relationships/hyperlink" Target="https://www.ururu-bpo.com" TargetMode="External"/><Relationship Id="rId1411" Type="http://schemas.openxmlformats.org/officeDocument/2006/relationships/hyperlink" Target="https://www.adsdata.com" TargetMode="External"/><Relationship Id="rId2742" Type="http://schemas.openxmlformats.org/officeDocument/2006/relationships/hyperlink" Target="https://www.ingramcontent.com" TargetMode="External"/><Relationship Id="rId1412" Type="http://schemas.openxmlformats.org/officeDocument/2006/relationships/hyperlink" Target="https://www.shepper.com" TargetMode="External"/><Relationship Id="rId2743" Type="http://schemas.openxmlformats.org/officeDocument/2006/relationships/hyperlink" Target="https://www.l-tron.com" TargetMode="External"/><Relationship Id="rId1413" Type="http://schemas.openxmlformats.org/officeDocument/2006/relationships/hyperlink" Target="https://www.zebra.com" TargetMode="External"/><Relationship Id="rId2744" Type="http://schemas.openxmlformats.org/officeDocument/2006/relationships/hyperlink" Target="https://www.menaalliances.com" TargetMode="External"/><Relationship Id="rId1414" Type="http://schemas.openxmlformats.org/officeDocument/2006/relationships/hyperlink" Target="https://www.datavtech.com" TargetMode="External"/><Relationship Id="rId2745" Type="http://schemas.openxmlformats.org/officeDocument/2006/relationships/hyperlink" Target="https://www.yourpersonal.ai" TargetMode="External"/><Relationship Id="rId1415" Type="http://schemas.openxmlformats.org/officeDocument/2006/relationships/hyperlink" Target="https://www.hansaresearch.com" TargetMode="External"/><Relationship Id="rId2746" Type="http://schemas.openxmlformats.org/officeDocument/2006/relationships/hyperlink" Target="https://www.reconanalytics.com" TargetMode="External"/><Relationship Id="rId1416" Type="http://schemas.openxmlformats.org/officeDocument/2006/relationships/hyperlink" Target="https://www.dataqa.ai" TargetMode="External"/><Relationship Id="rId2747" Type="http://schemas.openxmlformats.org/officeDocument/2006/relationships/hyperlink" Target="https://www.e-sensia.com" TargetMode="External"/><Relationship Id="rId1417" Type="http://schemas.openxmlformats.org/officeDocument/2006/relationships/hyperlink" Target="https://www.appice.io" TargetMode="External"/><Relationship Id="rId2748" Type="http://schemas.openxmlformats.org/officeDocument/2006/relationships/hyperlink" Target="https://www.crucialdata.com" TargetMode="External"/><Relationship Id="rId1418" Type="http://schemas.openxmlformats.org/officeDocument/2006/relationships/hyperlink" Target="https://www.survox.com" TargetMode="External"/><Relationship Id="rId2749" Type="http://schemas.openxmlformats.org/officeDocument/2006/relationships/hyperlink" Target="https://www.taskmonk.ai" TargetMode="External"/><Relationship Id="rId1419" Type="http://schemas.openxmlformats.org/officeDocument/2006/relationships/hyperlink" Target="https://www.mrlsolutions.com" TargetMode="External"/><Relationship Id="rId2740" Type="http://schemas.openxmlformats.org/officeDocument/2006/relationships/hyperlink" Target="https://www.flipside.ai" TargetMode="External"/><Relationship Id="rId1410" Type="http://schemas.openxmlformats.org/officeDocument/2006/relationships/hyperlink" Target="https://www.proberesearch.com" TargetMode="External"/><Relationship Id="rId2741" Type="http://schemas.openxmlformats.org/officeDocument/2006/relationships/hyperlink" Target="https://www.mandli.com" TargetMode="External"/><Relationship Id="rId1400" Type="http://schemas.openxmlformats.org/officeDocument/2006/relationships/hyperlink" Target="https://www.gdcc.com" TargetMode="External"/><Relationship Id="rId2731" Type="http://schemas.openxmlformats.org/officeDocument/2006/relationships/hyperlink" Target="https://www.fieldagent.net" TargetMode="External"/><Relationship Id="rId1401" Type="http://schemas.openxmlformats.org/officeDocument/2006/relationships/hyperlink" Target="https://www.kaiwangdata.com" TargetMode="External"/><Relationship Id="rId2732" Type="http://schemas.openxmlformats.org/officeDocument/2006/relationships/hyperlink" Target="https://www.rookout.com" TargetMode="External"/><Relationship Id="rId1402" Type="http://schemas.openxmlformats.org/officeDocument/2006/relationships/hyperlink" Target="https://www.statshub.com" TargetMode="External"/><Relationship Id="rId2733" Type="http://schemas.openxmlformats.org/officeDocument/2006/relationships/hyperlink" Target="https://www.humanifi.ai" TargetMode="External"/><Relationship Id="rId1403" Type="http://schemas.openxmlformats.org/officeDocument/2006/relationships/hyperlink" Target="https://www.utgis.com" TargetMode="External"/><Relationship Id="rId2734" Type="http://schemas.openxmlformats.org/officeDocument/2006/relationships/hyperlink" Target="https://www.digniti.com" TargetMode="External"/><Relationship Id="rId1404" Type="http://schemas.openxmlformats.org/officeDocument/2006/relationships/hyperlink" Target="https://www.mimotechnologies.com" TargetMode="External"/><Relationship Id="rId2735" Type="http://schemas.openxmlformats.org/officeDocument/2006/relationships/hyperlink" Target="https://www.imserv.com" TargetMode="External"/><Relationship Id="rId1405" Type="http://schemas.openxmlformats.org/officeDocument/2006/relationships/hyperlink" Target="https://www.globaltechsolutions.com" TargetMode="External"/><Relationship Id="rId2736" Type="http://schemas.openxmlformats.org/officeDocument/2006/relationships/hyperlink" Target="https://www.ivueit.com" TargetMode="External"/><Relationship Id="rId1406" Type="http://schemas.openxmlformats.org/officeDocument/2006/relationships/hyperlink" Target="https://www.darlinggeomatics.com" TargetMode="External"/><Relationship Id="rId2737" Type="http://schemas.openxmlformats.org/officeDocument/2006/relationships/hyperlink" Target="https://www.adzviser.com" TargetMode="External"/><Relationship Id="rId1407" Type="http://schemas.openxmlformats.org/officeDocument/2006/relationships/hyperlink" Target="https://www.dronahq.com" TargetMode="External"/><Relationship Id="rId2738" Type="http://schemas.openxmlformats.org/officeDocument/2006/relationships/hyperlink" Target="https://www.bluecircleadvisors.com" TargetMode="External"/><Relationship Id="rId1408" Type="http://schemas.openxmlformats.org/officeDocument/2006/relationships/hyperlink" Target="https://www.phoneticall.com" TargetMode="External"/><Relationship Id="rId2739" Type="http://schemas.openxmlformats.org/officeDocument/2006/relationships/hyperlink" Target="https://www.skylinerobotics.com" TargetMode="External"/><Relationship Id="rId1409" Type="http://schemas.openxmlformats.org/officeDocument/2006/relationships/hyperlink" Target="https://www.aceshealth.com" TargetMode="External"/><Relationship Id="rId2730" Type="http://schemas.openxmlformats.org/officeDocument/2006/relationships/hyperlink" Target="https://www.diamondtech.com" TargetMode="External"/><Relationship Id="rId1433" Type="http://schemas.openxmlformats.org/officeDocument/2006/relationships/hyperlink" Target="https://www.deepmarketing.com" TargetMode="External"/><Relationship Id="rId2764" Type="http://schemas.openxmlformats.org/officeDocument/2006/relationships/hyperlink" Target="https://www.visitbasis.com" TargetMode="External"/><Relationship Id="rId1434" Type="http://schemas.openxmlformats.org/officeDocument/2006/relationships/hyperlink" Target="https://www.birdnestservices.com" TargetMode="External"/><Relationship Id="rId2765" Type="http://schemas.openxmlformats.org/officeDocument/2006/relationships/hyperlink" Target="https://www.fieldsresearch.com" TargetMode="External"/><Relationship Id="rId1435" Type="http://schemas.openxmlformats.org/officeDocument/2006/relationships/hyperlink" Target="https://www.pinpointresearch.com" TargetMode="External"/><Relationship Id="rId2766" Type="http://schemas.openxmlformats.org/officeDocument/2006/relationships/hyperlink" Target="https://www.synthetaic.com" TargetMode="External"/><Relationship Id="rId1436" Type="http://schemas.openxmlformats.org/officeDocument/2006/relationships/hyperlink" Target="https://www.shaftapp.com" TargetMode="External"/><Relationship Id="rId2767" Type="http://schemas.openxmlformats.org/officeDocument/2006/relationships/hyperlink" Target="https://www.heex.io" TargetMode="External"/><Relationship Id="rId1437" Type="http://schemas.openxmlformats.org/officeDocument/2006/relationships/hyperlink" Target="https://www.monostate.com" TargetMode="External"/><Relationship Id="rId2768" Type="http://schemas.openxmlformats.org/officeDocument/2006/relationships/hyperlink" Target="https://www.liva.ai" TargetMode="External"/><Relationship Id="rId1438" Type="http://schemas.openxmlformats.org/officeDocument/2006/relationships/hyperlink" Target="https://www.webtalk.co" TargetMode="External"/><Relationship Id="rId2769" Type="http://schemas.openxmlformats.org/officeDocument/2006/relationships/hyperlink" Target="https://www.axicode.com" TargetMode="External"/><Relationship Id="rId1439" Type="http://schemas.openxmlformats.org/officeDocument/2006/relationships/hyperlink" Target="https://www.beckenterprises.com" TargetMode="External"/><Relationship Id="rId609" Type="http://schemas.openxmlformats.org/officeDocument/2006/relationships/hyperlink" Target="https://educatly.com" TargetMode="External"/><Relationship Id="rId608" Type="http://schemas.openxmlformats.org/officeDocument/2006/relationships/hyperlink" Target="https://hokali.com" TargetMode="External"/><Relationship Id="rId607" Type="http://schemas.openxmlformats.org/officeDocument/2006/relationships/hyperlink" Target="https://logicbloom.ai" TargetMode="External"/><Relationship Id="rId602" Type="http://schemas.openxmlformats.org/officeDocument/2006/relationships/hyperlink" Target="https://spark.ai" TargetMode="External"/><Relationship Id="rId601" Type="http://schemas.openxmlformats.org/officeDocument/2006/relationships/hyperlink" Target="https://marathoneducation.com" TargetMode="External"/><Relationship Id="rId600" Type="http://schemas.openxmlformats.org/officeDocument/2006/relationships/hyperlink" Target="https://appentra.com" TargetMode="External"/><Relationship Id="rId606" Type="http://schemas.openxmlformats.org/officeDocument/2006/relationships/hyperlink" Target="https://leya.ai" TargetMode="External"/><Relationship Id="rId605" Type="http://schemas.openxmlformats.org/officeDocument/2006/relationships/hyperlink" Target="https://kukua.co" TargetMode="External"/><Relationship Id="rId604" Type="http://schemas.openxmlformats.org/officeDocument/2006/relationships/hyperlink" Target="https://www.trueleap.com" TargetMode="External"/><Relationship Id="rId603" Type="http://schemas.openxmlformats.org/officeDocument/2006/relationships/hyperlink" Target="https://www.insidetrack.org" TargetMode="External"/><Relationship Id="rId2760" Type="http://schemas.openxmlformats.org/officeDocument/2006/relationships/hyperlink" Target="https://www.aimleap.com" TargetMode="External"/><Relationship Id="rId1430" Type="http://schemas.openxmlformats.org/officeDocument/2006/relationships/hyperlink" Target="https://www.optimalmonitoring.com" TargetMode="External"/><Relationship Id="rId2761" Type="http://schemas.openxmlformats.org/officeDocument/2006/relationships/hyperlink" Target="https://www.datacorp.com" TargetMode="External"/><Relationship Id="rId1431" Type="http://schemas.openxmlformats.org/officeDocument/2006/relationships/hyperlink" Target="https://www.inventivesoftware.com" TargetMode="External"/><Relationship Id="rId2762" Type="http://schemas.openxmlformats.org/officeDocument/2006/relationships/hyperlink" Target="https://www.alljoined.com" TargetMode="External"/><Relationship Id="rId1432" Type="http://schemas.openxmlformats.org/officeDocument/2006/relationships/hyperlink" Target="https://www.manoraz.com" TargetMode="External"/><Relationship Id="rId2763" Type="http://schemas.openxmlformats.org/officeDocument/2006/relationships/hyperlink" Target="https://www.terrysoot.com" TargetMode="External"/><Relationship Id="rId1422" Type="http://schemas.openxmlformats.org/officeDocument/2006/relationships/hyperlink" Target="https://www.mestec.com" TargetMode="External"/><Relationship Id="rId2753" Type="http://schemas.openxmlformats.org/officeDocument/2006/relationships/hyperlink" Target="https://www.tsecond.com" TargetMode="External"/><Relationship Id="rId1423" Type="http://schemas.openxmlformats.org/officeDocument/2006/relationships/hyperlink" Target="https://www.researchsupport.com" TargetMode="External"/><Relationship Id="rId2754" Type="http://schemas.openxmlformats.org/officeDocument/2006/relationships/hyperlink" Target="https://www.dataneuron.ai" TargetMode="External"/><Relationship Id="rId1424" Type="http://schemas.openxmlformats.org/officeDocument/2006/relationships/hyperlink" Target="https://www.youedata.com" TargetMode="External"/><Relationship Id="rId2755" Type="http://schemas.openxmlformats.org/officeDocument/2006/relationships/hyperlink" Target="https://www.wbaresearch.com" TargetMode="External"/><Relationship Id="rId1425" Type="http://schemas.openxmlformats.org/officeDocument/2006/relationships/hyperlink" Target="https://www.pythiasports.com" TargetMode="External"/><Relationship Id="rId2756" Type="http://schemas.openxmlformats.org/officeDocument/2006/relationships/hyperlink" Target="http://playdo.ai" TargetMode="External"/><Relationship Id="rId1426" Type="http://schemas.openxmlformats.org/officeDocument/2006/relationships/hyperlink" Target="https://www.branchsolutions.com" TargetMode="External"/><Relationship Id="rId2757" Type="http://schemas.openxmlformats.org/officeDocument/2006/relationships/hyperlink" Target="https://www.playdo.ai" TargetMode="External"/><Relationship Id="rId1427" Type="http://schemas.openxmlformats.org/officeDocument/2006/relationships/hyperlink" Target="https://www.oxonepi.com" TargetMode="External"/><Relationship Id="rId2758" Type="http://schemas.openxmlformats.org/officeDocument/2006/relationships/hyperlink" Target="https://www.mainelistings.com" TargetMode="External"/><Relationship Id="rId1428" Type="http://schemas.openxmlformats.org/officeDocument/2006/relationships/hyperlink" Target="https://www.navjoy.com" TargetMode="External"/><Relationship Id="rId2759" Type="http://schemas.openxmlformats.org/officeDocument/2006/relationships/hyperlink" Target="https://www.reelr.com" TargetMode="External"/><Relationship Id="rId1429" Type="http://schemas.openxmlformats.org/officeDocument/2006/relationships/hyperlink" Target="https://www.papaproxy.com" TargetMode="External"/><Relationship Id="rId2750" Type="http://schemas.openxmlformats.org/officeDocument/2006/relationships/hyperlink" Target="https://www.bytebridge.com" TargetMode="External"/><Relationship Id="rId1420" Type="http://schemas.openxmlformats.org/officeDocument/2006/relationships/hyperlink" Target="https://www.vossscientific.com" TargetMode="External"/><Relationship Id="rId2751" Type="http://schemas.openxmlformats.org/officeDocument/2006/relationships/hyperlink" Target="https://www.decipherinc.com" TargetMode="External"/><Relationship Id="rId1421" Type="http://schemas.openxmlformats.org/officeDocument/2006/relationships/hyperlink" Target="https://www.heor.com" TargetMode="External"/><Relationship Id="rId2752" Type="http://schemas.openxmlformats.org/officeDocument/2006/relationships/hyperlink" Target="https://www.edibleproject.org" TargetMode="External"/><Relationship Id="rId3238" Type="http://schemas.openxmlformats.org/officeDocument/2006/relationships/hyperlink" Target="https://www.kicoedu.com" TargetMode="External"/><Relationship Id="rId3237" Type="http://schemas.openxmlformats.org/officeDocument/2006/relationships/hyperlink" Target="https://www.keypointtech.com" TargetMode="External"/><Relationship Id="rId3239" Type="http://schemas.openxmlformats.org/officeDocument/2006/relationships/hyperlink" Target="https://www.kinderkids.com" TargetMode="External"/><Relationship Id="rId3230" Type="http://schemas.openxmlformats.org/officeDocument/2006/relationships/hyperlink" Target="https://damsdelhi.com" TargetMode="External"/><Relationship Id="rId3232" Type="http://schemas.openxmlformats.org/officeDocument/2006/relationships/hyperlink" Target="https://www.delphinus.co.in" TargetMode="External"/><Relationship Id="rId3231" Type="http://schemas.openxmlformats.org/officeDocument/2006/relationships/hyperlink" Target="https://www.delphianlogic.com" TargetMode="External"/><Relationship Id="rId3234" Type="http://schemas.openxmlformats.org/officeDocument/2006/relationships/hyperlink" Target="https://www.kaptest.com" TargetMode="External"/><Relationship Id="rId3233" Type="http://schemas.openxmlformats.org/officeDocument/2006/relationships/hyperlink" Target="https://www.kaplan.com" TargetMode="External"/><Relationship Id="rId3236" Type="http://schemas.openxmlformats.org/officeDocument/2006/relationships/hyperlink" Target="https://www.kiel.co.in" TargetMode="External"/><Relationship Id="rId3235" Type="http://schemas.openxmlformats.org/officeDocument/2006/relationships/hyperlink" Target="https://www.keducon.com" TargetMode="External"/><Relationship Id="rId3227" Type="http://schemas.openxmlformats.org/officeDocument/2006/relationships/hyperlink" Target="https://www.darkwolfsolutions.com" TargetMode="External"/><Relationship Id="rId3226" Type="http://schemas.openxmlformats.org/officeDocument/2006/relationships/hyperlink" Target="https://danielcode.com" TargetMode="External"/><Relationship Id="rId3229" Type="http://schemas.openxmlformats.org/officeDocument/2006/relationships/hyperlink" Target="https://www.defencetaiyari.com" TargetMode="External"/><Relationship Id="rId3228" Type="http://schemas.openxmlformats.org/officeDocument/2006/relationships/hyperlink" Target="https://www.dbmci.com" TargetMode="External"/><Relationship Id="rId699" Type="http://schemas.openxmlformats.org/officeDocument/2006/relationships/hyperlink" Target="https://galaxyeducation.com" TargetMode="External"/><Relationship Id="rId698" Type="http://schemas.openxmlformats.org/officeDocument/2006/relationships/hyperlink" Target="https://www.volleygame.com" TargetMode="External"/><Relationship Id="rId693" Type="http://schemas.openxmlformats.org/officeDocument/2006/relationships/hyperlink" Target="https://researchintegritychain.com" TargetMode="External"/><Relationship Id="rId692" Type="http://schemas.openxmlformats.org/officeDocument/2006/relationships/hyperlink" Target="https://joacademy.com" TargetMode="External"/><Relationship Id="rId691" Type="http://schemas.openxmlformats.org/officeDocument/2006/relationships/hyperlink" Target="https://www.boxlight.com" TargetMode="External"/><Relationship Id="rId3221" Type="http://schemas.openxmlformats.org/officeDocument/2006/relationships/hyperlink" Target="https://cubedigico.com" TargetMode="External"/><Relationship Id="rId690" Type="http://schemas.openxmlformats.org/officeDocument/2006/relationships/hyperlink" Target="https://sprints.ai" TargetMode="External"/><Relationship Id="rId3220" Type="http://schemas.openxmlformats.org/officeDocument/2006/relationships/hyperlink" Target="https://cu2.ai" TargetMode="External"/><Relationship Id="rId697" Type="http://schemas.openxmlformats.org/officeDocument/2006/relationships/hyperlink" Target="https://classum.com" TargetMode="External"/><Relationship Id="rId3223" Type="http://schemas.openxmlformats.org/officeDocument/2006/relationships/hyperlink" Target="https://curriculumadvantage.com" TargetMode="External"/><Relationship Id="rId696" Type="http://schemas.openxmlformats.org/officeDocument/2006/relationships/hyperlink" Target="https://www.pluralsight.com" TargetMode="External"/><Relationship Id="rId3222" Type="http://schemas.openxmlformats.org/officeDocument/2006/relationships/hyperlink" Target="https://cuelearn.com" TargetMode="External"/><Relationship Id="rId695" Type="http://schemas.openxmlformats.org/officeDocument/2006/relationships/hyperlink" Target="https://dendritichealth.ai" TargetMode="External"/><Relationship Id="rId3225" Type="http://schemas.openxmlformats.org/officeDocument/2006/relationships/hyperlink" Target="https://www.cybershala.com" TargetMode="External"/><Relationship Id="rId694" Type="http://schemas.openxmlformats.org/officeDocument/2006/relationships/hyperlink" Target="https://stemdo.co" TargetMode="External"/><Relationship Id="rId3224" Type="http://schemas.openxmlformats.org/officeDocument/2006/relationships/hyperlink" Target="https://customlearningdesigns.com" TargetMode="External"/><Relationship Id="rId3259" Type="http://schemas.openxmlformats.org/officeDocument/2006/relationships/hyperlink" Target="https://www.learnlight.com" TargetMode="External"/><Relationship Id="rId3250" Type="http://schemas.openxmlformats.org/officeDocument/2006/relationships/hyperlink" Target="https://www.lasallecollege.com" TargetMode="External"/><Relationship Id="rId3252" Type="http://schemas.openxmlformats.org/officeDocument/2006/relationships/hyperlink" Target="https://learnapp.com" TargetMode="External"/><Relationship Id="rId3251" Type="http://schemas.openxmlformats.org/officeDocument/2006/relationships/hyperlink" Target="https://lawsikho.com" TargetMode="External"/><Relationship Id="rId3254" Type="http://schemas.openxmlformats.org/officeDocument/2006/relationships/hyperlink" Target="https://www.learninga-z.com" TargetMode="External"/><Relationship Id="rId3253" Type="http://schemas.openxmlformats.org/officeDocument/2006/relationships/hyperlink" Target="https://www.learnfromguru.com" TargetMode="External"/><Relationship Id="rId3256" Type="http://schemas.openxmlformats.org/officeDocument/2006/relationships/hyperlink" Target="https://www.learningroutes.in" TargetMode="External"/><Relationship Id="rId3255" Type="http://schemas.openxmlformats.org/officeDocument/2006/relationships/hyperlink" Target="https://www.learninginnovations.com" TargetMode="External"/><Relationship Id="rId3258" Type="http://schemas.openxmlformats.org/officeDocument/2006/relationships/hyperlink" Target="https://www.learningsystemsgroup.com" TargetMode="External"/><Relationship Id="rId3257" Type="http://schemas.openxmlformats.org/officeDocument/2006/relationships/hyperlink" Target="https://www.learningsciences.com" TargetMode="External"/><Relationship Id="rId3249" Type="http://schemas.openxmlformats.org/officeDocument/2006/relationships/hyperlink" Target="https://www.lntedutech.com" TargetMode="External"/><Relationship Id="rId3248" Type="http://schemas.openxmlformats.org/officeDocument/2006/relationships/hyperlink" Target="https://www.kyteway.com" TargetMode="External"/><Relationship Id="rId3241" Type="http://schemas.openxmlformats.org/officeDocument/2006/relationships/hyperlink" Target="https://www.knowfully.com" TargetMode="External"/><Relationship Id="rId3240" Type="http://schemas.openxmlformats.org/officeDocument/2006/relationships/hyperlink" Target="https://www.kineticlearning.com" TargetMode="External"/><Relationship Id="rId3243" Type="http://schemas.openxmlformats.org/officeDocument/2006/relationships/hyperlink" Target="https://www.knowledgeq.com" TargetMode="External"/><Relationship Id="rId3242" Type="http://schemas.openxmlformats.org/officeDocument/2006/relationships/hyperlink" Target="https://www.knowledgehut.com" TargetMode="External"/><Relationship Id="rId3245" Type="http://schemas.openxmlformats.org/officeDocument/2006/relationships/hyperlink" Target="https://www.kgllearning.com" TargetMode="External"/><Relationship Id="rId3244" Type="http://schemas.openxmlformats.org/officeDocument/2006/relationships/hyperlink" Target="https://www.knowledgestart.com" TargetMode="External"/><Relationship Id="rId3247" Type="http://schemas.openxmlformats.org/officeDocument/2006/relationships/hyperlink" Target="https://www.kubicle.com" TargetMode="External"/><Relationship Id="rId3246" Type="http://schemas.openxmlformats.org/officeDocument/2006/relationships/hyperlink" Target="https://www.kodeco.com" TargetMode="External"/><Relationship Id="rId1499" Type="http://schemas.openxmlformats.org/officeDocument/2006/relationships/hyperlink" Target="https://www.vistalogic.com" TargetMode="External"/><Relationship Id="rId668" Type="http://schemas.openxmlformats.org/officeDocument/2006/relationships/hyperlink" Target="https://heroesmade.com" TargetMode="External"/><Relationship Id="rId667" Type="http://schemas.openxmlformats.org/officeDocument/2006/relationships/hyperlink" Target="https://payskul.com" TargetMode="External"/><Relationship Id="rId666" Type="http://schemas.openxmlformats.org/officeDocument/2006/relationships/hyperlink" Target="https://www.practically.com" TargetMode="External"/><Relationship Id="rId665" Type="http://schemas.openxmlformats.org/officeDocument/2006/relationships/hyperlink" Target="https://readmio.com" TargetMode="External"/><Relationship Id="rId669" Type="http://schemas.openxmlformats.org/officeDocument/2006/relationships/hyperlink" Target="https://www.zerogravity.education" TargetMode="External"/><Relationship Id="rId1490" Type="http://schemas.openxmlformats.org/officeDocument/2006/relationships/hyperlink" Target="https://www.nrfs.com" TargetMode="External"/><Relationship Id="rId660" Type="http://schemas.openxmlformats.org/officeDocument/2006/relationships/hyperlink" Target="https://www.northpass.com" TargetMode="External"/><Relationship Id="rId1491" Type="http://schemas.openxmlformats.org/officeDocument/2006/relationships/hyperlink" Target="https://www.rocketenterprisesolutions.com" TargetMode="External"/><Relationship Id="rId1492" Type="http://schemas.openxmlformats.org/officeDocument/2006/relationships/hyperlink" Target="https://www.alpineocean.com" TargetMode="External"/><Relationship Id="rId1493" Type="http://schemas.openxmlformats.org/officeDocument/2006/relationships/hyperlink" Target="https://www.alchemer.com" TargetMode="External"/><Relationship Id="rId1494" Type="http://schemas.openxmlformats.org/officeDocument/2006/relationships/hyperlink" Target="https://www.socketmobile.com" TargetMode="External"/><Relationship Id="rId664" Type="http://schemas.openxmlformats.org/officeDocument/2006/relationships/hyperlink" Target="https://wibo.ai" TargetMode="External"/><Relationship Id="rId1495" Type="http://schemas.openxmlformats.org/officeDocument/2006/relationships/hyperlink" Target="https://www.mohrstade.com" TargetMode="External"/><Relationship Id="rId663" Type="http://schemas.openxmlformats.org/officeDocument/2006/relationships/hyperlink" Target="https://habitatlearn.com" TargetMode="External"/><Relationship Id="rId1496" Type="http://schemas.openxmlformats.org/officeDocument/2006/relationships/hyperlink" Target="https://www.elasticpersonas.com" TargetMode="External"/><Relationship Id="rId662" Type="http://schemas.openxmlformats.org/officeDocument/2006/relationships/hyperlink" Target="https://skilltrade.com" TargetMode="External"/><Relationship Id="rId1497" Type="http://schemas.openxmlformats.org/officeDocument/2006/relationships/hyperlink" Target="https://www.iviu.com" TargetMode="External"/><Relationship Id="rId661" Type="http://schemas.openxmlformats.org/officeDocument/2006/relationships/hyperlink" Target="https://playtag.ai" TargetMode="External"/><Relationship Id="rId1498" Type="http://schemas.openxmlformats.org/officeDocument/2006/relationships/hyperlink" Target="https://www.auroramr.com" TargetMode="External"/><Relationship Id="rId1488" Type="http://schemas.openxmlformats.org/officeDocument/2006/relationships/hyperlink" Target="https://www.whleary.com" TargetMode="External"/><Relationship Id="rId1489" Type="http://schemas.openxmlformats.org/officeDocument/2006/relationships/hyperlink" Target="https://www.nexussolutions.com" TargetMode="External"/><Relationship Id="rId657" Type="http://schemas.openxmlformats.org/officeDocument/2006/relationships/hyperlink" Target="https://kurios.com" TargetMode="External"/><Relationship Id="rId656" Type="http://schemas.openxmlformats.org/officeDocument/2006/relationships/hyperlink" Target="https://madlen.io" TargetMode="External"/><Relationship Id="rId655" Type="http://schemas.openxmlformats.org/officeDocument/2006/relationships/hyperlink" Target="https://www.mycaptain.in" TargetMode="External"/><Relationship Id="rId654" Type="http://schemas.openxmlformats.org/officeDocument/2006/relationships/hyperlink" Target="https://stych.com" TargetMode="External"/><Relationship Id="rId659" Type="http://schemas.openxmlformats.org/officeDocument/2006/relationships/hyperlink" Target="https://fullmeasureedu.com" TargetMode="External"/><Relationship Id="rId658" Type="http://schemas.openxmlformats.org/officeDocument/2006/relationships/hyperlink" Target="https://studyverse.ai" TargetMode="External"/><Relationship Id="rId1480" Type="http://schemas.openxmlformats.org/officeDocument/2006/relationships/hyperlink" Target="https://www.precisionresearch.com" TargetMode="External"/><Relationship Id="rId1481" Type="http://schemas.openxmlformats.org/officeDocument/2006/relationships/hyperlink" Target="https://www.surveypacific.com" TargetMode="External"/><Relationship Id="rId1482" Type="http://schemas.openxmlformats.org/officeDocument/2006/relationships/hyperlink" Target="https://www.kotwel.com" TargetMode="External"/><Relationship Id="rId1483" Type="http://schemas.openxmlformats.org/officeDocument/2006/relationships/hyperlink" Target="https://www.limbit.com" TargetMode="External"/><Relationship Id="rId653" Type="http://schemas.openxmlformats.org/officeDocument/2006/relationships/hyperlink" Target="https://wildzebra.com" TargetMode="External"/><Relationship Id="rId1484" Type="http://schemas.openxmlformats.org/officeDocument/2006/relationships/hyperlink" Target="https://www.datacorptraffic.com" TargetMode="External"/><Relationship Id="rId652" Type="http://schemas.openxmlformats.org/officeDocument/2006/relationships/hyperlink" Target="https://vincoedu.com" TargetMode="External"/><Relationship Id="rId1485" Type="http://schemas.openxmlformats.org/officeDocument/2006/relationships/hyperlink" Target="https://www.alltrafficdata.com" TargetMode="External"/><Relationship Id="rId651" Type="http://schemas.openxmlformats.org/officeDocument/2006/relationships/hyperlink" Target="https://tanoshi.ai" TargetMode="External"/><Relationship Id="rId1486" Type="http://schemas.openxmlformats.org/officeDocument/2006/relationships/hyperlink" Target="https://www.cytechservices.com" TargetMode="External"/><Relationship Id="rId650" Type="http://schemas.openxmlformats.org/officeDocument/2006/relationships/hyperlink" Target="https://www.fluentcity.com" TargetMode="External"/><Relationship Id="rId1487" Type="http://schemas.openxmlformats.org/officeDocument/2006/relationships/hyperlink" Target="https://www.morrowconsulting.com" TargetMode="External"/><Relationship Id="rId3216" Type="http://schemas.openxmlformats.org/officeDocument/2006/relationships/hyperlink" Target="https://crocodiles.in" TargetMode="External"/><Relationship Id="rId3215" Type="http://schemas.openxmlformats.org/officeDocument/2006/relationships/hyperlink" Target="https://www.crestolympiads.com" TargetMode="External"/><Relationship Id="rId3218" Type="http://schemas.openxmlformats.org/officeDocument/2006/relationships/hyperlink" Target="https://cruisecoders.com" TargetMode="External"/><Relationship Id="rId3217" Type="http://schemas.openxmlformats.org/officeDocument/2006/relationships/hyperlink" Target="https://crowdengine.ai" TargetMode="External"/><Relationship Id="rId3219" Type="http://schemas.openxmlformats.org/officeDocument/2006/relationships/hyperlink" Target="https://crystaldelta.com" TargetMode="External"/><Relationship Id="rId689" Type="http://schemas.openxmlformats.org/officeDocument/2006/relationships/hyperlink" Target="https://nu.education" TargetMode="External"/><Relationship Id="rId688" Type="http://schemas.openxmlformats.org/officeDocument/2006/relationships/hyperlink" Target="https://www.pi-top.com" TargetMode="External"/><Relationship Id="rId687" Type="http://schemas.openxmlformats.org/officeDocument/2006/relationships/hyperlink" Target="https://kinoo.world" TargetMode="External"/><Relationship Id="rId682" Type="http://schemas.openxmlformats.org/officeDocument/2006/relationships/hyperlink" Target="https://www.babbel.com" TargetMode="External"/><Relationship Id="rId681" Type="http://schemas.openxmlformats.org/officeDocument/2006/relationships/hyperlink" Target="https://wordflow.ai" TargetMode="External"/><Relationship Id="rId680" Type="http://schemas.openxmlformats.org/officeDocument/2006/relationships/hyperlink" Target="https://www.typsy.com" TargetMode="External"/><Relationship Id="rId3210" Type="http://schemas.openxmlformats.org/officeDocument/2006/relationships/hyperlink" Target="https://www.cramster.com" TargetMode="External"/><Relationship Id="rId686" Type="http://schemas.openxmlformats.org/officeDocument/2006/relationships/hyperlink" Target="https://mate.academy" TargetMode="External"/><Relationship Id="rId3212" Type="http://schemas.openxmlformats.org/officeDocument/2006/relationships/hyperlink" Target="https://creativepacific.com" TargetMode="External"/><Relationship Id="rId685" Type="http://schemas.openxmlformats.org/officeDocument/2006/relationships/hyperlink" Target="https://tophat.com" TargetMode="External"/><Relationship Id="rId3211" Type="http://schemas.openxmlformats.org/officeDocument/2006/relationships/hyperlink" Target="https://www.crazyforstudy.com" TargetMode="External"/><Relationship Id="rId684" Type="http://schemas.openxmlformats.org/officeDocument/2006/relationships/hyperlink" Target="https://www.grovo.com" TargetMode="External"/><Relationship Id="rId3214" Type="http://schemas.openxmlformats.org/officeDocument/2006/relationships/hyperlink" Target="https://crestchamps.com" TargetMode="External"/><Relationship Id="rId683" Type="http://schemas.openxmlformats.org/officeDocument/2006/relationships/hyperlink" Target="https://wisboo.com" TargetMode="External"/><Relationship Id="rId3213" Type="http://schemas.openxmlformats.org/officeDocument/2006/relationships/hyperlink" Target="https://creativevisions.org" TargetMode="External"/><Relationship Id="rId3205" Type="http://schemas.openxmlformats.org/officeDocument/2006/relationships/hyperlink" Target="https://corpuslearning.com" TargetMode="External"/><Relationship Id="rId3204" Type="http://schemas.openxmlformats.org/officeDocument/2006/relationships/hyperlink" Target="https://www.corporatesim.com" TargetMode="External"/><Relationship Id="rId3207" Type="http://schemas.openxmlformats.org/officeDocument/2006/relationships/hyperlink" Target="https://cosmicglobal.com" TargetMode="External"/><Relationship Id="rId3206" Type="http://schemas.openxmlformats.org/officeDocument/2006/relationships/hyperlink" Target="https://corsairstrategies.com" TargetMode="External"/><Relationship Id="rId3209" Type="http://schemas.openxmlformats.org/officeDocument/2006/relationships/hyperlink" Target="https://www.coxcampus.org" TargetMode="External"/><Relationship Id="rId3208" Type="http://schemas.openxmlformats.org/officeDocument/2006/relationships/hyperlink" Target="https://www.coursefactory.ai" TargetMode="External"/><Relationship Id="rId679" Type="http://schemas.openxmlformats.org/officeDocument/2006/relationships/hyperlink" Target="https://brainbite.ai" TargetMode="External"/><Relationship Id="rId678" Type="http://schemas.openxmlformats.org/officeDocument/2006/relationships/hyperlink" Target="https://www.talgroup.com" TargetMode="External"/><Relationship Id="rId677" Type="http://schemas.openxmlformats.org/officeDocument/2006/relationships/hyperlink" Target="https://www.mrswordsmith.com" TargetMode="External"/><Relationship Id="rId676" Type="http://schemas.openxmlformats.org/officeDocument/2006/relationships/hyperlink" Target="https://bima.co.uk" TargetMode="External"/><Relationship Id="rId671" Type="http://schemas.openxmlformats.org/officeDocument/2006/relationships/hyperlink" Target="https://guideeducation.com" TargetMode="External"/><Relationship Id="rId670" Type="http://schemas.openxmlformats.org/officeDocument/2006/relationships/hyperlink" Target="https://swye360.com" TargetMode="External"/><Relationship Id="rId675" Type="http://schemas.openxmlformats.org/officeDocument/2006/relationships/hyperlink" Target="https://equmenopolis.org" TargetMode="External"/><Relationship Id="rId3201" Type="http://schemas.openxmlformats.org/officeDocument/2006/relationships/hyperlink" Target="https://www.corexcel.com" TargetMode="External"/><Relationship Id="rId674" Type="http://schemas.openxmlformats.org/officeDocument/2006/relationships/hyperlink" Target="https://lightsailed.com" TargetMode="External"/><Relationship Id="rId3200" Type="http://schemas.openxmlformats.org/officeDocument/2006/relationships/hyperlink" Target="https://www.coreaxis.com" TargetMode="External"/><Relationship Id="rId673" Type="http://schemas.openxmlformats.org/officeDocument/2006/relationships/hyperlink" Target="https://flawlessai.com" TargetMode="External"/><Relationship Id="rId3203" Type="http://schemas.openxmlformats.org/officeDocument/2006/relationships/hyperlink" Target="http://corporatesim.com" TargetMode="External"/><Relationship Id="rId672" Type="http://schemas.openxmlformats.org/officeDocument/2006/relationships/hyperlink" Target="https://golondrix.com" TargetMode="External"/><Relationship Id="rId3202" Type="http://schemas.openxmlformats.org/officeDocument/2006/relationships/hyperlink" Target="https://corporatefinanceinstitute.com" TargetMode="External"/><Relationship Id="rId190" Type="http://schemas.openxmlformats.org/officeDocument/2006/relationships/hyperlink" Target="https://podiumeducation.com" TargetMode="External"/><Relationship Id="rId194" Type="http://schemas.openxmlformats.org/officeDocument/2006/relationships/hyperlink" Target="https://openclassrooms.com" TargetMode="External"/><Relationship Id="rId193" Type="http://schemas.openxmlformats.org/officeDocument/2006/relationships/hyperlink" Target="https://lexibl.com" TargetMode="External"/><Relationship Id="rId192" Type="http://schemas.openxmlformats.org/officeDocument/2006/relationships/hyperlink" Target="https://meandmine.com" TargetMode="External"/><Relationship Id="rId191" Type="http://schemas.openxmlformats.org/officeDocument/2006/relationships/hyperlink" Target="https://www.varsitytutors.com" TargetMode="External"/><Relationship Id="rId187" Type="http://schemas.openxmlformats.org/officeDocument/2006/relationships/hyperlink" Target="https://www.dailyhuman.com" TargetMode="External"/><Relationship Id="rId186" Type="http://schemas.openxmlformats.org/officeDocument/2006/relationships/hyperlink" Target="https://teachy.app" TargetMode="External"/><Relationship Id="rId185" Type="http://schemas.openxmlformats.org/officeDocument/2006/relationships/hyperlink" Target="https://www.yuanfudao.com" TargetMode="External"/><Relationship Id="rId184" Type="http://schemas.openxmlformats.org/officeDocument/2006/relationships/hyperlink" Target="https://nuela.co" TargetMode="External"/><Relationship Id="rId189" Type="http://schemas.openxmlformats.org/officeDocument/2006/relationships/hyperlink" Target="https://yourwaylearning.com" TargetMode="External"/><Relationship Id="rId188" Type="http://schemas.openxmlformats.org/officeDocument/2006/relationships/hyperlink" Target="https://www.simpleshow.com" TargetMode="External"/><Relationship Id="rId183" Type="http://schemas.openxmlformats.org/officeDocument/2006/relationships/hyperlink" Target="https://neiry.ai" TargetMode="External"/><Relationship Id="rId182" Type="http://schemas.openxmlformats.org/officeDocument/2006/relationships/hyperlink" Target="https://cariina.com" TargetMode="External"/><Relationship Id="rId181" Type="http://schemas.openxmlformats.org/officeDocument/2006/relationships/hyperlink" Target="https://schola.com" TargetMode="External"/><Relationship Id="rId180" Type="http://schemas.openxmlformats.org/officeDocument/2006/relationships/hyperlink" Target="https://www.cengagegroup.com" TargetMode="External"/><Relationship Id="rId176" Type="http://schemas.openxmlformats.org/officeDocument/2006/relationships/hyperlink" Target="https://www.learnworlds.com" TargetMode="External"/><Relationship Id="rId175" Type="http://schemas.openxmlformats.org/officeDocument/2006/relationships/hyperlink" Target="https://www.mentorcollective.org" TargetMode="External"/><Relationship Id="rId174" Type="http://schemas.openxmlformats.org/officeDocument/2006/relationships/hyperlink" Target="https://milemarker.co" TargetMode="External"/><Relationship Id="rId173" Type="http://schemas.openxmlformats.org/officeDocument/2006/relationships/hyperlink" Target="https://arivihan.com" TargetMode="External"/><Relationship Id="rId179" Type="http://schemas.openxmlformats.org/officeDocument/2006/relationships/hyperlink" Target="https://nas.io" TargetMode="External"/><Relationship Id="rId178" Type="http://schemas.openxmlformats.org/officeDocument/2006/relationships/hyperlink" Target="http://nas.io" TargetMode="External"/><Relationship Id="rId177" Type="http://schemas.openxmlformats.org/officeDocument/2006/relationships/hyperlink" Target="https://honorlock.com" TargetMode="External"/><Relationship Id="rId198" Type="http://schemas.openxmlformats.org/officeDocument/2006/relationships/hyperlink" Target="https://ellipsiseducation.com" TargetMode="External"/><Relationship Id="rId197" Type="http://schemas.openxmlformats.org/officeDocument/2006/relationships/hyperlink" Target="https://www.altaclaro.com" TargetMode="External"/><Relationship Id="rId196" Type="http://schemas.openxmlformats.org/officeDocument/2006/relationships/hyperlink" Target="https://femaleinvest.com" TargetMode="External"/><Relationship Id="rId195" Type="http://schemas.openxmlformats.org/officeDocument/2006/relationships/hyperlink" Target="https://www.novakidschool.com" TargetMode="External"/><Relationship Id="rId199" Type="http://schemas.openxmlformats.org/officeDocument/2006/relationships/hyperlink" Target="https://passage.education" TargetMode="External"/><Relationship Id="rId150" Type="http://schemas.openxmlformats.org/officeDocument/2006/relationships/hyperlink" Target="https://walnutcoding.com" TargetMode="External"/><Relationship Id="rId149" Type="http://schemas.openxmlformats.org/officeDocument/2006/relationships/hyperlink" Target="https://www.perlego.com" TargetMode="External"/><Relationship Id="rId148" Type="http://schemas.openxmlformats.org/officeDocument/2006/relationships/hyperlink" Target="https://toddleapp.com" TargetMode="External"/><Relationship Id="rId3270" Type="http://schemas.openxmlformats.org/officeDocument/2006/relationships/hyperlink" Target="https://www.londoncollegeofonlinelearning.com" TargetMode="External"/><Relationship Id="rId3272" Type="http://schemas.openxmlformats.org/officeDocument/2006/relationships/hyperlink" Target="https://www.ltimindtree.com" TargetMode="External"/><Relationship Id="rId3271" Type="http://schemas.openxmlformats.org/officeDocument/2006/relationships/hyperlink" Target="https://online.lsu.edu" TargetMode="External"/><Relationship Id="rId143" Type="http://schemas.openxmlformats.org/officeDocument/2006/relationships/hyperlink" Target="https://lingawa.com" TargetMode="External"/><Relationship Id="rId3274" Type="http://schemas.openxmlformats.org/officeDocument/2006/relationships/hyperlink" Target="https://www.lumensacademy.com" TargetMode="External"/><Relationship Id="rId142" Type="http://schemas.openxmlformats.org/officeDocument/2006/relationships/hyperlink" Target="https://caribu.com" TargetMode="External"/><Relationship Id="rId3273" Type="http://schemas.openxmlformats.org/officeDocument/2006/relationships/hyperlink" Target="https://www.lucreskill.com" TargetMode="External"/><Relationship Id="rId141" Type="http://schemas.openxmlformats.org/officeDocument/2006/relationships/hyperlink" Target="https://www.inspiritai.com" TargetMode="External"/><Relationship Id="rId3276" Type="http://schemas.openxmlformats.org/officeDocument/2006/relationships/hyperlink" Target="http://lynda.com" TargetMode="External"/><Relationship Id="rId140" Type="http://schemas.openxmlformats.org/officeDocument/2006/relationships/hyperlink" Target="https://www.caltech.edu" TargetMode="External"/><Relationship Id="rId3275" Type="http://schemas.openxmlformats.org/officeDocument/2006/relationships/hyperlink" Target="https://www.luminadatamatics.com" TargetMode="External"/><Relationship Id="rId147" Type="http://schemas.openxmlformats.org/officeDocument/2006/relationships/hyperlink" Target="https://boom.ai" TargetMode="External"/><Relationship Id="rId3278" Type="http://schemas.openxmlformats.org/officeDocument/2006/relationships/hyperlink" Target="https://www.lynkube.com" TargetMode="External"/><Relationship Id="rId146" Type="http://schemas.openxmlformats.org/officeDocument/2006/relationships/hyperlink" Target="https://www.loora.ai" TargetMode="External"/><Relationship Id="rId3277" Type="http://schemas.openxmlformats.org/officeDocument/2006/relationships/hyperlink" Target="https://www.linkedin.com/learning" TargetMode="External"/><Relationship Id="rId145" Type="http://schemas.openxmlformats.org/officeDocument/2006/relationships/hyperlink" Target="https://vocalimage.app" TargetMode="External"/><Relationship Id="rId144" Type="http://schemas.openxmlformats.org/officeDocument/2006/relationships/hyperlink" Target="https://www.superbetter.com" TargetMode="External"/><Relationship Id="rId3279" Type="http://schemas.openxmlformats.org/officeDocument/2006/relationships/hyperlink" Target="https://www.m-educate.com" TargetMode="External"/><Relationship Id="rId139" Type="http://schemas.openxmlformats.org/officeDocument/2006/relationships/hyperlink" Target="https://majorleaguetrading.com" TargetMode="External"/><Relationship Id="rId138" Type="http://schemas.openxmlformats.org/officeDocument/2006/relationships/hyperlink" Target="https://creatorup.com" TargetMode="External"/><Relationship Id="rId137" Type="http://schemas.openxmlformats.org/officeDocument/2006/relationships/hyperlink" Target="https://hybecorp.com" TargetMode="External"/><Relationship Id="rId3261" Type="http://schemas.openxmlformats.org/officeDocument/2006/relationships/hyperlink" Target="https://www.learnskin.com" TargetMode="External"/><Relationship Id="rId3260" Type="http://schemas.openxmlformats.org/officeDocument/2006/relationships/hyperlink" Target="https://www.learnow.com" TargetMode="External"/><Relationship Id="rId132" Type="http://schemas.openxmlformats.org/officeDocument/2006/relationships/hyperlink" Target="https://riiid.com" TargetMode="External"/><Relationship Id="rId3263" Type="http://schemas.openxmlformats.org/officeDocument/2006/relationships/hyperlink" Target="https://www.lexialearning.com" TargetMode="External"/><Relationship Id="rId131" Type="http://schemas.openxmlformats.org/officeDocument/2006/relationships/hyperlink" Target="https://markerlearning.com" TargetMode="External"/><Relationship Id="rId3262" Type="http://schemas.openxmlformats.org/officeDocument/2006/relationships/hyperlink" Target="https://www.ledorbis.com" TargetMode="External"/><Relationship Id="rId130" Type="http://schemas.openxmlformats.org/officeDocument/2006/relationships/hyperlink" Target="https://www.vooks.com" TargetMode="External"/><Relationship Id="rId3265" Type="http://schemas.openxmlformats.org/officeDocument/2006/relationships/hyperlink" Target="https://www.lindsey.edu" TargetMode="External"/><Relationship Id="rId3264" Type="http://schemas.openxmlformats.org/officeDocument/2006/relationships/hyperlink" Target="https://www.lifeboard.in" TargetMode="External"/><Relationship Id="rId136" Type="http://schemas.openxmlformats.org/officeDocument/2006/relationships/hyperlink" Target="https://classplusapp.com" TargetMode="External"/><Relationship Id="rId3267" Type="http://schemas.openxmlformats.org/officeDocument/2006/relationships/hyperlink" Target="https://www.liqvid.com" TargetMode="External"/><Relationship Id="rId135" Type="http://schemas.openxmlformats.org/officeDocument/2006/relationships/hyperlink" Target="https://newnuclearmedia.com" TargetMode="External"/><Relationship Id="rId3266" Type="http://schemas.openxmlformats.org/officeDocument/2006/relationships/hyperlink" Target="https://www.lingco.com" TargetMode="External"/><Relationship Id="rId134" Type="http://schemas.openxmlformats.org/officeDocument/2006/relationships/hyperlink" Target="https://www.luca.ai" TargetMode="External"/><Relationship Id="rId3269" Type="http://schemas.openxmlformats.org/officeDocument/2006/relationships/hyperlink" Target="https://www.littlethinkingminds.com" TargetMode="External"/><Relationship Id="rId133" Type="http://schemas.openxmlformats.org/officeDocument/2006/relationships/hyperlink" Target="https://principiaedu.com" TargetMode="External"/><Relationship Id="rId3268" Type="http://schemas.openxmlformats.org/officeDocument/2006/relationships/hyperlink" Target="https://www.littlemillennium.com" TargetMode="External"/><Relationship Id="rId172" Type="http://schemas.openxmlformats.org/officeDocument/2006/relationships/hyperlink" Target="https://wayfindereducation.com" TargetMode="External"/><Relationship Id="rId171" Type="http://schemas.openxmlformats.org/officeDocument/2006/relationships/hyperlink" Target="https://uolo.com" TargetMode="External"/><Relationship Id="rId170" Type="http://schemas.openxmlformats.org/officeDocument/2006/relationships/hyperlink" Target="https://www.edufront.com" TargetMode="External"/><Relationship Id="rId3290" Type="http://schemas.openxmlformats.org/officeDocument/2006/relationships/hyperlink" Target="https://www.mastersoffice.com" TargetMode="External"/><Relationship Id="rId3292" Type="http://schemas.openxmlformats.org/officeDocument/2006/relationships/hyperlink" Target="https://www.meazurelearning.com" TargetMode="External"/><Relationship Id="rId3291" Type="http://schemas.openxmlformats.org/officeDocument/2006/relationships/hyperlink" Target="https://www.mathbuddy.co" TargetMode="External"/><Relationship Id="rId3294" Type="http://schemas.openxmlformats.org/officeDocument/2006/relationships/hyperlink" Target="https://www.medrcedu.com" TargetMode="External"/><Relationship Id="rId3293" Type="http://schemas.openxmlformats.org/officeDocument/2006/relationships/hyperlink" Target="https://www.mediologysoftware.com" TargetMode="External"/><Relationship Id="rId165" Type="http://schemas.openxmlformats.org/officeDocument/2006/relationships/hyperlink" Target="https://isaacphysics.org" TargetMode="External"/><Relationship Id="rId3296" Type="http://schemas.openxmlformats.org/officeDocument/2006/relationships/hyperlink" Target="https://www.medvarsity.com" TargetMode="External"/><Relationship Id="rId164" Type="http://schemas.openxmlformats.org/officeDocument/2006/relationships/hyperlink" Target="https://withfrank.org" TargetMode="External"/><Relationship Id="rId3295" Type="http://schemas.openxmlformats.org/officeDocument/2006/relationships/hyperlink" Target="http://meduneter.com" TargetMode="External"/><Relationship Id="rId163" Type="http://schemas.openxmlformats.org/officeDocument/2006/relationships/hyperlink" Target="https://www.noodle.com" TargetMode="External"/><Relationship Id="rId3298" Type="http://schemas.openxmlformats.org/officeDocument/2006/relationships/hyperlink" Target="https://www.memorytrix.com" TargetMode="External"/><Relationship Id="rId162" Type="http://schemas.openxmlformats.org/officeDocument/2006/relationships/hyperlink" Target="https://www.edkasa.com" TargetMode="External"/><Relationship Id="rId3297" Type="http://schemas.openxmlformats.org/officeDocument/2006/relationships/hyperlink" Target="https://www.meltingpot.com" TargetMode="External"/><Relationship Id="rId169" Type="http://schemas.openxmlformats.org/officeDocument/2006/relationships/hyperlink" Target="https://www.eruditus.com" TargetMode="External"/><Relationship Id="rId168" Type="http://schemas.openxmlformats.org/officeDocument/2006/relationships/hyperlink" Target="https://studyfree.co" TargetMode="External"/><Relationship Id="rId3299" Type="http://schemas.openxmlformats.org/officeDocument/2006/relationships/hyperlink" Target="http://meritnation.com" TargetMode="External"/><Relationship Id="rId167" Type="http://schemas.openxmlformats.org/officeDocument/2006/relationships/hyperlink" Target="https://opennote.com" TargetMode="External"/><Relationship Id="rId166" Type="http://schemas.openxmlformats.org/officeDocument/2006/relationships/hyperlink" Target="https://myedspace.co.uk" TargetMode="External"/><Relationship Id="rId161" Type="http://schemas.openxmlformats.org/officeDocument/2006/relationships/hyperlink" Target="https://pedago.com" TargetMode="External"/><Relationship Id="rId160" Type="http://schemas.openxmlformats.org/officeDocument/2006/relationships/hyperlink" Target="https://www.masterschool.com" TargetMode="External"/><Relationship Id="rId159" Type="http://schemas.openxmlformats.org/officeDocument/2006/relationships/hyperlink" Target="https://www.teachmint.com" TargetMode="External"/><Relationship Id="rId3281" Type="http://schemas.openxmlformats.org/officeDocument/2006/relationships/hyperlink" Target="https://www.macmillanlearning.com" TargetMode="External"/><Relationship Id="rId3280" Type="http://schemas.openxmlformats.org/officeDocument/2006/relationships/hyperlink" Target="https://www.mass.gov/orgs/department-of-revenue" TargetMode="External"/><Relationship Id="rId3283" Type="http://schemas.openxmlformats.org/officeDocument/2006/relationships/hyperlink" Target="https://www.magnetca.com" TargetMode="External"/><Relationship Id="rId3282" Type="http://schemas.openxmlformats.org/officeDocument/2006/relationships/hyperlink" Target="https://www.mad-learn.com" TargetMode="External"/><Relationship Id="rId154" Type="http://schemas.openxmlformats.org/officeDocument/2006/relationships/hyperlink" Target="https://psyflo.com" TargetMode="External"/><Relationship Id="rId3285" Type="http://schemas.openxmlformats.org/officeDocument/2006/relationships/hyperlink" Target="https://www.maieutictech.com" TargetMode="External"/><Relationship Id="rId153" Type="http://schemas.openxmlformats.org/officeDocument/2006/relationships/hyperlink" Target="https://www.cococoders.com" TargetMode="External"/><Relationship Id="rId3284" Type="http://schemas.openxmlformats.org/officeDocument/2006/relationships/hyperlink" Target="https://www.mahalearning.com" TargetMode="External"/><Relationship Id="rId152" Type="http://schemas.openxmlformats.org/officeDocument/2006/relationships/hyperlink" Target="https://buddy.ai" TargetMode="External"/><Relationship Id="rId3287" Type="http://schemas.openxmlformats.org/officeDocument/2006/relationships/hyperlink" Target="https://www.mangolanguages.com" TargetMode="External"/><Relationship Id="rId151" Type="http://schemas.openxmlformats.org/officeDocument/2006/relationships/hyperlink" Target="http://buddy.ai" TargetMode="External"/><Relationship Id="rId3286" Type="http://schemas.openxmlformats.org/officeDocument/2006/relationships/hyperlink" Target="https://www.maityme.com" TargetMode="External"/><Relationship Id="rId158" Type="http://schemas.openxmlformats.org/officeDocument/2006/relationships/hyperlink" Target="https://revisiondojo.com" TargetMode="External"/><Relationship Id="rId3289" Type="http://schemas.openxmlformats.org/officeDocument/2006/relationships/hyperlink" Target="https://www.massiveitsolutions.com" TargetMode="External"/><Relationship Id="rId157" Type="http://schemas.openxmlformats.org/officeDocument/2006/relationships/hyperlink" Target="https://www.zeneducate.com" TargetMode="External"/><Relationship Id="rId3288" Type="http://schemas.openxmlformats.org/officeDocument/2006/relationships/hyperlink" Target="https://www.marcolearning.com" TargetMode="External"/><Relationship Id="rId156" Type="http://schemas.openxmlformats.org/officeDocument/2006/relationships/hyperlink" Target="https://k16solutions.com" TargetMode="External"/><Relationship Id="rId155" Type="http://schemas.openxmlformats.org/officeDocument/2006/relationships/hyperlink" Target="https://www.legendsoflearning.com" TargetMode="External"/><Relationship Id="rId2820" Type="http://schemas.openxmlformats.org/officeDocument/2006/relationships/hyperlink" Target="https://www.dicamo.com" TargetMode="External"/><Relationship Id="rId2821" Type="http://schemas.openxmlformats.org/officeDocument/2006/relationships/hyperlink" Target="https://www.fenixhandels.com" TargetMode="External"/><Relationship Id="rId2822" Type="http://schemas.openxmlformats.org/officeDocument/2006/relationships/hyperlink" Target="https://www.keylabs.ai" TargetMode="External"/><Relationship Id="rId2823" Type="http://schemas.openxmlformats.org/officeDocument/2006/relationships/hyperlink" Target="https://www.mjassoc.com" TargetMode="External"/><Relationship Id="rId2824" Type="http://schemas.openxmlformats.org/officeDocument/2006/relationships/hyperlink" Target="https://www.indacoproject.com" TargetMode="External"/><Relationship Id="rId2825" Type="http://schemas.openxmlformats.org/officeDocument/2006/relationships/hyperlink" Target="https://www.yondrake.com" TargetMode="External"/><Relationship Id="rId2826" Type="http://schemas.openxmlformats.org/officeDocument/2006/relationships/hyperlink" Target="https://www.blueninesystems.com" TargetMode="External"/><Relationship Id="rId2827" Type="http://schemas.openxmlformats.org/officeDocument/2006/relationships/hyperlink" Target="https://www.shrimpy.io" TargetMode="External"/><Relationship Id="rId2828" Type="http://schemas.openxmlformats.org/officeDocument/2006/relationships/hyperlink" Target="https://www.phoenixhsl.com" TargetMode="External"/><Relationship Id="rId2829" Type="http://schemas.openxmlformats.org/officeDocument/2006/relationships/hyperlink" Target="https://www.gammaworks.com" TargetMode="External"/><Relationship Id="rId2810" Type="http://schemas.openxmlformats.org/officeDocument/2006/relationships/hyperlink" Target="https://www.safeairsystems.com" TargetMode="External"/><Relationship Id="rId2811" Type="http://schemas.openxmlformats.org/officeDocument/2006/relationships/hyperlink" Target="https://www.mapsoft.com" TargetMode="External"/><Relationship Id="rId2812" Type="http://schemas.openxmlformats.org/officeDocument/2006/relationships/hyperlink" Target="https://www.nwehealth.org" TargetMode="External"/><Relationship Id="rId2813" Type="http://schemas.openxmlformats.org/officeDocument/2006/relationships/hyperlink" Target="https://www.cumulusdata.com" TargetMode="External"/><Relationship Id="rId2814" Type="http://schemas.openxmlformats.org/officeDocument/2006/relationships/hyperlink" Target="https://www.twindata.com" TargetMode="External"/><Relationship Id="rId2815" Type="http://schemas.openxmlformats.org/officeDocument/2006/relationships/hyperlink" Target="https://www.nwmanagement.com" TargetMode="External"/><Relationship Id="rId2816" Type="http://schemas.openxmlformats.org/officeDocument/2006/relationships/hyperlink" Target="https://www.unitek.com" TargetMode="External"/><Relationship Id="rId2817" Type="http://schemas.openxmlformats.org/officeDocument/2006/relationships/hyperlink" Target="https://www.insightsprobe.com" TargetMode="External"/><Relationship Id="rId2818" Type="http://schemas.openxmlformats.org/officeDocument/2006/relationships/hyperlink" Target="https://www.datacollection.com" TargetMode="External"/><Relationship Id="rId2819" Type="http://schemas.openxmlformats.org/officeDocument/2006/relationships/hyperlink" Target="https://www.dtiservices.com" TargetMode="External"/><Relationship Id="rId1510" Type="http://schemas.openxmlformats.org/officeDocument/2006/relationships/hyperlink" Target="https://www.braunresearch.com" TargetMode="External"/><Relationship Id="rId2841" Type="http://schemas.openxmlformats.org/officeDocument/2006/relationships/hyperlink" Target="https://www.chipax.com" TargetMode="External"/><Relationship Id="rId1511" Type="http://schemas.openxmlformats.org/officeDocument/2006/relationships/hyperlink" Target="https://www.altametris.com" TargetMode="External"/><Relationship Id="rId2842" Type="http://schemas.openxmlformats.org/officeDocument/2006/relationships/hyperlink" Target="https://www.ariprus.com" TargetMode="External"/><Relationship Id="rId1512" Type="http://schemas.openxmlformats.org/officeDocument/2006/relationships/hyperlink" Target="https://www.mindseyeresearch.com" TargetMode="External"/><Relationship Id="rId2843" Type="http://schemas.openxmlformats.org/officeDocument/2006/relationships/hyperlink" Target="https://www.bicdata.com" TargetMode="External"/><Relationship Id="rId1513" Type="http://schemas.openxmlformats.org/officeDocument/2006/relationships/hyperlink" Target="https://www.telegence.com" TargetMode="External"/><Relationship Id="rId2844" Type="http://schemas.openxmlformats.org/officeDocument/2006/relationships/hyperlink" Target="https://www.ascentgeomatics.com" TargetMode="External"/><Relationship Id="rId1514" Type="http://schemas.openxmlformats.org/officeDocument/2006/relationships/hyperlink" Target="https://www.va.gov" TargetMode="External"/><Relationship Id="rId2845" Type="http://schemas.openxmlformats.org/officeDocument/2006/relationships/hyperlink" Target="https://www.promeceng.com" TargetMode="External"/><Relationship Id="rId1515" Type="http://schemas.openxmlformats.org/officeDocument/2006/relationships/hyperlink" Target="https://www.designmateindia.com" TargetMode="External"/><Relationship Id="rId2846" Type="http://schemas.openxmlformats.org/officeDocument/2006/relationships/hyperlink" Target="https://www.cool-tabs.com" TargetMode="External"/><Relationship Id="rId1516" Type="http://schemas.openxmlformats.org/officeDocument/2006/relationships/hyperlink" Target="https://www.dialogedu.com" TargetMode="External"/><Relationship Id="rId2847" Type="http://schemas.openxmlformats.org/officeDocument/2006/relationships/hyperlink" Target="https://www.lumanext.com" TargetMode="External"/><Relationship Id="rId1517" Type="http://schemas.openxmlformats.org/officeDocument/2006/relationships/hyperlink" Target="https://www.dienstentech.com" TargetMode="External"/><Relationship Id="rId2848" Type="http://schemas.openxmlformats.org/officeDocument/2006/relationships/hyperlink" Target="https://www.infotim.si" TargetMode="External"/><Relationship Id="rId1518" Type="http://schemas.openxmlformats.org/officeDocument/2006/relationships/hyperlink" Target="https://www.digiaccel.in" TargetMode="External"/><Relationship Id="rId2849" Type="http://schemas.openxmlformats.org/officeDocument/2006/relationships/hyperlink" Target="https://www.jamh.com" TargetMode="External"/><Relationship Id="rId1519" Type="http://schemas.openxmlformats.org/officeDocument/2006/relationships/hyperlink" Target="https://www.digibooktech.com" TargetMode="External"/><Relationship Id="rId2840" Type="http://schemas.openxmlformats.org/officeDocument/2006/relationships/hyperlink" Target="https://www.heliosvisions.com" TargetMode="External"/><Relationship Id="rId2830" Type="http://schemas.openxmlformats.org/officeDocument/2006/relationships/hyperlink" Target="https://www.care4c.com" TargetMode="External"/><Relationship Id="rId1500" Type="http://schemas.openxmlformats.org/officeDocument/2006/relationships/hyperlink" Target="https://www.sqlpowergroup.com" TargetMode="External"/><Relationship Id="rId2831" Type="http://schemas.openxmlformats.org/officeDocument/2006/relationships/hyperlink" Target="https://www.winely.ai" TargetMode="External"/><Relationship Id="rId1501" Type="http://schemas.openxmlformats.org/officeDocument/2006/relationships/hyperlink" Target="https://www.brylesresearch.com" TargetMode="External"/><Relationship Id="rId2832" Type="http://schemas.openxmlformats.org/officeDocument/2006/relationships/hyperlink" Target="https://www.algemetric.com" TargetMode="External"/><Relationship Id="rId1502" Type="http://schemas.openxmlformats.org/officeDocument/2006/relationships/hyperlink" Target="https://www.netsolving.com" TargetMode="External"/><Relationship Id="rId2833" Type="http://schemas.openxmlformats.org/officeDocument/2006/relationships/hyperlink" Target="https://www.trained.ai" TargetMode="External"/><Relationship Id="rId1503" Type="http://schemas.openxmlformats.org/officeDocument/2006/relationships/hyperlink" Target="https://www.tdworld.com" TargetMode="External"/><Relationship Id="rId2834" Type="http://schemas.openxmlformats.org/officeDocument/2006/relationships/hyperlink" Target="https://www.dispension.com" TargetMode="External"/><Relationship Id="rId1504" Type="http://schemas.openxmlformats.org/officeDocument/2006/relationships/hyperlink" Target="https://www.taurus.ai" TargetMode="External"/><Relationship Id="rId2835" Type="http://schemas.openxmlformats.org/officeDocument/2006/relationships/hyperlink" Target="https://www.gssanalytix.com" TargetMode="External"/><Relationship Id="rId1505" Type="http://schemas.openxmlformats.org/officeDocument/2006/relationships/hyperlink" Target="https://www.qualifio.com" TargetMode="External"/><Relationship Id="rId2836" Type="http://schemas.openxmlformats.org/officeDocument/2006/relationships/hyperlink" Target="https://www.adas.co.uk" TargetMode="External"/><Relationship Id="rId1506" Type="http://schemas.openxmlformats.org/officeDocument/2006/relationships/hyperlink" Target="https://www.factsandfigures.com" TargetMode="External"/><Relationship Id="rId2837" Type="http://schemas.openxmlformats.org/officeDocument/2006/relationships/hyperlink" Target="https://www.d3systems.com" TargetMode="External"/><Relationship Id="rId1507" Type="http://schemas.openxmlformats.org/officeDocument/2006/relationships/hyperlink" Target="https://www.ptg.com" TargetMode="External"/><Relationship Id="rId2838" Type="http://schemas.openxmlformats.org/officeDocument/2006/relationships/hyperlink" Target="https://www.brazilpanels.com" TargetMode="External"/><Relationship Id="rId1508" Type="http://schemas.openxmlformats.org/officeDocument/2006/relationships/hyperlink" Target="https://www.quadras.com" TargetMode="External"/><Relationship Id="rId2839" Type="http://schemas.openxmlformats.org/officeDocument/2006/relationships/hyperlink" Target="https://www.iterator.com" TargetMode="External"/><Relationship Id="rId1509" Type="http://schemas.openxmlformats.org/officeDocument/2006/relationships/hyperlink" Target="https://www.bloxtechgroup.com" TargetMode="External"/><Relationship Id="rId2800" Type="http://schemas.openxmlformats.org/officeDocument/2006/relationships/hyperlink" Target="https://www.resyarte.com" TargetMode="External"/><Relationship Id="rId2801" Type="http://schemas.openxmlformats.org/officeDocument/2006/relationships/hyperlink" Target="https://www.abgagservices.com" TargetMode="External"/><Relationship Id="rId2802" Type="http://schemas.openxmlformats.org/officeDocument/2006/relationships/hyperlink" Target="https://www.deepneura.com" TargetMode="External"/><Relationship Id="rId2803" Type="http://schemas.openxmlformats.org/officeDocument/2006/relationships/hyperlink" Target="https://www.marthasoftware.com" TargetMode="External"/><Relationship Id="rId2804" Type="http://schemas.openxmlformats.org/officeDocument/2006/relationships/hyperlink" Target="https://www.panelhub.eu" TargetMode="External"/><Relationship Id="rId2805" Type="http://schemas.openxmlformats.org/officeDocument/2006/relationships/hyperlink" Target="https://www.rsint.com" TargetMode="External"/><Relationship Id="rId2806" Type="http://schemas.openxmlformats.org/officeDocument/2006/relationships/hyperlink" Target="https://www.surveylaunch.com" TargetMode="External"/><Relationship Id="rId2807" Type="http://schemas.openxmlformats.org/officeDocument/2006/relationships/hyperlink" Target="https://www.flex-metrics.com" TargetMode="External"/><Relationship Id="rId2808" Type="http://schemas.openxmlformats.org/officeDocument/2006/relationships/hyperlink" Target="https://www.daxsome.com" TargetMode="External"/><Relationship Id="rId2809" Type="http://schemas.openxmlformats.org/officeDocument/2006/relationships/hyperlink" Target="https://www.rdxgroup.com" TargetMode="External"/><Relationship Id="rId1576" Type="http://schemas.openxmlformats.org/officeDocument/2006/relationships/hyperlink" Target="https://www.eduservex.com" TargetMode="External"/><Relationship Id="rId1577" Type="http://schemas.openxmlformats.org/officeDocument/2006/relationships/hyperlink" Target="https://www.edusmart.com" TargetMode="External"/><Relationship Id="rId1578" Type="http://schemas.openxmlformats.org/officeDocument/2006/relationships/hyperlink" Target="https://www.edusuite.in" TargetMode="External"/><Relationship Id="rId1579" Type="http://schemas.openxmlformats.org/officeDocument/2006/relationships/hyperlink" Target="https://www.edutechservices.com" TargetMode="External"/><Relationship Id="rId987" Type="http://schemas.openxmlformats.org/officeDocument/2006/relationships/hyperlink" Target="https://ello.education" TargetMode="External"/><Relationship Id="rId986" Type="http://schemas.openxmlformats.org/officeDocument/2006/relationships/hyperlink" Target="https://www.tandem.net" TargetMode="External"/><Relationship Id="rId985" Type="http://schemas.openxmlformats.org/officeDocument/2006/relationships/hyperlink" Target="https://stemuli.com" TargetMode="External"/><Relationship Id="rId984" Type="http://schemas.openxmlformats.org/officeDocument/2006/relationships/hyperlink" Target="https://www.niche.com" TargetMode="External"/><Relationship Id="rId989" Type="http://schemas.openxmlformats.org/officeDocument/2006/relationships/hyperlink" Target="https://veroskills.com" TargetMode="External"/><Relationship Id="rId988" Type="http://schemas.openxmlformats.org/officeDocument/2006/relationships/hyperlink" Target="https://axonify.com" TargetMode="External"/><Relationship Id="rId1570" Type="http://schemas.openxmlformats.org/officeDocument/2006/relationships/hyperlink" Target="https://www.edugeeks.in" TargetMode="External"/><Relationship Id="rId1571" Type="http://schemas.openxmlformats.org/officeDocument/2006/relationships/hyperlink" Target="https://www.eduinsip.com" TargetMode="External"/><Relationship Id="rId983" Type="http://schemas.openxmlformats.org/officeDocument/2006/relationships/hyperlink" Target="http://niche.com" TargetMode="External"/><Relationship Id="rId1572" Type="http://schemas.openxmlformats.org/officeDocument/2006/relationships/hyperlink" Target="https://www.eduncle.com" TargetMode="External"/><Relationship Id="rId982" Type="http://schemas.openxmlformats.org/officeDocument/2006/relationships/hyperlink" Target="https://medtrainer.com" TargetMode="External"/><Relationship Id="rId1573" Type="http://schemas.openxmlformats.org/officeDocument/2006/relationships/hyperlink" Target="https://www.eduonix.com" TargetMode="External"/><Relationship Id="rId981" Type="http://schemas.openxmlformats.org/officeDocument/2006/relationships/hyperlink" Target="https://www.absorblms.com" TargetMode="External"/><Relationship Id="rId1574" Type="http://schemas.openxmlformats.org/officeDocument/2006/relationships/hyperlink" Target="https://www.edupixels.com" TargetMode="External"/><Relationship Id="rId980" Type="http://schemas.openxmlformats.org/officeDocument/2006/relationships/hyperlink" Target="https://www.alefeducation.com" TargetMode="External"/><Relationship Id="rId1575" Type="http://schemas.openxmlformats.org/officeDocument/2006/relationships/hyperlink" Target="https://www.edupotion.com" TargetMode="External"/><Relationship Id="rId1565" Type="http://schemas.openxmlformats.org/officeDocument/2006/relationships/hyperlink" Target="https://www.educart.co" TargetMode="External"/><Relationship Id="rId2896" Type="http://schemas.openxmlformats.org/officeDocument/2006/relationships/hyperlink" Target="https://www.avalanche.com.tw" TargetMode="External"/><Relationship Id="rId1566" Type="http://schemas.openxmlformats.org/officeDocument/2006/relationships/hyperlink" Target="https://www.educatree.in" TargetMode="External"/><Relationship Id="rId2897" Type="http://schemas.openxmlformats.org/officeDocument/2006/relationships/hyperlink" Target="https://www.m47labs.com" TargetMode="External"/><Relationship Id="rId1567" Type="http://schemas.openxmlformats.org/officeDocument/2006/relationships/hyperlink" Target="https://www.educomp.com" TargetMode="External"/><Relationship Id="rId2898" Type="http://schemas.openxmlformats.org/officeDocument/2006/relationships/hyperlink" Target="https://www.adamsbridge.com" TargetMode="External"/><Relationship Id="rId1568" Type="http://schemas.openxmlformats.org/officeDocument/2006/relationships/hyperlink" Target="https://www.educurious.com" TargetMode="External"/><Relationship Id="rId2899" Type="http://schemas.openxmlformats.org/officeDocument/2006/relationships/hyperlink" Target="https://www.mindysupport.com" TargetMode="External"/><Relationship Id="rId1569" Type="http://schemas.openxmlformats.org/officeDocument/2006/relationships/hyperlink" Target="https://www.edufic.com" TargetMode="External"/><Relationship Id="rId976" Type="http://schemas.openxmlformats.org/officeDocument/2006/relationships/hyperlink" Target="https://www.opencampus.xyz" TargetMode="External"/><Relationship Id="rId975" Type="http://schemas.openxmlformats.org/officeDocument/2006/relationships/hyperlink" Target="https://generalintuition.com" TargetMode="External"/><Relationship Id="rId974" Type="http://schemas.openxmlformats.org/officeDocument/2006/relationships/hyperlink" Target="https://www.soulmachines.com" TargetMode="External"/><Relationship Id="rId973" Type="http://schemas.openxmlformats.org/officeDocument/2006/relationships/hyperlink" Target="https://www.interplaylearning.com" TargetMode="External"/><Relationship Id="rId979" Type="http://schemas.openxmlformats.org/officeDocument/2006/relationships/hyperlink" Target="https://www.khanacademy.org" TargetMode="External"/><Relationship Id="rId978" Type="http://schemas.openxmlformats.org/officeDocument/2006/relationships/hyperlink" Target="https://brilliant.org" TargetMode="External"/><Relationship Id="rId977" Type="http://schemas.openxmlformats.org/officeDocument/2006/relationships/hyperlink" Target="http://brilliant.org" TargetMode="External"/><Relationship Id="rId2890" Type="http://schemas.openxmlformats.org/officeDocument/2006/relationships/hyperlink" Target="https://www.cvat.ai" TargetMode="External"/><Relationship Id="rId1560" Type="http://schemas.openxmlformats.org/officeDocument/2006/relationships/hyperlink" Target="https://www.edterra.com" TargetMode="External"/><Relationship Id="rId2891" Type="http://schemas.openxmlformats.org/officeDocument/2006/relationships/hyperlink" Target="https://www.agiphi.com" TargetMode="External"/><Relationship Id="rId972" Type="http://schemas.openxmlformats.org/officeDocument/2006/relationships/hyperlink" Target="https://www.walkme.com" TargetMode="External"/><Relationship Id="rId1561" Type="http://schemas.openxmlformats.org/officeDocument/2006/relationships/hyperlink" Target="https://www.edtia.org" TargetMode="External"/><Relationship Id="rId2892" Type="http://schemas.openxmlformats.org/officeDocument/2006/relationships/hyperlink" Target="https://www.quantigo.ai" TargetMode="External"/><Relationship Id="rId971" Type="http://schemas.openxmlformats.org/officeDocument/2006/relationships/hyperlink" Target="https://www.heygen.com" TargetMode="External"/><Relationship Id="rId1562" Type="http://schemas.openxmlformats.org/officeDocument/2006/relationships/hyperlink" Target="https://www.edubridgeindia.com" TargetMode="External"/><Relationship Id="rId2893" Type="http://schemas.openxmlformats.org/officeDocument/2006/relationships/hyperlink" Target="https://www.eksource.com" TargetMode="External"/><Relationship Id="rId970" Type="http://schemas.openxmlformats.org/officeDocument/2006/relationships/hyperlink" Target="https://stockgro.club" TargetMode="External"/><Relationship Id="rId1563" Type="http://schemas.openxmlformats.org/officeDocument/2006/relationships/hyperlink" Target="http://edubull.com" TargetMode="External"/><Relationship Id="rId2894" Type="http://schemas.openxmlformats.org/officeDocument/2006/relationships/hyperlink" Target="https://www.tagx.ai" TargetMode="External"/><Relationship Id="rId1564" Type="http://schemas.openxmlformats.org/officeDocument/2006/relationships/hyperlink" Target="https://www.edubull.com" TargetMode="External"/><Relationship Id="rId2895" Type="http://schemas.openxmlformats.org/officeDocument/2006/relationships/hyperlink" Target="https://www.sunix.ai" TargetMode="External"/><Relationship Id="rId1598" Type="http://schemas.openxmlformats.org/officeDocument/2006/relationships/hyperlink" Target="https://www.elearningacademy.io" TargetMode="External"/><Relationship Id="rId1599" Type="http://schemas.openxmlformats.org/officeDocument/2006/relationships/hyperlink" Target="https://www.elearningmedia.com" TargetMode="External"/><Relationship Id="rId1590" Type="http://schemas.openxmlformats.org/officeDocument/2006/relationships/hyperlink" Target="https://www.egencia.com" TargetMode="External"/><Relationship Id="rId1591" Type="http://schemas.openxmlformats.org/officeDocument/2006/relationships/hyperlink" Target="http://eggs-n-stuf.com" TargetMode="External"/><Relationship Id="rId1592" Type="http://schemas.openxmlformats.org/officeDocument/2006/relationships/hyperlink" Target="https://www.eggsnstuf.com" TargetMode="External"/><Relationship Id="rId1593" Type="http://schemas.openxmlformats.org/officeDocument/2006/relationships/hyperlink" Target="https://www.egravitysolutions.com" TargetMode="External"/><Relationship Id="rId1594" Type="http://schemas.openxmlformats.org/officeDocument/2006/relationships/hyperlink" Target="https://www.ei-india.com" TargetMode="External"/><Relationship Id="rId1595" Type="http://schemas.openxmlformats.org/officeDocument/2006/relationships/hyperlink" Target="https://www.eisml.org" TargetMode="External"/><Relationship Id="rId1596" Type="http://schemas.openxmlformats.org/officeDocument/2006/relationships/hyperlink" Target="https://www.elblearning.com" TargetMode="External"/><Relationship Id="rId1597" Type="http://schemas.openxmlformats.org/officeDocument/2006/relationships/hyperlink" Target="https://www.elearning.com" TargetMode="External"/><Relationship Id="rId1587" Type="http://schemas.openxmlformats.org/officeDocument/2006/relationships/hyperlink" Target="https://www.edynamiclearning.com" TargetMode="External"/><Relationship Id="rId1588" Type="http://schemas.openxmlformats.org/officeDocument/2006/relationships/hyperlink" Target="https://www.edywood.com" TargetMode="External"/><Relationship Id="rId1589" Type="http://schemas.openxmlformats.org/officeDocument/2006/relationships/hyperlink" Target="https://www.efactssolutions.com" TargetMode="External"/><Relationship Id="rId998" Type="http://schemas.openxmlformats.org/officeDocument/2006/relationships/hyperlink" Target="https://www.go1.com" TargetMode="External"/><Relationship Id="rId997" Type="http://schemas.openxmlformats.org/officeDocument/2006/relationships/hyperlink" Target="https://knowunity.com" TargetMode="External"/><Relationship Id="rId996" Type="http://schemas.openxmlformats.org/officeDocument/2006/relationships/hyperlink" Target="https://atana.com" TargetMode="External"/><Relationship Id="rId995" Type="http://schemas.openxmlformats.org/officeDocument/2006/relationships/hyperlink" Target="https://www.magmamath.com" TargetMode="External"/><Relationship Id="rId999" Type="http://schemas.openxmlformats.org/officeDocument/2006/relationships/hyperlink" Target="https://wayground.com" TargetMode="External"/><Relationship Id="rId990" Type="http://schemas.openxmlformats.org/officeDocument/2006/relationships/hyperlink" Target="https://www.honehq.com" TargetMode="External"/><Relationship Id="rId1580" Type="http://schemas.openxmlformats.org/officeDocument/2006/relationships/hyperlink" Target="https://www.edutechindia.com" TargetMode="External"/><Relationship Id="rId1581" Type="http://schemas.openxmlformats.org/officeDocument/2006/relationships/hyperlink" Target="https://www.edutestsolutions.com" TargetMode="External"/><Relationship Id="rId1582" Type="http://schemas.openxmlformats.org/officeDocument/2006/relationships/hyperlink" Target="https://www.eduvyne.com" TargetMode="External"/><Relationship Id="rId994" Type="http://schemas.openxmlformats.org/officeDocument/2006/relationships/hyperlink" Target="https://www.carnegielearning.com" TargetMode="External"/><Relationship Id="rId1583" Type="http://schemas.openxmlformats.org/officeDocument/2006/relationships/hyperlink" Target="https://www.eduwayindia.com" TargetMode="External"/><Relationship Id="rId993" Type="http://schemas.openxmlformats.org/officeDocument/2006/relationships/hyperlink" Target="https://findyourgrind.com" TargetMode="External"/><Relationship Id="rId1584" Type="http://schemas.openxmlformats.org/officeDocument/2006/relationships/hyperlink" Target="https://www.eduzphere.com" TargetMode="External"/><Relationship Id="rId992" Type="http://schemas.openxmlformats.org/officeDocument/2006/relationships/hyperlink" Target="https://emtrain.com" TargetMode="External"/><Relationship Id="rId1585" Type="http://schemas.openxmlformats.org/officeDocument/2006/relationships/hyperlink" Target="https://www.edvantech.com" TargetMode="External"/><Relationship Id="rId991" Type="http://schemas.openxmlformats.org/officeDocument/2006/relationships/hyperlink" Target="https://torch.io" TargetMode="External"/><Relationship Id="rId1586" Type="http://schemas.openxmlformats.org/officeDocument/2006/relationships/hyperlink" Target="https://www.edx.org" TargetMode="External"/><Relationship Id="rId1532" Type="http://schemas.openxmlformats.org/officeDocument/2006/relationships/hyperlink" Target="https://www.dreambox.com" TargetMode="External"/><Relationship Id="rId2863" Type="http://schemas.openxmlformats.org/officeDocument/2006/relationships/hyperlink" Target="https://www.devagentic.ai" TargetMode="External"/><Relationship Id="rId1533" Type="http://schemas.openxmlformats.org/officeDocument/2006/relationships/hyperlink" Target="https://www.droomplanet.com" TargetMode="External"/><Relationship Id="rId2864" Type="http://schemas.openxmlformats.org/officeDocument/2006/relationships/hyperlink" Target="https://www.aimmo.ai" TargetMode="External"/><Relationship Id="rId1534" Type="http://schemas.openxmlformats.org/officeDocument/2006/relationships/hyperlink" Target="https://www.dropoutrecoverygroup.com" TargetMode="External"/><Relationship Id="rId2865" Type="http://schemas.openxmlformats.org/officeDocument/2006/relationships/hyperlink" Target="https://www.tictag.io" TargetMode="External"/><Relationship Id="rId1535" Type="http://schemas.openxmlformats.org/officeDocument/2006/relationships/hyperlink" Target="https://www.dyalearning.com" TargetMode="External"/><Relationship Id="rId2866" Type="http://schemas.openxmlformats.org/officeDocument/2006/relationships/hyperlink" Target="https://www.peroptyx.com" TargetMode="External"/><Relationship Id="rId1536" Type="http://schemas.openxmlformats.org/officeDocument/2006/relationships/hyperlink" Target="https://www.dynamiccomputereducation.com" TargetMode="External"/><Relationship Id="rId2867" Type="http://schemas.openxmlformats.org/officeDocument/2006/relationships/hyperlink" Target="https://www.auxerta.com" TargetMode="External"/><Relationship Id="rId1537" Type="http://schemas.openxmlformats.org/officeDocument/2006/relationships/hyperlink" Target="https://www.dynamicdigitalsolutions.com" TargetMode="External"/><Relationship Id="rId2868" Type="http://schemas.openxmlformats.org/officeDocument/2006/relationships/hyperlink" Target="https://www.explosion.ai" TargetMode="External"/><Relationship Id="rId1538" Type="http://schemas.openxmlformats.org/officeDocument/2006/relationships/hyperlink" Target="https://www.dynamicpixel.co.in" TargetMode="External"/><Relationship Id="rId2869" Type="http://schemas.openxmlformats.org/officeDocument/2006/relationships/hyperlink" Target="http://understand.ai" TargetMode="External"/><Relationship Id="rId1539" Type="http://schemas.openxmlformats.org/officeDocument/2006/relationships/hyperlink" Target="https://www.eleadingsolution.com" TargetMode="External"/><Relationship Id="rId949" Type="http://schemas.openxmlformats.org/officeDocument/2006/relationships/hyperlink" Target="https://www.captivoice.com" TargetMode="External"/><Relationship Id="rId948" Type="http://schemas.openxmlformats.org/officeDocument/2006/relationships/hyperlink" Target="https://365datascience.com" TargetMode="External"/><Relationship Id="rId943" Type="http://schemas.openxmlformats.org/officeDocument/2006/relationships/hyperlink" Target="https://digiage.com" TargetMode="External"/><Relationship Id="rId942" Type="http://schemas.openxmlformats.org/officeDocument/2006/relationships/hyperlink" Target="https://stealthgpt.ai" TargetMode="External"/><Relationship Id="rId941" Type="http://schemas.openxmlformats.org/officeDocument/2006/relationships/hyperlink" Target="https://gotocourse.com" TargetMode="External"/><Relationship Id="rId940" Type="http://schemas.openxmlformats.org/officeDocument/2006/relationships/hyperlink" Target="https://internmatch.io" TargetMode="External"/><Relationship Id="rId947" Type="http://schemas.openxmlformats.org/officeDocument/2006/relationships/hyperlink" Target="https://dragonfamilycompany.com" TargetMode="External"/><Relationship Id="rId946" Type="http://schemas.openxmlformats.org/officeDocument/2006/relationships/hyperlink" Target="https://gility.com" TargetMode="External"/><Relationship Id="rId945" Type="http://schemas.openxmlformats.org/officeDocument/2006/relationships/hyperlink" Target="https://smartgirlshq.com" TargetMode="External"/><Relationship Id="rId944" Type="http://schemas.openxmlformats.org/officeDocument/2006/relationships/hyperlink" Target="https://verbatica.com" TargetMode="External"/><Relationship Id="rId2860" Type="http://schemas.openxmlformats.org/officeDocument/2006/relationships/hyperlink" Target="https://www.stardust.ai" TargetMode="External"/><Relationship Id="rId1530" Type="http://schemas.openxmlformats.org/officeDocument/2006/relationships/hyperlink" Target="https://www.dpsiedge.edu.in" TargetMode="External"/><Relationship Id="rId2861" Type="http://schemas.openxmlformats.org/officeDocument/2006/relationships/hyperlink" Target="https://www.redbrickai.com" TargetMode="External"/><Relationship Id="rId1531" Type="http://schemas.openxmlformats.org/officeDocument/2006/relationships/hyperlink" Target="https://biotech.dypatil.edu" TargetMode="External"/><Relationship Id="rId2862" Type="http://schemas.openxmlformats.org/officeDocument/2006/relationships/hyperlink" Target="https://www.dataguardians.net" TargetMode="External"/><Relationship Id="rId1521" Type="http://schemas.openxmlformats.org/officeDocument/2006/relationships/hyperlink" Target="https://d3.harvard.edu" TargetMode="External"/><Relationship Id="rId2852" Type="http://schemas.openxmlformats.org/officeDocument/2006/relationships/hyperlink" Target="https://www.mosaix.com" TargetMode="External"/><Relationship Id="rId1522" Type="http://schemas.openxmlformats.org/officeDocument/2006/relationships/hyperlink" Target="https://www.digireading.org" TargetMode="External"/><Relationship Id="rId2853" Type="http://schemas.openxmlformats.org/officeDocument/2006/relationships/hyperlink" Target="https://www.daedalusgroup.com" TargetMode="External"/><Relationship Id="rId1523" Type="http://schemas.openxmlformats.org/officeDocument/2006/relationships/hyperlink" Target="https://digitallabs.in" TargetMode="External"/><Relationship Id="rId2854" Type="http://schemas.openxmlformats.org/officeDocument/2006/relationships/hyperlink" Target="https://www.americassurvey.com" TargetMode="External"/><Relationship Id="rId1524" Type="http://schemas.openxmlformats.org/officeDocument/2006/relationships/hyperlink" Target="https://www.digitalsmartindia.com" TargetMode="External"/><Relationship Id="rId2855" Type="http://schemas.openxmlformats.org/officeDocument/2006/relationships/hyperlink" Target="https://www.invisible.co" TargetMode="External"/><Relationship Id="rId1525" Type="http://schemas.openxmlformats.org/officeDocument/2006/relationships/hyperlink" Target="https://www.sushees.com" TargetMode="External"/><Relationship Id="rId2856" Type="http://schemas.openxmlformats.org/officeDocument/2006/relationships/hyperlink" Target="https://www.qualitymatch.com" TargetMode="External"/><Relationship Id="rId1526" Type="http://schemas.openxmlformats.org/officeDocument/2006/relationships/hyperlink" Target="https://www.discovermelody.com" TargetMode="External"/><Relationship Id="rId2857" Type="http://schemas.openxmlformats.org/officeDocument/2006/relationships/hyperlink" Target="https://www.besimple.ai" TargetMode="External"/><Relationship Id="rId1527" Type="http://schemas.openxmlformats.org/officeDocument/2006/relationships/hyperlink" Target="https://www.discoveryeducation.com" TargetMode="External"/><Relationship Id="rId2858" Type="http://schemas.openxmlformats.org/officeDocument/2006/relationships/hyperlink" Target="https://www.reliabl.ai" TargetMode="External"/><Relationship Id="rId1528" Type="http://schemas.openxmlformats.org/officeDocument/2006/relationships/hyperlink" Target="https://www.doradolearning.com" TargetMode="External"/><Relationship Id="rId2859" Type="http://schemas.openxmlformats.org/officeDocument/2006/relationships/hyperlink" Target="https://www.hellogov.com" TargetMode="External"/><Relationship Id="rId1529" Type="http://schemas.openxmlformats.org/officeDocument/2006/relationships/hyperlink" Target="https://www.doradoart.com" TargetMode="External"/><Relationship Id="rId939" Type="http://schemas.openxmlformats.org/officeDocument/2006/relationships/hyperlink" Target="https://medisimvr.com" TargetMode="External"/><Relationship Id="rId938" Type="http://schemas.openxmlformats.org/officeDocument/2006/relationships/hyperlink" Target="https://listenwise.com" TargetMode="External"/><Relationship Id="rId937" Type="http://schemas.openxmlformats.org/officeDocument/2006/relationships/hyperlink" Target="https://classhoppa.com" TargetMode="External"/><Relationship Id="rId932" Type="http://schemas.openxmlformats.org/officeDocument/2006/relationships/hyperlink" Target="https://collegial.ai" TargetMode="External"/><Relationship Id="rId931" Type="http://schemas.openxmlformats.org/officeDocument/2006/relationships/hyperlink" Target="https://codeit.us" TargetMode="External"/><Relationship Id="rId930" Type="http://schemas.openxmlformats.org/officeDocument/2006/relationships/hyperlink" Target="https://www.lepermislibre.fr" TargetMode="External"/><Relationship Id="rId936" Type="http://schemas.openxmlformats.org/officeDocument/2006/relationships/hyperlink" Target="https://toddl.co" TargetMode="External"/><Relationship Id="rId935" Type="http://schemas.openxmlformats.org/officeDocument/2006/relationships/hyperlink" Target="http://toddl.co" TargetMode="External"/><Relationship Id="rId934" Type="http://schemas.openxmlformats.org/officeDocument/2006/relationships/hyperlink" Target="https://kaiseducation.com" TargetMode="External"/><Relationship Id="rId933" Type="http://schemas.openxmlformats.org/officeDocument/2006/relationships/hyperlink" Target="https://aprende.com" TargetMode="External"/><Relationship Id="rId2850" Type="http://schemas.openxmlformats.org/officeDocument/2006/relationships/hyperlink" Target="https://www.maximumresearch.com" TargetMode="External"/><Relationship Id="rId1520" Type="http://schemas.openxmlformats.org/officeDocument/2006/relationships/hyperlink" Target="https://www.digitalbookstores.com" TargetMode="External"/><Relationship Id="rId2851" Type="http://schemas.openxmlformats.org/officeDocument/2006/relationships/hyperlink" Target="https://www.sertec.co.uk" TargetMode="External"/><Relationship Id="rId1554" Type="http://schemas.openxmlformats.org/officeDocument/2006/relationships/hyperlink" Target="https://www.imaginelearning.com" TargetMode="External"/><Relationship Id="rId2885" Type="http://schemas.openxmlformats.org/officeDocument/2006/relationships/hyperlink" Target="https://www.ipip.net" TargetMode="External"/><Relationship Id="rId1555" Type="http://schemas.openxmlformats.org/officeDocument/2006/relationships/hyperlink" Target="https://www.edmentum.com" TargetMode="External"/><Relationship Id="rId2886" Type="http://schemas.openxmlformats.org/officeDocument/2006/relationships/hyperlink" Target="https://www.yeterly.ai" TargetMode="External"/><Relationship Id="rId1556" Type="http://schemas.openxmlformats.org/officeDocument/2006/relationships/hyperlink" Target="https://www.edovatelearning.com" TargetMode="External"/><Relationship Id="rId2887" Type="http://schemas.openxmlformats.org/officeDocument/2006/relationships/hyperlink" Target="http://md.ai" TargetMode="External"/><Relationship Id="rId1557" Type="http://schemas.openxmlformats.org/officeDocument/2006/relationships/hyperlink" Target="https://www.edoxi.com" TargetMode="External"/><Relationship Id="rId2888" Type="http://schemas.openxmlformats.org/officeDocument/2006/relationships/hyperlink" Target="https://www.md.ai" TargetMode="External"/><Relationship Id="rId1558" Type="http://schemas.openxmlformats.org/officeDocument/2006/relationships/hyperlink" Target="https://www.edsara.com" TargetMode="External"/><Relationship Id="rId2889" Type="http://schemas.openxmlformats.org/officeDocument/2006/relationships/hyperlink" Target="http://cvat.ai" TargetMode="External"/><Relationship Id="rId1559" Type="http://schemas.openxmlformats.org/officeDocument/2006/relationships/hyperlink" Target="https://www.edsix.com" TargetMode="External"/><Relationship Id="rId965" Type="http://schemas.openxmlformats.org/officeDocument/2006/relationships/hyperlink" Target="https://www.revolutionprep.com" TargetMode="External"/><Relationship Id="rId964" Type="http://schemas.openxmlformats.org/officeDocument/2006/relationships/hyperlink" Target="https://thediversitymovement.com" TargetMode="External"/><Relationship Id="rId963" Type="http://schemas.openxmlformats.org/officeDocument/2006/relationships/hyperlink" Target="https://www.toppr.com" TargetMode="External"/><Relationship Id="rId962" Type="http://schemas.openxmlformats.org/officeDocument/2006/relationships/hyperlink" Target="https://vibegrade.com" TargetMode="External"/><Relationship Id="rId969" Type="http://schemas.openxmlformats.org/officeDocument/2006/relationships/hyperlink" Target="https://www.duolingo.com" TargetMode="External"/><Relationship Id="rId968" Type="http://schemas.openxmlformats.org/officeDocument/2006/relationships/hyperlink" Target="https://ethena.com" TargetMode="External"/><Relationship Id="rId967" Type="http://schemas.openxmlformats.org/officeDocument/2006/relationships/hyperlink" Target="https://speak.com" TargetMode="External"/><Relationship Id="rId966" Type="http://schemas.openxmlformats.org/officeDocument/2006/relationships/hyperlink" Target="https://devf.la" TargetMode="External"/><Relationship Id="rId2880" Type="http://schemas.openxmlformats.org/officeDocument/2006/relationships/hyperlink" Target="https://www.beework.ai" TargetMode="External"/><Relationship Id="rId961" Type="http://schemas.openxmlformats.org/officeDocument/2006/relationships/hyperlink" Target="https://pressto.ai" TargetMode="External"/><Relationship Id="rId1550" Type="http://schemas.openxmlformats.org/officeDocument/2006/relationships/hyperlink" Target="https://www.ecovisionias.com" TargetMode="External"/><Relationship Id="rId2881" Type="http://schemas.openxmlformats.org/officeDocument/2006/relationships/hyperlink" Target="https://www.anolytics.ai" TargetMode="External"/><Relationship Id="rId960" Type="http://schemas.openxmlformats.org/officeDocument/2006/relationships/hyperlink" Target="https://edubuk.com" TargetMode="External"/><Relationship Id="rId1551" Type="http://schemas.openxmlformats.org/officeDocument/2006/relationships/hyperlink" Target="https://ecornell.cornell.edu" TargetMode="External"/><Relationship Id="rId2882" Type="http://schemas.openxmlformats.org/officeDocument/2006/relationships/hyperlink" Target="https://www.labelyourdata.com" TargetMode="External"/><Relationship Id="rId1552" Type="http://schemas.openxmlformats.org/officeDocument/2006/relationships/hyperlink" Target="https://www.edaptlearning.com" TargetMode="External"/><Relationship Id="rId2883" Type="http://schemas.openxmlformats.org/officeDocument/2006/relationships/hyperlink" Target="https://www.mangodesk.com" TargetMode="External"/><Relationship Id="rId1553" Type="http://schemas.openxmlformats.org/officeDocument/2006/relationships/hyperlink" Target="https://www.edgetechnosoft.com" TargetMode="External"/><Relationship Id="rId2884" Type="http://schemas.openxmlformats.org/officeDocument/2006/relationships/hyperlink" Target="http://ipip.net" TargetMode="External"/><Relationship Id="rId1543" Type="http://schemas.openxmlformats.org/officeDocument/2006/relationships/hyperlink" Target="https://www.elearningcenter.com" TargetMode="External"/><Relationship Id="rId2874" Type="http://schemas.openxmlformats.org/officeDocument/2006/relationships/hyperlink" Target="https://www.datum.ai" TargetMode="External"/><Relationship Id="rId1544" Type="http://schemas.openxmlformats.org/officeDocument/2006/relationships/hyperlink" Target="https://www.esilverlinings.com" TargetMode="External"/><Relationship Id="rId2875" Type="http://schemas.openxmlformats.org/officeDocument/2006/relationships/hyperlink" Target="https://www.avala.ai" TargetMode="External"/><Relationship Id="rId1545" Type="http://schemas.openxmlformats.org/officeDocument/2006/relationships/hyperlink" Target="https://www.e-therapy.com" TargetMode="External"/><Relationship Id="rId2876" Type="http://schemas.openxmlformats.org/officeDocument/2006/relationships/hyperlink" Target="https://www.datatorch.io" TargetMode="External"/><Relationship Id="rId1546" Type="http://schemas.openxmlformats.org/officeDocument/2006/relationships/hyperlink" Target="https://www.eammasters.com" TargetMode="External"/><Relationship Id="rId2877" Type="http://schemas.openxmlformats.org/officeDocument/2006/relationships/hyperlink" Target="https://www.nextremer.com" TargetMode="External"/><Relationship Id="rId1547" Type="http://schemas.openxmlformats.org/officeDocument/2006/relationships/hyperlink" Target="https://www.eanesisd.net" TargetMode="External"/><Relationship Id="rId2878" Type="http://schemas.openxmlformats.org/officeDocument/2006/relationships/hyperlink" Target="https://www.horavision.com" TargetMode="External"/><Relationship Id="rId1548" Type="http://schemas.openxmlformats.org/officeDocument/2006/relationships/hyperlink" Target="https://www.eazily.com" TargetMode="External"/><Relationship Id="rId2879" Type="http://schemas.openxmlformats.org/officeDocument/2006/relationships/hyperlink" Target="http://beework.ai" TargetMode="External"/><Relationship Id="rId1549" Type="http://schemas.openxmlformats.org/officeDocument/2006/relationships/hyperlink" Target="https://www.ebixsmartclass.com" TargetMode="External"/><Relationship Id="rId959" Type="http://schemas.openxmlformats.org/officeDocument/2006/relationships/hyperlink" Target="https://zenithlearninggroup.com" TargetMode="External"/><Relationship Id="rId954" Type="http://schemas.openxmlformats.org/officeDocument/2006/relationships/hyperlink" Target="https://www.iste.org" TargetMode="External"/><Relationship Id="rId953" Type="http://schemas.openxmlformats.org/officeDocument/2006/relationships/hyperlink" Target="https://enroly.com" TargetMode="External"/><Relationship Id="rId952" Type="http://schemas.openxmlformats.org/officeDocument/2006/relationships/hyperlink" Target="https://www.adaptemy.com" TargetMode="External"/><Relationship Id="rId951" Type="http://schemas.openxmlformats.org/officeDocument/2006/relationships/hyperlink" Target="https://glimpsek12.com" TargetMode="External"/><Relationship Id="rId958" Type="http://schemas.openxmlformats.org/officeDocument/2006/relationships/hyperlink" Target="https://www.glean.co" TargetMode="External"/><Relationship Id="rId957" Type="http://schemas.openxmlformats.org/officeDocument/2006/relationships/hyperlink" Target="https://growthtribe.io" TargetMode="External"/><Relationship Id="rId956" Type="http://schemas.openxmlformats.org/officeDocument/2006/relationships/hyperlink" Target="https://www.graide.com" TargetMode="External"/><Relationship Id="rId955" Type="http://schemas.openxmlformats.org/officeDocument/2006/relationships/hyperlink" Target="https://vertextech.com" TargetMode="External"/><Relationship Id="rId950" Type="http://schemas.openxmlformats.org/officeDocument/2006/relationships/hyperlink" Target="https://exxeella.com" TargetMode="External"/><Relationship Id="rId2870" Type="http://schemas.openxmlformats.org/officeDocument/2006/relationships/hyperlink" Target="https://www.understand.ai" TargetMode="External"/><Relationship Id="rId1540" Type="http://schemas.openxmlformats.org/officeDocument/2006/relationships/hyperlink" Target="https://www.e-careers.com" TargetMode="External"/><Relationship Id="rId2871" Type="http://schemas.openxmlformats.org/officeDocument/2006/relationships/hyperlink" Target="https://www.karya.in" TargetMode="External"/><Relationship Id="rId1541" Type="http://schemas.openxmlformats.org/officeDocument/2006/relationships/hyperlink" Target="https://www.edac.co.in" TargetMode="External"/><Relationship Id="rId2872" Type="http://schemas.openxmlformats.org/officeDocument/2006/relationships/hyperlink" Target="https://www.epinote.ai" TargetMode="External"/><Relationship Id="rId1542" Type="http://schemas.openxmlformats.org/officeDocument/2006/relationships/hyperlink" Target="https://www.egurutech.com" TargetMode="External"/><Relationship Id="rId2873" Type="http://schemas.openxmlformats.org/officeDocument/2006/relationships/hyperlink" Target="https://www.basicfinder.com" TargetMode="External"/><Relationship Id="rId2027" Type="http://schemas.openxmlformats.org/officeDocument/2006/relationships/hyperlink" Target="https://www.fluencelearning.com" TargetMode="External"/><Relationship Id="rId3359" Type="http://schemas.openxmlformats.org/officeDocument/2006/relationships/hyperlink" Target="https://www.pearson.com" TargetMode="External"/><Relationship Id="rId2028" Type="http://schemas.openxmlformats.org/officeDocument/2006/relationships/hyperlink" Target="https://www.trivie.com" TargetMode="External"/><Relationship Id="rId3358" Type="http://schemas.openxmlformats.org/officeDocument/2006/relationships/hyperlink" Target="https://www.parentsquare.com" TargetMode="External"/><Relationship Id="rId2029" Type="http://schemas.openxmlformats.org/officeDocument/2006/relationships/hyperlink" Target="https://www.koru.com" TargetMode="External"/><Relationship Id="rId107" Type="http://schemas.openxmlformats.org/officeDocument/2006/relationships/hyperlink" Target="https://proofoflearn.io" TargetMode="External"/><Relationship Id="rId106" Type="http://schemas.openxmlformats.org/officeDocument/2006/relationships/hyperlink" Target="https://edialearning.com" TargetMode="External"/><Relationship Id="rId105" Type="http://schemas.openxmlformats.org/officeDocument/2006/relationships/hyperlink" Target="https://kodezi.com" TargetMode="External"/><Relationship Id="rId104" Type="http://schemas.openxmlformats.org/officeDocument/2006/relationships/hyperlink" Target="https://www.immigo.io" TargetMode="External"/><Relationship Id="rId109" Type="http://schemas.openxmlformats.org/officeDocument/2006/relationships/hyperlink" Target="https://movethisworld.com" TargetMode="External"/><Relationship Id="rId108" Type="http://schemas.openxmlformats.org/officeDocument/2006/relationships/hyperlink" Target="https://www.opensesame.com" TargetMode="External"/><Relationship Id="rId3351" Type="http://schemas.openxmlformats.org/officeDocument/2006/relationships/hyperlink" Target="https://www.orangeeducation.in" TargetMode="External"/><Relationship Id="rId2020" Type="http://schemas.openxmlformats.org/officeDocument/2006/relationships/hyperlink" Target="https://www.evidenceb.com" TargetMode="External"/><Relationship Id="rId3350" Type="http://schemas.openxmlformats.org/officeDocument/2006/relationships/hyperlink" Target="https://www.onlinetutor4u.com" TargetMode="External"/><Relationship Id="rId2021" Type="http://schemas.openxmlformats.org/officeDocument/2006/relationships/hyperlink" Target="https://www.imprint.co" TargetMode="External"/><Relationship Id="rId3353" Type="http://schemas.openxmlformats.org/officeDocument/2006/relationships/hyperlink" Target="https://www.pacificcoastacademy.org" TargetMode="External"/><Relationship Id="rId2022" Type="http://schemas.openxmlformats.org/officeDocument/2006/relationships/hyperlink" Target="https://www.zybooks.com" TargetMode="External"/><Relationship Id="rId3352" Type="http://schemas.openxmlformats.org/officeDocument/2006/relationships/hyperlink" Target="https://www.orilearning.com" TargetMode="External"/><Relationship Id="rId103" Type="http://schemas.openxmlformats.org/officeDocument/2006/relationships/hyperlink" Target="https://digitalpromise.org" TargetMode="External"/><Relationship Id="rId2023" Type="http://schemas.openxmlformats.org/officeDocument/2006/relationships/hyperlink" Target="https://www.questt.com" TargetMode="External"/><Relationship Id="rId3355" Type="http://schemas.openxmlformats.org/officeDocument/2006/relationships/hyperlink" Target="https://www.pansophiclearning.com" TargetMode="External"/><Relationship Id="rId102" Type="http://schemas.openxmlformats.org/officeDocument/2006/relationships/hyperlink" Target="https://www.nerdy.com" TargetMode="External"/><Relationship Id="rId2024" Type="http://schemas.openxmlformats.org/officeDocument/2006/relationships/hyperlink" Target="https://www.solomusic.com" TargetMode="External"/><Relationship Id="rId3354" Type="http://schemas.openxmlformats.org/officeDocument/2006/relationships/hyperlink" Target="https://www.paddai.in" TargetMode="External"/><Relationship Id="rId101" Type="http://schemas.openxmlformats.org/officeDocument/2006/relationships/hyperlink" Target="https://www.vumedi.com" TargetMode="External"/><Relationship Id="rId2025" Type="http://schemas.openxmlformats.org/officeDocument/2006/relationships/hyperlink" Target="https://www.amplifire.com" TargetMode="External"/><Relationship Id="rId3357" Type="http://schemas.openxmlformats.org/officeDocument/2006/relationships/hyperlink" Target="https://www.parallelminds.com" TargetMode="External"/><Relationship Id="rId100" Type="http://schemas.openxmlformats.org/officeDocument/2006/relationships/hyperlink" Target="https://buildwithin.com" TargetMode="External"/><Relationship Id="rId2026" Type="http://schemas.openxmlformats.org/officeDocument/2006/relationships/hyperlink" Target="https://www.hellogenius.com" TargetMode="External"/><Relationship Id="rId3356" Type="http://schemas.openxmlformats.org/officeDocument/2006/relationships/hyperlink" Target="https://www.paradisosolutions.com" TargetMode="External"/><Relationship Id="rId2016" Type="http://schemas.openxmlformats.org/officeDocument/2006/relationships/hyperlink" Target="https://www.opendoorlearning.com" TargetMode="External"/><Relationship Id="rId3348" Type="http://schemas.openxmlformats.org/officeDocument/2006/relationships/hyperlink" Target="https://www.onlinesuccessinstitute.com" TargetMode="External"/><Relationship Id="rId2017" Type="http://schemas.openxmlformats.org/officeDocument/2006/relationships/hyperlink" Target="https://www.attensi.com" TargetMode="External"/><Relationship Id="rId3347" Type="http://schemas.openxmlformats.org/officeDocument/2006/relationships/hyperlink" Target="https://www.onevalley.com" TargetMode="External"/><Relationship Id="rId2018" Type="http://schemas.openxmlformats.org/officeDocument/2006/relationships/hyperlink" Target="https://www.xiaomawang.com" TargetMode="External"/><Relationship Id="rId2019" Type="http://schemas.openxmlformats.org/officeDocument/2006/relationships/hyperlink" Target="https://www.whalesenglish.com" TargetMode="External"/><Relationship Id="rId3349" Type="http://schemas.openxmlformats.org/officeDocument/2006/relationships/hyperlink" Target="https://www.onlineed.com" TargetMode="External"/><Relationship Id="rId3340" Type="http://schemas.openxmlformats.org/officeDocument/2006/relationships/hyperlink" Target="https://www.nlbservices.com" TargetMode="External"/><Relationship Id="rId2010" Type="http://schemas.openxmlformats.org/officeDocument/2006/relationships/hyperlink" Target="https://www.virtuallylearning.com" TargetMode="External"/><Relationship Id="rId3342" Type="http://schemas.openxmlformats.org/officeDocument/2006/relationships/hyperlink" Target="https://www.nxlevel.com" TargetMode="External"/><Relationship Id="rId2011" Type="http://schemas.openxmlformats.org/officeDocument/2006/relationships/hyperlink" Target="https://www.clypp.com" TargetMode="External"/><Relationship Id="rId3341" Type="http://schemas.openxmlformats.org/officeDocument/2006/relationships/hyperlink" Target="https://www.novemberlearning.com" TargetMode="External"/><Relationship Id="rId2012" Type="http://schemas.openxmlformats.org/officeDocument/2006/relationships/hyperlink" Target="https://www.herkey.com" TargetMode="External"/><Relationship Id="rId3344" Type="http://schemas.openxmlformats.org/officeDocument/2006/relationships/hyperlink" Target="https://www.octopusoutsourcing.com" TargetMode="External"/><Relationship Id="rId2013" Type="http://schemas.openxmlformats.org/officeDocument/2006/relationships/hyperlink" Target="https://www.zoltrain.com" TargetMode="External"/><Relationship Id="rId3343" Type="http://schemas.openxmlformats.org/officeDocument/2006/relationships/hyperlink" Target="https://www.oreilly.com" TargetMode="External"/><Relationship Id="rId2014" Type="http://schemas.openxmlformats.org/officeDocument/2006/relationships/hyperlink" Target="https://www.simbel.com" TargetMode="External"/><Relationship Id="rId3346" Type="http://schemas.openxmlformats.org/officeDocument/2006/relationships/hyperlink" Target="https://www.onehourlearning.com" TargetMode="External"/><Relationship Id="rId2015" Type="http://schemas.openxmlformats.org/officeDocument/2006/relationships/hyperlink" Target="https://www.naonow.com" TargetMode="External"/><Relationship Id="rId3345" Type="http://schemas.openxmlformats.org/officeDocument/2006/relationships/hyperlink" Target="https://www.ohana.solutions" TargetMode="External"/><Relationship Id="rId2049" Type="http://schemas.openxmlformats.org/officeDocument/2006/relationships/hyperlink" Target="https://www.workramp.com" TargetMode="External"/><Relationship Id="rId129" Type="http://schemas.openxmlformats.org/officeDocument/2006/relationships/hyperlink" Target="https://www.aceable.com" TargetMode="External"/><Relationship Id="rId128" Type="http://schemas.openxmlformats.org/officeDocument/2006/relationships/hyperlink" Target="https://www.hownowhq.com" TargetMode="External"/><Relationship Id="rId127" Type="http://schemas.openxmlformats.org/officeDocument/2006/relationships/hyperlink" Target="https://www.ccbp.in" TargetMode="External"/><Relationship Id="rId126" Type="http://schemas.openxmlformats.org/officeDocument/2006/relationships/hyperlink" Target="https://truthbridge.org" TargetMode="External"/><Relationship Id="rId3371" Type="http://schemas.openxmlformats.org/officeDocument/2006/relationships/hyperlink" Target="https://www.preponline.in" TargetMode="External"/><Relationship Id="rId2040" Type="http://schemas.openxmlformats.org/officeDocument/2006/relationships/hyperlink" Target="https://www.aspireship.com" TargetMode="External"/><Relationship Id="rId3370" Type="http://schemas.openxmlformats.org/officeDocument/2006/relationships/hyperlink" Target="https://www.prepladder.com" TargetMode="External"/><Relationship Id="rId121" Type="http://schemas.openxmlformats.org/officeDocument/2006/relationships/hyperlink" Target="https://www.packback.co" TargetMode="External"/><Relationship Id="rId2041" Type="http://schemas.openxmlformats.org/officeDocument/2006/relationships/hyperlink" Target="https://www.tailor-ed.com" TargetMode="External"/><Relationship Id="rId3373" Type="http://schemas.openxmlformats.org/officeDocument/2006/relationships/hyperlink" Target="https://www.presencelearning.com" TargetMode="External"/><Relationship Id="rId120" Type="http://schemas.openxmlformats.org/officeDocument/2006/relationships/hyperlink" Target="https://www.everday.com" TargetMode="External"/><Relationship Id="rId2042" Type="http://schemas.openxmlformats.org/officeDocument/2006/relationships/hyperlink" Target="https://www.skillcast.com" TargetMode="External"/><Relationship Id="rId3372" Type="http://schemas.openxmlformats.org/officeDocument/2006/relationships/hyperlink" Target="https://www.preppias.com" TargetMode="External"/><Relationship Id="rId2043" Type="http://schemas.openxmlformats.org/officeDocument/2006/relationships/hyperlink" Target="https://www.zeraki.co.ke" TargetMode="External"/><Relationship Id="rId3375" Type="http://schemas.openxmlformats.org/officeDocument/2006/relationships/hyperlink" Target="https://www.primeroks.com" TargetMode="External"/><Relationship Id="rId2044" Type="http://schemas.openxmlformats.org/officeDocument/2006/relationships/hyperlink" Target="https://www.collpoll.com" TargetMode="External"/><Relationship Id="rId3374" Type="http://schemas.openxmlformats.org/officeDocument/2006/relationships/hyperlink" Target="https://www.primaryplusmedia.com" TargetMode="External"/><Relationship Id="rId125" Type="http://schemas.openxmlformats.org/officeDocument/2006/relationships/hyperlink" Target="https://guido.io" TargetMode="External"/><Relationship Id="rId2045" Type="http://schemas.openxmlformats.org/officeDocument/2006/relationships/hyperlink" Target="https://www.blueskyelearn.com" TargetMode="External"/><Relationship Id="rId3377" Type="http://schemas.openxmlformats.org/officeDocument/2006/relationships/hyperlink" Target="https://www.prometric.com" TargetMode="External"/><Relationship Id="rId124" Type="http://schemas.openxmlformats.org/officeDocument/2006/relationships/hyperlink" Target="https://preply.com" TargetMode="External"/><Relationship Id="rId2046" Type="http://schemas.openxmlformats.org/officeDocument/2006/relationships/hyperlink" Target="https://www.englease.com" TargetMode="External"/><Relationship Id="rId3376" Type="http://schemas.openxmlformats.org/officeDocument/2006/relationships/hyperlink" Target="https://www.pdpinc.org" TargetMode="External"/><Relationship Id="rId123" Type="http://schemas.openxmlformats.org/officeDocument/2006/relationships/hyperlink" Target="https://emversity.com" TargetMode="External"/><Relationship Id="rId2047" Type="http://schemas.openxmlformats.org/officeDocument/2006/relationships/hyperlink" Target="https://www.freedomlearninggroup.com" TargetMode="External"/><Relationship Id="rId3379" Type="http://schemas.openxmlformats.org/officeDocument/2006/relationships/hyperlink" Target="https://www.peerview.com" TargetMode="External"/><Relationship Id="rId122" Type="http://schemas.openxmlformats.org/officeDocument/2006/relationships/hyperlink" Target="https://tootris.com" TargetMode="External"/><Relationship Id="rId2048" Type="http://schemas.openxmlformats.org/officeDocument/2006/relationships/hyperlink" Target="https://www.konversai.com" TargetMode="External"/><Relationship Id="rId3378" Type="http://schemas.openxmlformats.org/officeDocument/2006/relationships/hyperlink" Target="https://www.purpleirispress.com" TargetMode="External"/><Relationship Id="rId2038" Type="http://schemas.openxmlformats.org/officeDocument/2006/relationships/hyperlink" Target="https://www.xiguacity.cn" TargetMode="External"/><Relationship Id="rId2039" Type="http://schemas.openxmlformats.org/officeDocument/2006/relationships/hyperlink" Target="https://www.createacademy.com" TargetMode="External"/><Relationship Id="rId3369" Type="http://schemas.openxmlformats.org/officeDocument/2006/relationships/hyperlink" Target="https://www.preparationinfo.com" TargetMode="External"/><Relationship Id="rId118" Type="http://schemas.openxmlformats.org/officeDocument/2006/relationships/hyperlink" Target="https://www.siembramobile.com" TargetMode="External"/><Relationship Id="rId117" Type="http://schemas.openxmlformats.org/officeDocument/2006/relationships/hyperlink" Target="https://www.edlink.com" TargetMode="External"/><Relationship Id="rId116" Type="http://schemas.openxmlformats.org/officeDocument/2006/relationships/hyperlink" Target="https://outsmarteducation.com" TargetMode="External"/><Relationship Id="rId115" Type="http://schemas.openxmlformats.org/officeDocument/2006/relationships/hyperlink" Target="https://www.simply.co" TargetMode="External"/><Relationship Id="rId3360" Type="http://schemas.openxmlformats.org/officeDocument/2006/relationships/hyperlink" Target="https://www.pedasys.com" TargetMode="External"/><Relationship Id="rId119" Type="http://schemas.openxmlformats.org/officeDocument/2006/relationships/hyperlink" Target="https://www.bloomgrowth.com" TargetMode="External"/><Relationship Id="rId110" Type="http://schemas.openxmlformats.org/officeDocument/2006/relationships/hyperlink" Target="https://www.letztech.com" TargetMode="External"/><Relationship Id="rId2030" Type="http://schemas.openxmlformats.org/officeDocument/2006/relationships/hyperlink" Target="https://www.scalers.ai" TargetMode="External"/><Relationship Id="rId3362" Type="http://schemas.openxmlformats.org/officeDocument/2006/relationships/hyperlink" Target="https://www.persistent.com" TargetMode="External"/><Relationship Id="rId2031" Type="http://schemas.openxmlformats.org/officeDocument/2006/relationships/hyperlink" Target="https://www.yanadoo.com" TargetMode="External"/><Relationship Id="rId3361" Type="http://schemas.openxmlformats.org/officeDocument/2006/relationships/hyperlink" Target="https://www.pct.edu" TargetMode="External"/><Relationship Id="rId2032" Type="http://schemas.openxmlformats.org/officeDocument/2006/relationships/hyperlink" Target="http://noevo.io" TargetMode="External"/><Relationship Id="rId3364" Type="http://schemas.openxmlformats.org/officeDocument/2006/relationships/hyperlink" Target="https://www.pixar.com" TargetMode="External"/><Relationship Id="rId2033" Type="http://schemas.openxmlformats.org/officeDocument/2006/relationships/hyperlink" Target="https://www.noevo.io" TargetMode="External"/><Relationship Id="rId3363" Type="http://schemas.openxmlformats.org/officeDocument/2006/relationships/hyperlink" Target="https://www.persona-learning.com" TargetMode="External"/><Relationship Id="rId114" Type="http://schemas.openxmlformats.org/officeDocument/2006/relationships/hyperlink" Target="https://www.seedblink.com" TargetMode="External"/><Relationship Id="rId2034" Type="http://schemas.openxmlformats.org/officeDocument/2006/relationships/hyperlink" Target="https://www.yourika.com" TargetMode="External"/><Relationship Id="rId3366" Type="http://schemas.openxmlformats.org/officeDocument/2006/relationships/hyperlink" Target="https://www.pmglearningsolutions.com" TargetMode="External"/><Relationship Id="rId113" Type="http://schemas.openxmlformats.org/officeDocument/2006/relationships/hyperlink" Target="https://edlight.com" TargetMode="External"/><Relationship Id="rId2035" Type="http://schemas.openxmlformats.org/officeDocument/2006/relationships/hyperlink" Target="https://www.edureka.co" TargetMode="External"/><Relationship Id="rId3365" Type="http://schemas.openxmlformats.org/officeDocument/2006/relationships/hyperlink" Target="https://www.plantgenome.com" TargetMode="External"/><Relationship Id="rId112" Type="http://schemas.openxmlformats.org/officeDocument/2006/relationships/hyperlink" Target="https://vantagepointconsulting.com" TargetMode="External"/><Relationship Id="rId2036" Type="http://schemas.openxmlformats.org/officeDocument/2006/relationships/hyperlink" Target="https://www.lapzo.com" TargetMode="External"/><Relationship Id="rId3368" Type="http://schemas.openxmlformats.org/officeDocument/2006/relationships/hyperlink" Target="https://www.portagecollege.ca" TargetMode="External"/><Relationship Id="rId111" Type="http://schemas.openxmlformats.org/officeDocument/2006/relationships/hyperlink" Target="https://www.vedantu.com" TargetMode="External"/><Relationship Id="rId2037" Type="http://schemas.openxmlformats.org/officeDocument/2006/relationships/hyperlink" Target="https://www.gyde.ai" TargetMode="External"/><Relationship Id="rId3367" Type="http://schemas.openxmlformats.org/officeDocument/2006/relationships/hyperlink" Target="https://www.polyhos.com" TargetMode="External"/><Relationship Id="rId3315" Type="http://schemas.openxmlformats.org/officeDocument/2006/relationships/hyperlink" Target="https://www.m-tutor.com" TargetMode="External"/><Relationship Id="rId3314" Type="http://schemas.openxmlformats.org/officeDocument/2006/relationships/hyperlink" Target="https://www.mtgbooks.com" TargetMode="External"/><Relationship Id="rId3317" Type="http://schemas.openxmlformats.org/officeDocument/2006/relationships/hyperlink" Target="https://www.mybuddytutor.com" TargetMode="External"/><Relationship Id="rId3316" Type="http://schemas.openxmlformats.org/officeDocument/2006/relationships/hyperlink" Target="https://www.multilingualbooks.com" TargetMode="External"/><Relationship Id="rId3319" Type="http://schemas.openxmlformats.org/officeDocument/2006/relationships/hyperlink" Target="https://www.mycanvas.ai" TargetMode="External"/><Relationship Id="rId3318" Type="http://schemas.openxmlformats.org/officeDocument/2006/relationships/hyperlink" Target="https://www.mytutee.in" TargetMode="External"/><Relationship Id="rId3311" Type="http://schemas.openxmlformats.org/officeDocument/2006/relationships/hyperlink" Target="https://www.mittsure.com" TargetMode="External"/><Relationship Id="rId3310" Type="http://schemas.openxmlformats.org/officeDocument/2006/relationships/hyperlink" Target="https://online.missouri.edu" TargetMode="External"/><Relationship Id="rId3313" Type="http://schemas.openxmlformats.org/officeDocument/2006/relationships/hyperlink" Target="https://www.mpslimited.com" TargetMode="External"/><Relationship Id="rId3312" Type="http://schemas.openxmlformats.org/officeDocument/2006/relationships/hyperlink" Target="https://www.mec.ac.in" TargetMode="External"/><Relationship Id="rId3304" Type="http://schemas.openxmlformats.org/officeDocument/2006/relationships/hyperlink" Target="https://www.mileseducation.com" TargetMode="External"/><Relationship Id="rId3303" Type="http://schemas.openxmlformats.org/officeDocument/2006/relationships/hyperlink" Target="https://www.miestro.com" TargetMode="External"/><Relationship Id="rId3306" Type="http://schemas.openxmlformats.org/officeDocument/2006/relationships/hyperlink" Target="https://www.mindshapertech.com" TargetMode="External"/><Relationship Id="rId3305" Type="http://schemas.openxmlformats.org/officeDocument/2006/relationships/hyperlink" Target="https://www.millionairecoaching.com" TargetMode="External"/><Relationship Id="rId3308" Type="http://schemas.openxmlformats.org/officeDocument/2006/relationships/hyperlink" Target="https://www.mindvalley.com" TargetMode="External"/><Relationship Id="rId3307" Type="http://schemas.openxmlformats.org/officeDocument/2006/relationships/hyperlink" Target="https://www.mindplay.com" TargetMode="External"/><Relationship Id="rId3309" Type="http://schemas.openxmlformats.org/officeDocument/2006/relationships/hyperlink" Target="https://www.mindworkzz.com" TargetMode="External"/><Relationship Id="rId3300" Type="http://schemas.openxmlformats.org/officeDocument/2006/relationships/hyperlink" Target="https://www.meritnation.com" TargetMode="External"/><Relationship Id="rId3302" Type="http://schemas.openxmlformats.org/officeDocument/2006/relationships/hyperlink" Target="https://www.midschoolmath.com" TargetMode="External"/><Relationship Id="rId3301" Type="http://schemas.openxmlformats.org/officeDocument/2006/relationships/hyperlink" Target="https://www.metrice.com" TargetMode="External"/><Relationship Id="rId2005" Type="http://schemas.openxmlformats.org/officeDocument/2006/relationships/hyperlink" Target="https://www.reflectionsciences.com" TargetMode="External"/><Relationship Id="rId3337" Type="http://schemas.openxmlformats.org/officeDocument/2006/relationships/hyperlink" Target="https://www.nextsteptestprep.com" TargetMode="External"/><Relationship Id="rId2006" Type="http://schemas.openxmlformats.org/officeDocument/2006/relationships/hyperlink" Target="https://www.yescollective.com" TargetMode="External"/><Relationship Id="rId3336" Type="http://schemas.openxmlformats.org/officeDocument/2006/relationships/hyperlink" Target="https://www.nexteducation.in" TargetMode="External"/><Relationship Id="rId2007" Type="http://schemas.openxmlformats.org/officeDocument/2006/relationships/hyperlink" Target="https://www.playposit.com" TargetMode="External"/><Relationship Id="rId3339" Type="http://schemas.openxmlformats.org/officeDocument/2006/relationships/hyperlink" Target="https://www.nextleap.app" TargetMode="External"/><Relationship Id="rId2008" Type="http://schemas.openxmlformats.org/officeDocument/2006/relationships/hyperlink" Target="https://www.nextwork.org" TargetMode="External"/><Relationship Id="rId3338" Type="http://schemas.openxmlformats.org/officeDocument/2006/relationships/hyperlink" Target="https://www.nextias.com" TargetMode="External"/><Relationship Id="rId2009" Type="http://schemas.openxmlformats.org/officeDocument/2006/relationships/hyperlink" Target="https://www.zookal.com" TargetMode="External"/><Relationship Id="rId3331" Type="http://schemas.openxmlformats.org/officeDocument/2006/relationships/hyperlink" Target="https://www.nedgetech.com" TargetMode="External"/><Relationship Id="rId2000" Type="http://schemas.openxmlformats.org/officeDocument/2006/relationships/hyperlink" Target="https://www.skoove.com" TargetMode="External"/><Relationship Id="rId3330" Type="http://schemas.openxmlformats.org/officeDocument/2006/relationships/hyperlink" Target="https://www.ncreduservices.com" TargetMode="External"/><Relationship Id="rId2001" Type="http://schemas.openxmlformats.org/officeDocument/2006/relationships/hyperlink" Target="https://www.up-learn.co.uk" TargetMode="External"/><Relationship Id="rId3333" Type="http://schemas.openxmlformats.org/officeDocument/2006/relationships/hyperlink" Target="https://www.netcomlearning.com" TargetMode="External"/><Relationship Id="rId2002" Type="http://schemas.openxmlformats.org/officeDocument/2006/relationships/hyperlink" Target="https://www.dadaenglish.com" TargetMode="External"/><Relationship Id="rId3332" Type="http://schemas.openxmlformats.org/officeDocument/2006/relationships/hyperlink" Target="https://www.netimagine.com" TargetMode="External"/><Relationship Id="rId2003" Type="http://schemas.openxmlformats.org/officeDocument/2006/relationships/hyperlink" Target="https://www.chatterbox.org" TargetMode="External"/><Relationship Id="rId3335" Type="http://schemas.openxmlformats.org/officeDocument/2006/relationships/hyperlink" Target="https://www.nexlearn.com" TargetMode="External"/><Relationship Id="rId2004" Type="http://schemas.openxmlformats.org/officeDocument/2006/relationships/hyperlink" Target="https://www.maqsad.io" TargetMode="External"/><Relationship Id="rId3334" Type="http://schemas.openxmlformats.org/officeDocument/2006/relationships/hyperlink" Target="https://www.netfinitysoft.com" TargetMode="External"/><Relationship Id="rId3326" Type="http://schemas.openxmlformats.org/officeDocument/2006/relationships/hyperlink" Target="https://www.navex.com" TargetMode="External"/><Relationship Id="rId3325" Type="http://schemas.openxmlformats.org/officeDocument/2006/relationships/hyperlink" Target="https://www.nide.co.in" TargetMode="External"/><Relationship Id="rId3328" Type="http://schemas.openxmlformats.org/officeDocument/2006/relationships/hyperlink" Target="https://www.navitusedu.com" TargetMode="External"/><Relationship Id="rId3327" Type="http://schemas.openxmlformats.org/officeDocument/2006/relationships/hyperlink" Target="https://www.navislearning.com" TargetMode="External"/><Relationship Id="rId3329" Type="http://schemas.openxmlformats.org/officeDocument/2006/relationships/hyperlink" Target="https://www.nbsgurukul.com" TargetMode="External"/><Relationship Id="rId3320" Type="http://schemas.openxmlformats.org/officeDocument/2006/relationships/hyperlink" Target="http://mysmartsenses.com" TargetMode="External"/><Relationship Id="rId3322" Type="http://schemas.openxmlformats.org/officeDocument/2006/relationships/hyperlink" Target="https://www.narayanagroup.com" TargetMode="External"/><Relationship Id="rId3321" Type="http://schemas.openxmlformats.org/officeDocument/2006/relationships/hyperlink" Target="https://mysmartsenses.com" TargetMode="External"/><Relationship Id="rId3324" Type="http://schemas.openxmlformats.org/officeDocument/2006/relationships/hyperlink" Target="https://www.eltngl.com" TargetMode="External"/><Relationship Id="rId3323" Type="http://schemas.openxmlformats.org/officeDocument/2006/relationships/hyperlink" Target="https://www.nlearnapp.com" TargetMode="External"/><Relationship Id="rId2090" Type="http://schemas.openxmlformats.org/officeDocument/2006/relationships/hyperlink" Target="https://www.clarowellbeing.com" TargetMode="External"/><Relationship Id="rId2091" Type="http://schemas.openxmlformats.org/officeDocument/2006/relationships/hyperlink" Target="https://www.enparadigm.com" TargetMode="External"/><Relationship Id="rId2092" Type="http://schemas.openxmlformats.org/officeDocument/2006/relationships/hyperlink" Target="https://www.hcmdeck.com" TargetMode="External"/><Relationship Id="rId2093" Type="http://schemas.openxmlformats.org/officeDocument/2006/relationships/hyperlink" Target="https://www.expertrons.com" TargetMode="External"/><Relationship Id="rId2094" Type="http://schemas.openxmlformats.org/officeDocument/2006/relationships/hyperlink" Target="https://www.smartivity.in" TargetMode="External"/><Relationship Id="rId2095" Type="http://schemas.openxmlformats.org/officeDocument/2006/relationships/hyperlink" Target="https://www.kidato.com" TargetMode="External"/><Relationship Id="rId2096" Type="http://schemas.openxmlformats.org/officeDocument/2006/relationships/hyperlink" Target="https://www.worddive.com" TargetMode="External"/><Relationship Id="rId2097" Type="http://schemas.openxmlformats.org/officeDocument/2006/relationships/hyperlink" Target="https://www.invact.com" TargetMode="External"/><Relationship Id="rId2098" Type="http://schemas.openxmlformats.org/officeDocument/2006/relationships/hyperlink" Target="https://www.niikiis.com" TargetMode="External"/><Relationship Id="rId2099" Type="http://schemas.openxmlformats.org/officeDocument/2006/relationships/hyperlink" Target="https://www.sylvanlearning.com" TargetMode="External"/><Relationship Id="rId3391" Type="http://schemas.openxmlformats.org/officeDocument/2006/relationships/hyperlink" Target="https://www.revisewise.com" TargetMode="External"/><Relationship Id="rId2060" Type="http://schemas.openxmlformats.org/officeDocument/2006/relationships/hyperlink" Target="https://www.athena.ai" TargetMode="External"/><Relationship Id="rId3390" Type="http://schemas.openxmlformats.org/officeDocument/2006/relationships/hyperlink" Target="https://www.renrite.com" TargetMode="External"/><Relationship Id="rId2061" Type="http://schemas.openxmlformats.org/officeDocument/2006/relationships/hyperlink" Target="https://www.memorang.com" TargetMode="External"/><Relationship Id="rId3393" Type="http://schemas.openxmlformats.org/officeDocument/2006/relationships/hyperlink" Target="https://www.rmeducation.com" TargetMode="External"/><Relationship Id="rId2062" Type="http://schemas.openxmlformats.org/officeDocument/2006/relationships/hyperlink" Target="https://www.istoria.io" TargetMode="External"/><Relationship Id="rId3392" Type="http://schemas.openxmlformats.org/officeDocument/2006/relationships/hyperlink" Target="https://www.riosalado.edu" TargetMode="External"/><Relationship Id="rId2063" Type="http://schemas.openxmlformats.org/officeDocument/2006/relationships/hyperlink" Target="https://www.niyyah.com" TargetMode="External"/><Relationship Id="rId3395" Type="http://schemas.openxmlformats.org/officeDocument/2006/relationships/hyperlink" Target="https://www.s2mtrainings.com" TargetMode="External"/><Relationship Id="rId2064" Type="http://schemas.openxmlformats.org/officeDocument/2006/relationships/hyperlink" Target="https://www.tribexr.com" TargetMode="External"/><Relationship Id="rId3394" Type="http://schemas.openxmlformats.org/officeDocument/2006/relationships/hyperlink" Target="https://www.rkc.edu" TargetMode="External"/><Relationship Id="rId2065" Type="http://schemas.openxmlformats.org/officeDocument/2006/relationships/hyperlink" Target="https://www.earlystepsacademy.com" TargetMode="External"/><Relationship Id="rId3397" Type="http://schemas.openxmlformats.org/officeDocument/2006/relationships/hyperlink" Target="https://www.salseducationalacademy.com" TargetMode="External"/><Relationship Id="rId2066" Type="http://schemas.openxmlformats.org/officeDocument/2006/relationships/hyperlink" Target="https://www.scrimba.com" TargetMode="External"/><Relationship Id="rId3396" Type="http://schemas.openxmlformats.org/officeDocument/2006/relationships/hyperlink" Target="https://www.sakaarcorp.com" TargetMode="External"/><Relationship Id="rId2067" Type="http://schemas.openxmlformats.org/officeDocument/2006/relationships/hyperlink" Target="https://www.wellnesscoachesusa.com" TargetMode="External"/><Relationship Id="rId3399" Type="http://schemas.openxmlformats.org/officeDocument/2006/relationships/hyperlink" Target="https://www.saralearningglobal.com" TargetMode="External"/><Relationship Id="rId2068" Type="http://schemas.openxmlformats.org/officeDocument/2006/relationships/hyperlink" Target="https://www.kouncel.com" TargetMode="External"/><Relationship Id="rId3398" Type="http://schemas.openxmlformats.org/officeDocument/2006/relationships/hyperlink" Target="https://www.samanvitsolutions.com" TargetMode="External"/><Relationship Id="rId2069" Type="http://schemas.openxmlformats.org/officeDocument/2006/relationships/hyperlink" Target="https://www.sproboticworks.com" TargetMode="External"/><Relationship Id="rId3380" Type="http://schemas.openxmlformats.org/officeDocument/2006/relationships/hyperlink" Target="https://www.qbslearning.com" TargetMode="External"/><Relationship Id="rId2050" Type="http://schemas.openxmlformats.org/officeDocument/2006/relationships/hyperlink" Target="https://www.inq-its.com" TargetMode="External"/><Relationship Id="rId3382" Type="http://schemas.openxmlformats.org/officeDocument/2006/relationships/hyperlink" Target="https://www.rgpv.ac.in" TargetMode="External"/><Relationship Id="rId2051" Type="http://schemas.openxmlformats.org/officeDocument/2006/relationships/hyperlink" Target="https://www.coachbit.com" TargetMode="External"/><Relationship Id="rId3381" Type="http://schemas.openxmlformats.org/officeDocument/2006/relationships/hyperlink" Target="https://www.raaheducators.com" TargetMode="External"/><Relationship Id="rId2052" Type="http://schemas.openxmlformats.org/officeDocument/2006/relationships/hyperlink" Target="https://www.blablaedtech.com" TargetMode="External"/><Relationship Id="rId3384" Type="http://schemas.openxmlformats.org/officeDocument/2006/relationships/hyperlink" Target="https://www.reanasedutech.com" TargetMode="External"/><Relationship Id="rId2053" Type="http://schemas.openxmlformats.org/officeDocument/2006/relationships/hyperlink" Target="https://www.weace.io" TargetMode="External"/><Relationship Id="rId3383" Type="http://schemas.openxmlformats.org/officeDocument/2006/relationships/hyperlink" Target="https://www.readytrainingonline.com" TargetMode="External"/><Relationship Id="rId2054" Type="http://schemas.openxmlformats.org/officeDocument/2006/relationships/hyperlink" Target="https://www.konfetti.com" TargetMode="External"/><Relationship Id="rId3386" Type="http://schemas.openxmlformats.org/officeDocument/2006/relationships/hyperlink" Target="https://www.redilearning.com" TargetMode="External"/><Relationship Id="rId2055" Type="http://schemas.openxmlformats.org/officeDocument/2006/relationships/hyperlink" Target="https://www.jnctn.com" TargetMode="External"/><Relationship Id="rId3385" Type="http://schemas.openxmlformats.org/officeDocument/2006/relationships/hyperlink" Target="https://www.recordedbooks.com" TargetMode="External"/><Relationship Id="rId2056" Type="http://schemas.openxmlformats.org/officeDocument/2006/relationships/hyperlink" Target="https://www.tonestro.com" TargetMode="External"/><Relationship Id="rId3388" Type="http://schemas.openxmlformats.org/officeDocument/2006/relationships/hyperlink" Target="https://www.remarkxpert.com" TargetMode="External"/><Relationship Id="rId2057" Type="http://schemas.openxmlformats.org/officeDocument/2006/relationships/hyperlink" Target="https://www.qoeg.com" TargetMode="External"/><Relationship Id="rId3387" Type="http://schemas.openxmlformats.org/officeDocument/2006/relationships/hyperlink" Target="https://www.remarreview.com" TargetMode="External"/><Relationship Id="rId2058" Type="http://schemas.openxmlformats.org/officeDocument/2006/relationships/hyperlink" Target="https://www.shatterbox.com" TargetMode="External"/><Relationship Id="rId2059" Type="http://schemas.openxmlformats.org/officeDocument/2006/relationships/hyperlink" Target="https://www.zu.ai" TargetMode="External"/><Relationship Id="rId3389" Type="http://schemas.openxmlformats.org/officeDocument/2006/relationships/hyperlink" Target="https://www.renaissance-eservices.com" TargetMode="External"/><Relationship Id="rId2080" Type="http://schemas.openxmlformats.org/officeDocument/2006/relationships/hyperlink" Target="https://www.wonderwall.com" TargetMode="External"/><Relationship Id="rId2081" Type="http://schemas.openxmlformats.org/officeDocument/2006/relationships/hyperlink" Target="https://www.yourjuno.com" TargetMode="External"/><Relationship Id="rId2082" Type="http://schemas.openxmlformats.org/officeDocument/2006/relationships/hyperlink" Target="https://www.jumpstarttutoring.com" TargetMode="External"/><Relationship Id="rId2083" Type="http://schemas.openxmlformats.org/officeDocument/2006/relationships/hyperlink" Target="https://www.disprz.ai" TargetMode="External"/><Relationship Id="rId2084" Type="http://schemas.openxmlformats.org/officeDocument/2006/relationships/hyperlink" Target="https://www.msengineer.org" TargetMode="External"/><Relationship Id="rId2085" Type="http://schemas.openxmlformats.org/officeDocument/2006/relationships/hyperlink" Target="https://www.99math.com" TargetMode="External"/><Relationship Id="rId2086" Type="http://schemas.openxmlformats.org/officeDocument/2006/relationships/hyperlink" Target="https://www.pakistan.gov.pk" TargetMode="External"/><Relationship Id="rId2087" Type="http://schemas.openxmlformats.org/officeDocument/2006/relationships/hyperlink" Target="https://www.cake.me" TargetMode="External"/><Relationship Id="rId2088" Type="http://schemas.openxmlformats.org/officeDocument/2006/relationships/hyperlink" Target="https://www.zoomi.ai" TargetMode="External"/><Relationship Id="rId2089" Type="http://schemas.openxmlformats.org/officeDocument/2006/relationships/hyperlink" Target="https://www.ccrps.org" TargetMode="External"/><Relationship Id="rId2070" Type="http://schemas.openxmlformats.org/officeDocument/2006/relationships/hyperlink" Target="https://www.peakperformer.io" TargetMode="External"/><Relationship Id="rId2071" Type="http://schemas.openxmlformats.org/officeDocument/2006/relationships/hyperlink" Target="https://www.kidaristudio.com" TargetMode="External"/><Relationship Id="rId2072" Type="http://schemas.openxmlformats.org/officeDocument/2006/relationships/hyperlink" Target="https://www.crackthecode.in" TargetMode="External"/><Relationship Id="rId2073" Type="http://schemas.openxmlformats.org/officeDocument/2006/relationships/hyperlink" Target="https://www.lernx.com" TargetMode="External"/><Relationship Id="rId2074" Type="http://schemas.openxmlformats.org/officeDocument/2006/relationships/hyperlink" Target="https://www.marie.ai" TargetMode="External"/><Relationship Id="rId2075" Type="http://schemas.openxmlformats.org/officeDocument/2006/relationships/hyperlink" Target="https://www.vaino.app" TargetMode="External"/><Relationship Id="rId2076" Type="http://schemas.openxmlformats.org/officeDocument/2006/relationships/hyperlink" Target="https://www.cubos.academy" TargetMode="External"/><Relationship Id="rId2077" Type="http://schemas.openxmlformats.org/officeDocument/2006/relationships/hyperlink" Target="https://www.weschool.com" TargetMode="External"/><Relationship Id="rId2078" Type="http://schemas.openxmlformats.org/officeDocument/2006/relationships/hyperlink" Target="https://www.proctorfree.com" TargetMode="External"/><Relationship Id="rId2079" Type="http://schemas.openxmlformats.org/officeDocument/2006/relationships/hyperlink" Target="https://www.skillset.com" TargetMode="External"/><Relationship Id="rId2940" Type="http://schemas.openxmlformats.org/officeDocument/2006/relationships/hyperlink" Target="https://www.opporture.com" TargetMode="External"/><Relationship Id="rId1610" Type="http://schemas.openxmlformats.org/officeDocument/2006/relationships/hyperlink" Target="https://www.enablingdimensions.com" TargetMode="External"/><Relationship Id="rId2941" Type="http://schemas.openxmlformats.org/officeDocument/2006/relationships/hyperlink" Target="https://www.databee.ai" TargetMode="External"/><Relationship Id="rId1611" Type="http://schemas.openxmlformats.org/officeDocument/2006/relationships/hyperlink" Target="https://www.encora.com" TargetMode="External"/><Relationship Id="rId2942" Type="http://schemas.openxmlformats.org/officeDocument/2006/relationships/hyperlink" Target="https://www.annoberry.com" TargetMode="External"/><Relationship Id="rId1612" Type="http://schemas.openxmlformats.org/officeDocument/2006/relationships/hyperlink" Target="https://www.enhancesys.com" TargetMode="External"/><Relationship Id="rId2943" Type="http://schemas.openxmlformats.org/officeDocument/2006/relationships/hyperlink" Target="https://www.aventurinetec.com" TargetMode="External"/><Relationship Id="rId1613" Type="http://schemas.openxmlformats.org/officeDocument/2006/relationships/hyperlink" Target="https://www.enqurious.com" TargetMode="External"/><Relationship Id="rId2944" Type="http://schemas.openxmlformats.org/officeDocument/2006/relationships/hyperlink" Target="https://www.daitatech.com" TargetMode="External"/><Relationship Id="rId1614" Type="http://schemas.openxmlformats.org/officeDocument/2006/relationships/hyperlink" Target="https://www.entreinstitute.com" TargetMode="External"/><Relationship Id="rId2945" Type="http://schemas.openxmlformats.org/officeDocument/2006/relationships/hyperlink" Target="https://www.dcube.com" TargetMode="External"/><Relationship Id="rId1615" Type="http://schemas.openxmlformats.org/officeDocument/2006/relationships/hyperlink" Target="https://entri.app" TargetMode="External"/><Relationship Id="rId2946" Type="http://schemas.openxmlformats.org/officeDocument/2006/relationships/hyperlink" Target="https://www.moqiu.com" TargetMode="External"/><Relationship Id="rId1616" Type="http://schemas.openxmlformats.org/officeDocument/2006/relationships/hyperlink" Target="https://www.enyotalearning.com" TargetMode="External"/><Relationship Id="rId2947" Type="http://schemas.openxmlformats.org/officeDocument/2006/relationships/hyperlink" Target="https://www.workstage.com" TargetMode="External"/><Relationship Id="rId907" Type="http://schemas.openxmlformats.org/officeDocument/2006/relationships/hyperlink" Target="https://intuitivo.com" TargetMode="External"/><Relationship Id="rId1617" Type="http://schemas.openxmlformats.org/officeDocument/2006/relationships/hyperlink" Target="https://www.equalearning.com" TargetMode="External"/><Relationship Id="rId2948" Type="http://schemas.openxmlformats.org/officeDocument/2006/relationships/hyperlink" Target="https://www.chalisehouse.com" TargetMode="External"/><Relationship Id="rId906" Type="http://schemas.openxmlformats.org/officeDocument/2006/relationships/hyperlink" Target="https://www.ambow.com" TargetMode="External"/><Relationship Id="rId1618" Type="http://schemas.openxmlformats.org/officeDocument/2006/relationships/hyperlink" Target="https://www.erudex.com" TargetMode="External"/><Relationship Id="rId2949" Type="http://schemas.openxmlformats.org/officeDocument/2006/relationships/hyperlink" Target="https://www.digiyoda.com" TargetMode="External"/><Relationship Id="rId905" Type="http://schemas.openxmlformats.org/officeDocument/2006/relationships/hyperlink" Target="https://pariksha.co" TargetMode="External"/><Relationship Id="rId1619" Type="http://schemas.openxmlformats.org/officeDocument/2006/relationships/hyperlink" Target="https://www.esaral.com" TargetMode="External"/><Relationship Id="rId904" Type="http://schemas.openxmlformats.org/officeDocument/2006/relationships/hyperlink" Target="https://theskills.io" TargetMode="External"/><Relationship Id="rId909" Type="http://schemas.openxmlformats.org/officeDocument/2006/relationships/hyperlink" Target="https://stunitas.com" TargetMode="External"/><Relationship Id="rId908" Type="http://schemas.openxmlformats.org/officeDocument/2006/relationships/hyperlink" Target="https://rhithm.co" TargetMode="External"/><Relationship Id="rId903" Type="http://schemas.openxmlformats.org/officeDocument/2006/relationships/hyperlink" Target="https://www.jdoodle.com" TargetMode="External"/><Relationship Id="rId902" Type="http://schemas.openxmlformats.org/officeDocument/2006/relationships/hyperlink" Target="https://techadmirers.com" TargetMode="External"/><Relationship Id="rId901" Type="http://schemas.openxmlformats.org/officeDocument/2006/relationships/hyperlink" Target="https://ribbonedu.com" TargetMode="External"/><Relationship Id="rId900" Type="http://schemas.openxmlformats.org/officeDocument/2006/relationships/hyperlink" Target="https://enrola.ai" TargetMode="External"/><Relationship Id="rId2930" Type="http://schemas.openxmlformats.org/officeDocument/2006/relationships/hyperlink" Target="https://www.mozn.com" TargetMode="External"/><Relationship Id="rId1600" Type="http://schemas.openxmlformats.org/officeDocument/2006/relationships/hyperlink" Target="https://www.electude.com" TargetMode="External"/><Relationship Id="rId2931" Type="http://schemas.openxmlformats.org/officeDocument/2006/relationships/hyperlink" Target="https://www.djaoo.com" TargetMode="External"/><Relationship Id="rId1601" Type="http://schemas.openxmlformats.org/officeDocument/2006/relationships/hyperlink" Target="https://www.eleutian.com" TargetMode="External"/><Relationship Id="rId2932" Type="http://schemas.openxmlformats.org/officeDocument/2006/relationships/hyperlink" Target="https://www.oxoinnovation.com" TargetMode="External"/><Relationship Id="rId1602" Type="http://schemas.openxmlformats.org/officeDocument/2006/relationships/hyperlink" Target="https://www.elevolearning.com" TargetMode="External"/><Relationship Id="rId2933" Type="http://schemas.openxmlformats.org/officeDocument/2006/relationships/hyperlink" Target="https://www.graphgrail.ai" TargetMode="External"/><Relationship Id="rId1603" Type="http://schemas.openxmlformats.org/officeDocument/2006/relationships/hyperlink" Target="https://www.elgin.edu" TargetMode="External"/><Relationship Id="rId2934" Type="http://schemas.openxmlformats.org/officeDocument/2006/relationships/hyperlink" Target="https://www.trashset.com" TargetMode="External"/><Relationship Id="rId1604" Type="http://schemas.openxmlformats.org/officeDocument/2006/relationships/hyperlink" Target="https://www.eliteservicesproductions.com" TargetMode="External"/><Relationship Id="rId2935" Type="http://schemas.openxmlformats.org/officeDocument/2006/relationships/hyperlink" Target="https://www.axximum.com" TargetMode="External"/><Relationship Id="rId1605" Type="http://schemas.openxmlformats.org/officeDocument/2006/relationships/hyperlink" Target="https://www.ellucian.com" TargetMode="External"/><Relationship Id="rId2936" Type="http://schemas.openxmlformats.org/officeDocument/2006/relationships/hyperlink" Target="https://www.computyne.com" TargetMode="External"/><Relationship Id="rId1606" Type="http://schemas.openxmlformats.org/officeDocument/2006/relationships/hyperlink" Target="https://emeritus.org" TargetMode="External"/><Relationship Id="rId2937" Type="http://schemas.openxmlformats.org/officeDocument/2006/relationships/hyperlink" Target="https://www.annotationbox.com" TargetMode="External"/><Relationship Id="rId1607" Type="http://schemas.openxmlformats.org/officeDocument/2006/relationships/hyperlink" Target="https://www.eminencelearning.com" TargetMode="External"/><Relationship Id="rId2938" Type="http://schemas.openxmlformats.org/officeDocument/2006/relationships/hyperlink" Target="https://www.ltsglobal.com" TargetMode="External"/><Relationship Id="rId1608" Type="http://schemas.openxmlformats.org/officeDocument/2006/relationships/hyperlink" Target="https://www.emperind.com" TargetMode="External"/><Relationship Id="rId2939" Type="http://schemas.openxmlformats.org/officeDocument/2006/relationships/hyperlink" Target="https://www.adminaid.com" TargetMode="External"/><Relationship Id="rId1609" Type="http://schemas.openxmlformats.org/officeDocument/2006/relationships/hyperlink" Target="https://www.empoweru.education" TargetMode="External"/><Relationship Id="rId1631" Type="http://schemas.openxmlformats.org/officeDocument/2006/relationships/hyperlink" Target="https://www.excelsoftcorp.com" TargetMode="External"/><Relationship Id="rId2962" Type="http://schemas.openxmlformats.org/officeDocument/2006/relationships/hyperlink" Target="https://www.klatchtechnologies.com" TargetMode="External"/><Relationship Id="rId1632" Type="http://schemas.openxmlformats.org/officeDocument/2006/relationships/hyperlink" Target="https://www.exitplanning.com" TargetMode="External"/><Relationship Id="rId2963" Type="http://schemas.openxmlformats.org/officeDocument/2006/relationships/hyperlink" Target="https://www.xoidlabs.com" TargetMode="External"/><Relationship Id="rId1633" Type="http://schemas.openxmlformats.org/officeDocument/2006/relationships/hyperlink" Target="https://www.expandmybusiness.com" TargetMode="External"/><Relationship Id="rId2964" Type="http://schemas.openxmlformats.org/officeDocument/2006/relationships/hyperlink" Target="https://www.intellink.com" TargetMode="External"/><Relationship Id="rId1634" Type="http://schemas.openxmlformats.org/officeDocument/2006/relationships/hyperlink" Target="https://www.expertrating.com" TargetMode="External"/><Relationship Id="rId2965" Type="http://schemas.openxmlformats.org/officeDocument/2006/relationships/hyperlink" Target="https://www.supportica.com" TargetMode="External"/><Relationship Id="rId1635" Type="http://schemas.openxmlformats.org/officeDocument/2006/relationships/hyperlink" Target="https://www.explorelearning.com" TargetMode="External"/><Relationship Id="rId2966" Type="http://schemas.openxmlformats.org/officeDocument/2006/relationships/hyperlink" Target="https://www.kanangra.com" TargetMode="External"/><Relationship Id="rId1636" Type="http://schemas.openxmlformats.org/officeDocument/2006/relationships/hyperlink" Target="https://www.expograde.com" TargetMode="External"/><Relationship Id="rId2967" Type="http://schemas.openxmlformats.org/officeDocument/2006/relationships/hyperlink" Target="https://www.unidata.com" TargetMode="External"/><Relationship Id="rId1637" Type="http://schemas.openxmlformats.org/officeDocument/2006/relationships/hyperlink" Target="https://www.extramarks.com" TargetMode="External"/><Relationship Id="rId2968" Type="http://schemas.openxmlformats.org/officeDocument/2006/relationships/hyperlink" Target="https://www.annotationhub.ai" TargetMode="External"/><Relationship Id="rId1638" Type="http://schemas.openxmlformats.org/officeDocument/2006/relationships/hyperlink" Target="https://www.ey.com" TargetMode="External"/><Relationship Id="rId2969" Type="http://schemas.openxmlformats.org/officeDocument/2006/relationships/hyperlink" Target="https://www.tagon.ai" TargetMode="External"/><Relationship Id="rId929" Type="http://schemas.openxmlformats.org/officeDocument/2006/relationships/hyperlink" Target="https://hltcorp.com" TargetMode="External"/><Relationship Id="rId1639" Type="http://schemas.openxmlformats.org/officeDocument/2006/relationships/hyperlink" Target="https://www.fcsltd.com" TargetMode="External"/><Relationship Id="rId928" Type="http://schemas.openxmlformats.org/officeDocument/2006/relationships/hyperlink" Target="https://capslock.com" TargetMode="External"/><Relationship Id="rId927" Type="http://schemas.openxmlformats.org/officeDocument/2006/relationships/hyperlink" Target="https://techleadnetwork.org" TargetMode="External"/><Relationship Id="rId926" Type="http://schemas.openxmlformats.org/officeDocument/2006/relationships/hyperlink" Target="https://eduforge.ai" TargetMode="External"/><Relationship Id="rId921" Type="http://schemas.openxmlformats.org/officeDocument/2006/relationships/hyperlink" Target="https://biginterview.com" TargetMode="External"/><Relationship Id="rId920" Type="http://schemas.openxmlformats.org/officeDocument/2006/relationships/hyperlink" Target="https://mildang.co.kr" TargetMode="External"/><Relationship Id="rId925" Type="http://schemas.openxmlformats.org/officeDocument/2006/relationships/hyperlink" Target="https://billionminds.com" TargetMode="External"/><Relationship Id="rId924" Type="http://schemas.openxmlformats.org/officeDocument/2006/relationships/hyperlink" Target="https://cheqrboard.com" TargetMode="External"/><Relationship Id="rId923" Type="http://schemas.openxmlformats.org/officeDocument/2006/relationships/hyperlink" Target="https://heylama.com" TargetMode="External"/><Relationship Id="rId922" Type="http://schemas.openxmlformats.org/officeDocument/2006/relationships/hyperlink" Target="https://techrow.org" TargetMode="External"/><Relationship Id="rId2960" Type="http://schemas.openxmlformats.org/officeDocument/2006/relationships/hyperlink" Target="http://teric.ai" TargetMode="External"/><Relationship Id="rId1630" Type="http://schemas.openxmlformats.org/officeDocument/2006/relationships/hyperlink" Target="https://www.examfactor.com" TargetMode="External"/><Relationship Id="rId2961" Type="http://schemas.openxmlformats.org/officeDocument/2006/relationships/hyperlink" Target="https://www.teric.ai" TargetMode="External"/><Relationship Id="rId1620" Type="http://schemas.openxmlformats.org/officeDocument/2006/relationships/hyperlink" Target="https://www.essentialed.com" TargetMode="External"/><Relationship Id="rId2951" Type="http://schemas.openxmlformats.org/officeDocument/2006/relationships/hyperlink" Target="https://www.vcube.com" TargetMode="External"/><Relationship Id="rId1621" Type="http://schemas.openxmlformats.org/officeDocument/2006/relationships/hyperlink" Target="https://www.estrategysolutions.com" TargetMode="External"/><Relationship Id="rId2952" Type="http://schemas.openxmlformats.org/officeDocument/2006/relationships/hyperlink" Target="https://www.dataremer.com" TargetMode="External"/><Relationship Id="rId1622" Type="http://schemas.openxmlformats.org/officeDocument/2006/relationships/hyperlink" Target="https://www.etherealeduversity.com" TargetMode="External"/><Relationship Id="rId2953" Type="http://schemas.openxmlformats.org/officeDocument/2006/relationships/hyperlink" Target="https://www.zerosecsolutions.com" TargetMode="External"/><Relationship Id="rId1623" Type="http://schemas.openxmlformats.org/officeDocument/2006/relationships/hyperlink" Target="https://www.etrainetc.com" TargetMode="External"/><Relationship Id="rId2954" Type="http://schemas.openxmlformats.org/officeDocument/2006/relationships/hyperlink" Target="https://www.contalents.com" TargetMode="External"/><Relationship Id="rId1624" Type="http://schemas.openxmlformats.org/officeDocument/2006/relationships/hyperlink" Target="https://www.ets.org" TargetMode="External"/><Relationship Id="rId2955" Type="http://schemas.openxmlformats.org/officeDocument/2006/relationships/hyperlink" Target="http://learningspiral.ai" TargetMode="External"/><Relationship Id="rId1625" Type="http://schemas.openxmlformats.org/officeDocument/2006/relationships/hyperlink" Target="https://www.evalueserve.com" TargetMode="External"/><Relationship Id="rId2956" Type="http://schemas.openxmlformats.org/officeDocument/2006/relationships/hyperlink" Target="https://www.learningspiral.ai" TargetMode="External"/><Relationship Id="rId1626" Type="http://schemas.openxmlformats.org/officeDocument/2006/relationships/hyperlink" Target="https://www.evelynlearning.com" TargetMode="External"/><Relationship Id="rId2957" Type="http://schemas.openxmlformats.org/officeDocument/2006/relationships/hyperlink" Target="https://www.mindyteams.com" TargetMode="External"/><Relationship Id="rId1627" Type="http://schemas.openxmlformats.org/officeDocument/2006/relationships/hyperlink" Target="https://www.evivve.com" TargetMode="External"/><Relationship Id="rId2958" Type="http://schemas.openxmlformats.org/officeDocument/2006/relationships/hyperlink" Target="https://www.procedeon.com" TargetMode="External"/><Relationship Id="rId918" Type="http://schemas.openxmlformats.org/officeDocument/2006/relationships/hyperlink" Target="https://www.edukasyon.ph" TargetMode="External"/><Relationship Id="rId1628" Type="http://schemas.openxmlformats.org/officeDocument/2006/relationships/hyperlink" Target="https://www.evolutionaccessibility.com" TargetMode="External"/><Relationship Id="rId2959" Type="http://schemas.openxmlformats.org/officeDocument/2006/relationships/hyperlink" Target="https://www.icebergdata.com" TargetMode="External"/><Relationship Id="rId917" Type="http://schemas.openxmlformats.org/officeDocument/2006/relationships/hyperlink" Target="http://edukasyon.ph" TargetMode="External"/><Relationship Id="rId1629" Type="http://schemas.openxmlformats.org/officeDocument/2006/relationships/hyperlink" Target="https://www.eworkz.com" TargetMode="External"/><Relationship Id="rId916" Type="http://schemas.openxmlformats.org/officeDocument/2006/relationships/hyperlink" Target="https://speakbuddy.me" TargetMode="External"/><Relationship Id="rId915" Type="http://schemas.openxmlformats.org/officeDocument/2006/relationships/hyperlink" Target="https://www.crehana.com" TargetMode="External"/><Relationship Id="rId919" Type="http://schemas.openxmlformats.org/officeDocument/2006/relationships/hyperlink" Target="https://www.coursestorm.com" TargetMode="External"/><Relationship Id="rId910" Type="http://schemas.openxmlformats.org/officeDocument/2006/relationships/hyperlink" Target="https://imagngo.ai" TargetMode="External"/><Relationship Id="rId914" Type="http://schemas.openxmlformats.org/officeDocument/2006/relationships/hyperlink" Target="https://hellothinkster.com" TargetMode="External"/><Relationship Id="rId913" Type="http://schemas.openxmlformats.org/officeDocument/2006/relationships/hyperlink" Target="https://www.logiscool.com" TargetMode="External"/><Relationship Id="rId912" Type="http://schemas.openxmlformats.org/officeDocument/2006/relationships/hyperlink" Target="https://www.dio.me" TargetMode="External"/><Relationship Id="rId911" Type="http://schemas.openxmlformats.org/officeDocument/2006/relationships/hyperlink" Target="https://www.lyfta.com" TargetMode="External"/><Relationship Id="rId2950" Type="http://schemas.openxmlformats.org/officeDocument/2006/relationships/hyperlink" Target="https://www.a5infotech.com" TargetMode="External"/><Relationship Id="rId2900" Type="http://schemas.openxmlformats.org/officeDocument/2006/relationships/hyperlink" Target="https://www.deducetech.com" TargetMode="External"/><Relationship Id="rId2901" Type="http://schemas.openxmlformats.org/officeDocument/2006/relationships/hyperlink" Target="http://dataforge.ai" TargetMode="External"/><Relationship Id="rId2902" Type="http://schemas.openxmlformats.org/officeDocument/2006/relationships/hyperlink" Target="https://www.dataforge.ai" TargetMode="External"/><Relationship Id="rId2903" Type="http://schemas.openxmlformats.org/officeDocument/2006/relationships/hyperlink" Target="http://xtract.io" TargetMode="External"/><Relationship Id="rId2904" Type="http://schemas.openxmlformats.org/officeDocument/2006/relationships/hyperlink" Target="https://www.xtract.io" TargetMode="External"/><Relationship Id="rId2905" Type="http://schemas.openxmlformats.org/officeDocument/2006/relationships/hyperlink" Target="https://www.yaiglobal.com" TargetMode="External"/><Relationship Id="rId2906" Type="http://schemas.openxmlformats.org/officeDocument/2006/relationships/hyperlink" Target="https://www.qualitasglobal.com" TargetMode="External"/><Relationship Id="rId2907" Type="http://schemas.openxmlformats.org/officeDocument/2006/relationships/hyperlink" Target="https://www.meddare.com" TargetMode="External"/><Relationship Id="rId2908" Type="http://schemas.openxmlformats.org/officeDocument/2006/relationships/hyperlink" Target="https://www.fivesdigital.com" TargetMode="External"/><Relationship Id="rId2909" Type="http://schemas.openxmlformats.org/officeDocument/2006/relationships/hyperlink" Target="https://www.elanceritsolutions.com" TargetMode="External"/><Relationship Id="rId2920" Type="http://schemas.openxmlformats.org/officeDocument/2006/relationships/hyperlink" Target="https://www.tika.ai" TargetMode="External"/><Relationship Id="rId2921" Type="http://schemas.openxmlformats.org/officeDocument/2006/relationships/hyperlink" Target="https://www.habiledata.com" TargetMode="External"/><Relationship Id="rId2922" Type="http://schemas.openxmlformats.org/officeDocument/2006/relationships/hyperlink" Target="https://www.ainavio.com" TargetMode="External"/><Relationship Id="rId2923" Type="http://schemas.openxmlformats.org/officeDocument/2006/relationships/hyperlink" Target="https://www.awtomatig.com" TargetMode="External"/><Relationship Id="rId2924" Type="http://schemas.openxmlformats.org/officeDocument/2006/relationships/hyperlink" Target="https://www.frinksyn.com" TargetMode="External"/><Relationship Id="rId2925" Type="http://schemas.openxmlformats.org/officeDocument/2006/relationships/hyperlink" Target="https://www.litwizlabs.com" TargetMode="External"/><Relationship Id="rId2926" Type="http://schemas.openxmlformats.org/officeDocument/2006/relationships/hyperlink" Target="https://www.anmerkung.com" TargetMode="External"/><Relationship Id="rId2927" Type="http://schemas.openxmlformats.org/officeDocument/2006/relationships/hyperlink" Target="https://www.impactoutsourcing.com" TargetMode="External"/><Relationship Id="rId2928" Type="http://schemas.openxmlformats.org/officeDocument/2006/relationships/hyperlink" Target="https://www.sernion.com" TargetMode="External"/><Relationship Id="rId2929" Type="http://schemas.openxmlformats.org/officeDocument/2006/relationships/hyperlink" Target="https://www.cadmaxx.com" TargetMode="External"/><Relationship Id="rId2910" Type="http://schemas.openxmlformats.org/officeDocument/2006/relationships/hyperlink" Target="https://www.innovatiana.com" TargetMode="External"/><Relationship Id="rId2911" Type="http://schemas.openxmlformats.org/officeDocument/2006/relationships/hyperlink" Target="https://www.aiworkspace.com" TargetMode="External"/><Relationship Id="rId2912" Type="http://schemas.openxmlformats.org/officeDocument/2006/relationships/hyperlink" Target="https://www.aitprotocol.ai" TargetMode="External"/><Relationship Id="rId2913" Type="http://schemas.openxmlformats.org/officeDocument/2006/relationships/hyperlink" Target="https://www.annotationsupport.com" TargetMode="External"/><Relationship Id="rId2914" Type="http://schemas.openxmlformats.org/officeDocument/2006/relationships/hyperlink" Target="https://www.impactenterprises.com" TargetMode="External"/><Relationship Id="rId2915" Type="http://schemas.openxmlformats.org/officeDocument/2006/relationships/hyperlink" Target="https://www.biztechanalytics.com" TargetMode="External"/><Relationship Id="rId2916" Type="http://schemas.openxmlformats.org/officeDocument/2006/relationships/hyperlink" Target="https://www.wisepl.com" TargetMode="External"/><Relationship Id="rId2917" Type="http://schemas.openxmlformats.org/officeDocument/2006/relationships/hyperlink" Target="http://scala.ai" TargetMode="External"/><Relationship Id="rId2918" Type="http://schemas.openxmlformats.org/officeDocument/2006/relationships/hyperlink" Target="https://www.scala.ai" TargetMode="External"/><Relationship Id="rId2919" Type="http://schemas.openxmlformats.org/officeDocument/2006/relationships/hyperlink" Target="https://www.amygo.ai" TargetMode="External"/><Relationship Id="rId1697" Type="http://schemas.openxmlformats.org/officeDocument/2006/relationships/hyperlink" Target="https://www.hdbooks.com" TargetMode="External"/><Relationship Id="rId1698" Type="http://schemas.openxmlformats.org/officeDocument/2006/relationships/hyperlink" Target="https://www.hct.ac.ae" TargetMode="External"/><Relationship Id="rId1699" Type="http://schemas.openxmlformats.org/officeDocument/2006/relationships/hyperlink" Target="https://www.youtube.com/@HimeeshMadaan" TargetMode="External"/><Relationship Id="rId866" Type="http://schemas.openxmlformats.org/officeDocument/2006/relationships/hyperlink" Target="https://dabblelearning.org" TargetMode="External"/><Relationship Id="rId865" Type="http://schemas.openxmlformats.org/officeDocument/2006/relationships/hyperlink" Target="https://mariana.ai" TargetMode="External"/><Relationship Id="rId864" Type="http://schemas.openxmlformats.org/officeDocument/2006/relationships/hyperlink" Target="https://volute.io" TargetMode="External"/><Relationship Id="rId863" Type="http://schemas.openxmlformats.org/officeDocument/2006/relationships/hyperlink" Target="https://kinobi.com" TargetMode="External"/><Relationship Id="rId869" Type="http://schemas.openxmlformats.org/officeDocument/2006/relationships/hyperlink" Target="https://quino.ai" TargetMode="External"/><Relationship Id="rId868" Type="http://schemas.openxmlformats.org/officeDocument/2006/relationships/hyperlink" Target="https://transeo.com" TargetMode="External"/><Relationship Id="rId867" Type="http://schemas.openxmlformats.org/officeDocument/2006/relationships/hyperlink" Target="https://aruvr.com" TargetMode="External"/><Relationship Id="rId1690" Type="http://schemas.openxmlformats.org/officeDocument/2006/relationships/hyperlink" Target="https://www.gycad.com" TargetMode="External"/><Relationship Id="rId1691" Type="http://schemas.openxmlformats.org/officeDocument/2006/relationships/hyperlink" Target="https://www.helioseducore.com" TargetMode="External"/><Relationship Id="rId1692" Type="http://schemas.openxmlformats.org/officeDocument/2006/relationships/hyperlink" Target="http://helpwithassignment.com" TargetMode="External"/><Relationship Id="rId862" Type="http://schemas.openxmlformats.org/officeDocument/2006/relationships/hyperlink" Target="https://walo.io" TargetMode="External"/><Relationship Id="rId1693" Type="http://schemas.openxmlformats.org/officeDocument/2006/relationships/hyperlink" Target="https://www.helpwithassignment.com" TargetMode="External"/><Relationship Id="rId861" Type="http://schemas.openxmlformats.org/officeDocument/2006/relationships/hyperlink" Target="https://abledigital.com" TargetMode="External"/><Relationship Id="rId1694" Type="http://schemas.openxmlformats.org/officeDocument/2006/relationships/hyperlink" Target="https://www.heronvirtualacademy.org" TargetMode="External"/><Relationship Id="rId860" Type="http://schemas.openxmlformats.org/officeDocument/2006/relationships/hyperlink" Target="https://grinds360.com" TargetMode="External"/><Relationship Id="rId1695" Type="http://schemas.openxmlformats.org/officeDocument/2006/relationships/hyperlink" Target="https://www.hexalearn.com" TargetMode="External"/><Relationship Id="rId1696" Type="http://schemas.openxmlformats.org/officeDocument/2006/relationships/hyperlink" Target="https://www.heymath.com" TargetMode="External"/><Relationship Id="rId1686" Type="http://schemas.openxmlformats.org/officeDocument/2006/relationships/hyperlink" Target="https://www.gurusiksha.com" TargetMode="External"/><Relationship Id="rId1687" Type="http://schemas.openxmlformats.org/officeDocument/2006/relationships/hyperlink" Target="https://www.guseducation.com" TargetMode="External"/><Relationship Id="rId1688" Type="http://schemas.openxmlformats.org/officeDocument/2006/relationships/hyperlink" Target="https://www.gusglobals.com" TargetMode="External"/><Relationship Id="rId1689" Type="http://schemas.openxmlformats.org/officeDocument/2006/relationships/hyperlink" Target="https://www.gwu.edu" TargetMode="External"/><Relationship Id="rId855" Type="http://schemas.openxmlformats.org/officeDocument/2006/relationships/hyperlink" Target="https://sorbil.com" TargetMode="External"/><Relationship Id="rId854" Type="http://schemas.openxmlformats.org/officeDocument/2006/relationships/hyperlink" Target="https://literably.com" TargetMode="External"/><Relationship Id="rId853" Type="http://schemas.openxmlformats.org/officeDocument/2006/relationships/hyperlink" Target="https://bilingue.io" TargetMode="External"/><Relationship Id="rId852" Type="http://schemas.openxmlformats.org/officeDocument/2006/relationships/hyperlink" Target="https://www.classting.com" TargetMode="External"/><Relationship Id="rId859" Type="http://schemas.openxmlformats.org/officeDocument/2006/relationships/hyperlink" Target="https://nurovant.ai" TargetMode="External"/><Relationship Id="rId858" Type="http://schemas.openxmlformats.org/officeDocument/2006/relationships/hyperlink" Target="https://nopaperforms.com" TargetMode="External"/><Relationship Id="rId857" Type="http://schemas.openxmlformats.org/officeDocument/2006/relationships/hyperlink" Target="https://remote-how.com" TargetMode="External"/><Relationship Id="rId856" Type="http://schemas.openxmlformats.org/officeDocument/2006/relationships/hyperlink" Target="https://hivelearning.com" TargetMode="External"/><Relationship Id="rId1680" Type="http://schemas.openxmlformats.org/officeDocument/2006/relationships/hyperlink" Target="https://www.grownmind.in" TargetMode="External"/><Relationship Id="rId1681" Type="http://schemas.openxmlformats.org/officeDocument/2006/relationships/hyperlink" Target="https://www.growthschool.io" TargetMode="External"/><Relationship Id="rId851" Type="http://schemas.openxmlformats.org/officeDocument/2006/relationships/hyperlink" Target="https://intellispark.ai" TargetMode="External"/><Relationship Id="rId1682" Type="http://schemas.openxmlformats.org/officeDocument/2006/relationships/hyperlink" Target="http://growthstream.io" TargetMode="External"/><Relationship Id="rId850" Type="http://schemas.openxmlformats.org/officeDocument/2006/relationships/hyperlink" Target="https://cozykin.com" TargetMode="External"/><Relationship Id="rId1683" Type="http://schemas.openxmlformats.org/officeDocument/2006/relationships/hyperlink" Target="https://www.growthstream.io" TargetMode="External"/><Relationship Id="rId1684" Type="http://schemas.openxmlformats.org/officeDocument/2006/relationships/hyperlink" Target="https://www.guidaentor.com" TargetMode="External"/><Relationship Id="rId1685" Type="http://schemas.openxmlformats.org/officeDocument/2006/relationships/hyperlink" Target="https://www.gurukulvidyapeeth.org" TargetMode="External"/><Relationship Id="rId3414" Type="http://schemas.openxmlformats.org/officeDocument/2006/relationships/hyperlink" Target="https://skill-lync.com" TargetMode="External"/><Relationship Id="rId3413" Type="http://schemas.openxmlformats.org/officeDocument/2006/relationships/hyperlink" Target="https://www.sixredmarbles.com" TargetMode="External"/><Relationship Id="rId3416" Type="http://schemas.openxmlformats.org/officeDocument/2006/relationships/hyperlink" Target="https://www.skillworks.com" TargetMode="External"/><Relationship Id="rId3415" Type="http://schemas.openxmlformats.org/officeDocument/2006/relationships/hyperlink" Target="https://www.skilledindia.com" TargetMode="External"/><Relationship Id="rId3418" Type="http://schemas.openxmlformats.org/officeDocument/2006/relationships/hyperlink" Target="https://www.spatialthoughts.com" TargetMode="External"/><Relationship Id="rId3417" Type="http://schemas.openxmlformats.org/officeDocument/2006/relationships/hyperlink" Target="https://www.spaidelearning.com" TargetMode="External"/><Relationship Id="rId3419" Type="http://schemas.openxmlformats.org/officeDocument/2006/relationships/hyperlink" Target="https://www.speedlearnerz.com" TargetMode="External"/><Relationship Id="rId888" Type="http://schemas.openxmlformats.org/officeDocument/2006/relationships/hyperlink" Target="https://voovo.ai" TargetMode="External"/><Relationship Id="rId887" Type="http://schemas.openxmlformats.org/officeDocument/2006/relationships/hyperlink" Target="https://datatrained.com" TargetMode="External"/><Relationship Id="rId886" Type="http://schemas.openxmlformats.org/officeDocument/2006/relationships/hyperlink" Target="https://zarttech.com" TargetMode="External"/><Relationship Id="rId885" Type="http://schemas.openxmlformats.org/officeDocument/2006/relationships/hyperlink" Target="https://papumba.com" TargetMode="External"/><Relationship Id="rId889" Type="http://schemas.openxmlformats.org/officeDocument/2006/relationships/hyperlink" Target="https://www.zybang.com" TargetMode="External"/><Relationship Id="rId880" Type="http://schemas.openxmlformats.org/officeDocument/2006/relationships/hyperlink" Target="https://databits.ai" TargetMode="External"/><Relationship Id="rId884" Type="http://schemas.openxmlformats.org/officeDocument/2006/relationships/hyperlink" Target="https://pipelineronline.com" TargetMode="External"/><Relationship Id="rId3410" Type="http://schemas.openxmlformats.org/officeDocument/2006/relationships/hyperlink" Target="https://www.openmindedesign.in" TargetMode="External"/><Relationship Id="rId883" Type="http://schemas.openxmlformats.org/officeDocument/2006/relationships/hyperlink" Target="https://winnerstechnology.com" TargetMode="External"/><Relationship Id="rId882" Type="http://schemas.openxmlformats.org/officeDocument/2006/relationships/hyperlink" Target="https://3spinlearning.com" TargetMode="External"/><Relationship Id="rId3412" Type="http://schemas.openxmlformats.org/officeDocument/2006/relationships/hyperlink" Target="https://elearning.sifycorp.com" TargetMode="External"/><Relationship Id="rId881" Type="http://schemas.openxmlformats.org/officeDocument/2006/relationships/hyperlink" Target="https://wize.co" TargetMode="External"/><Relationship Id="rId3411" Type="http://schemas.openxmlformats.org/officeDocument/2006/relationships/hyperlink" Target="https://www.shapemyskills.com" TargetMode="External"/><Relationship Id="rId3403" Type="http://schemas.openxmlformats.org/officeDocument/2006/relationships/hyperlink" Target="https://www.scholartude.com" TargetMode="External"/><Relationship Id="rId3402" Type="http://schemas.openxmlformats.org/officeDocument/2006/relationships/hyperlink" Target="https://www.schandgroup.com" TargetMode="External"/><Relationship Id="rId3405" Type="http://schemas.openxmlformats.org/officeDocument/2006/relationships/hyperlink" Target="https://www.schoox.com" TargetMode="External"/><Relationship Id="rId3404" Type="http://schemas.openxmlformats.org/officeDocument/2006/relationships/hyperlink" Target="https://www.scholastic.com" TargetMode="External"/><Relationship Id="rId3407" Type="http://schemas.openxmlformats.org/officeDocument/2006/relationships/hyperlink" Target="https://www.scola.org" TargetMode="External"/><Relationship Id="rId3406" Type="http://schemas.openxmlformats.org/officeDocument/2006/relationships/hyperlink" Target="https://www.scienceinteractive.com" TargetMode="External"/><Relationship Id="rId3409" Type="http://schemas.openxmlformats.org/officeDocument/2006/relationships/hyperlink" Target="https://www.dreambigit.com" TargetMode="External"/><Relationship Id="rId3408" Type="http://schemas.openxmlformats.org/officeDocument/2006/relationships/hyperlink" Target="https://chandra.global/index.php" TargetMode="External"/><Relationship Id="rId877" Type="http://schemas.openxmlformats.org/officeDocument/2006/relationships/hyperlink" Target="https://ecosystemone.io" TargetMode="External"/><Relationship Id="rId876" Type="http://schemas.openxmlformats.org/officeDocument/2006/relationships/hyperlink" Target="https://charly.education" TargetMode="External"/><Relationship Id="rId875" Type="http://schemas.openxmlformats.org/officeDocument/2006/relationships/hyperlink" Target="https://jetlearn.com" TargetMode="External"/><Relationship Id="rId874" Type="http://schemas.openxmlformats.org/officeDocument/2006/relationships/hyperlink" Target="https://lendme.com" TargetMode="External"/><Relationship Id="rId879" Type="http://schemas.openxmlformats.org/officeDocument/2006/relationships/hyperlink" Target="https://curiointeractive.com" TargetMode="External"/><Relationship Id="rId878" Type="http://schemas.openxmlformats.org/officeDocument/2006/relationships/hyperlink" Target="https://satoshiedu.com" TargetMode="External"/><Relationship Id="rId873" Type="http://schemas.openxmlformats.org/officeDocument/2006/relationships/hyperlink" Target="https://learningcortex.com" TargetMode="External"/><Relationship Id="rId872" Type="http://schemas.openxmlformats.org/officeDocument/2006/relationships/hyperlink" Target="https://quizrr.se" TargetMode="External"/><Relationship Id="rId871" Type="http://schemas.openxmlformats.org/officeDocument/2006/relationships/hyperlink" Target="https://ostad.app" TargetMode="External"/><Relationship Id="rId3401" Type="http://schemas.openxmlformats.org/officeDocument/2006/relationships/hyperlink" Target="https://www.saylor.org" TargetMode="External"/><Relationship Id="rId870" Type="http://schemas.openxmlformats.org/officeDocument/2006/relationships/hyperlink" Target="https://coursehorse.com" TargetMode="External"/><Relationship Id="rId3400" Type="http://schemas.openxmlformats.org/officeDocument/2006/relationships/hyperlink" Target="https://www.savvas.com" TargetMode="External"/><Relationship Id="rId1653" Type="http://schemas.openxmlformats.org/officeDocument/2006/relationships/hyperlink" Target="https://councils.forbes.com" TargetMode="External"/><Relationship Id="rId2984" Type="http://schemas.openxmlformats.org/officeDocument/2006/relationships/hyperlink" Target="https://hifiai.com" TargetMode="External"/><Relationship Id="rId1654" Type="http://schemas.openxmlformats.org/officeDocument/2006/relationships/hyperlink" Target="https://www.formueindia.com" TargetMode="External"/><Relationship Id="rId2985" Type="http://schemas.openxmlformats.org/officeDocument/2006/relationships/hyperlink" Target="https://dignifai.com" TargetMode="External"/><Relationship Id="rId1655" Type="http://schemas.openxmlformats.org/officeDocument/2006/relationships/hyperlink" Target="https://www.fortbendisd.com" TargetMode="External"/><Relationship Id="rId2986" Type="http://schemas.openxmlformats.org/officeDocument/2006/relationships/hyperlink" Target="https://www.1edtech.org" TargetMode="External"/><Relationship Id="rId1656" Type="http://schemas.openxmlformats.org/officeDocument/2006/relationships/hyperlink" Target="https://www.fortunapix.com" TargetMode="External"/><Relationship Id="rId2987" Type="http://schemas.openxmlformats.org/officeDocument/2006/relationships/hyperlink" Target="https://1stepgrow.com" TargetMode="External"/><Relationship Id="rId1657" Type="http://schemas.openxmlformats.org/officeDocument/2006/relationships/hyperlink" Target="https://www.fpaedutech.com" TargetMode="External"/><Relationship Id="rId2988" Type="http://schemas.openxmlformats.org/officeDocument/2006/relationships/hyperlink" Target="https://21cceducation.com" TargetMode="External"/><Relationship Id="rId1658" Type="http://schemas.openxmlformats.org/officeDocument/2006/relationships/hyperlink" Target="https://www.frankfinn.com" TargetMode="External"/><Relationship Id="rId2989" Type="http://schemas.openxmlformats.org/officeDocument/2006/relationships/hyperlink" Target="https://www.tscti.com" TargetMode="External"/><Relationship Id="rId1659" Type="http://schemas.openxmlformats.org/officeDocument/2006/relationships/hyperlink" Target="https://www.renaissance.com" TargetMode="External"/><Relationship Id="rId829" Type="http://schemas.openxmlformats.org/officeDocument/2006/relationships/hyperlink" Target="https://girlswhocode.com" TargetMode="External"/><Relationship Id="rId828" Type="http://schemas.openxmlformats.org/officeDocument/2006/relationships/hyperlink" Target="https://astrideducation.com" TargetMode="External"/><Relationship Id="rId827" Type="http://schemas.openxmlformats.org/officeDocument/2006/relationships/hyperlink" Target="https://trakid.com" TargetMode="External"/><Relationship Id="rId822" Type="http://schemas.openxmlformats.org/officeDocument/2006/relationships/hyperlink" Target="https://www.adservio.fr" TargetMode="External"/><Relationship Id="rId821" Type="http://schemas.openxmlformats.org/officeDocument/2006/relationships/hyperlink" Target="https://www.activityhero.com" TargetMode="External"/><Relationship Id="rId820" Type="http://schemas.openxmlformats.org/officeDocument/2006/relationships/hyperlink" Target="https://gaba.com" TargetMode="External"/><Relationship Id="rId826" Type="http://schemas.openxmlformats.org/officeDocument/2006/relationships/hyperlink" Target="https://www.impactguru.com" TargetMode="External"/><Relationship Id="rId825" Type="http://schemas.openxmlformats.org/officeDocument/2006/relationships/hyperlink" Target="https://lingumi.com" TargetMode="External"/><Relationship Id="rId824" Type="http://schemas.openxmlformats.org/officeDocument/2006/relationships/hyperlink" Target="https://parentpowered.com" TargetMode="External"/><Relationship Id="rId823" Type="http://schemas.openxmlformats.org/officeDocument/2006/relationships/hyperlink" Target="https://robokind.com" TargetMode="External"/><Relationship Id="rId2980" Type="http://schemas.openxmlformats.org/officeDocument/2006/relationships/hyperlink" Target="https://affixsolution.com" TargetMode="External"/><Relationship Id="rId1650" Type="http://schemas.openxmlformats.org/officeDocument/2006/relationships/hyperlink" Target="https://www.focusedumatics.com" TargetMode="External"/><Relationship Id="rId2981" Type="http://schemas.openxmlformats.org/officeDocument/2006/relationships/hyperlink" Target="https://aipersonic.ai" TargetMode="External"/><Relationship Id="rId1651" Type="http://schemas.openxmlformats.org/officeDocument/2006/relationships/hyperlink" Target="https://www.focusrealm.com" TargetMode="External"/><Relationship Id="rId2982" Type="http://schemas.openxmlformats.org/officeDocument/2006/relationships/hyperlink" Target="https://lingtech.ai" TargetMode="External"/><Relationship Id="rId1652" Type="http://schemas.openxmlformats.org/officeDocument/2006/relationships/hyperlink" Target="https://www.footsteps2brilliance.com" TargetMode="External"/><Relationship Id="rId2983" Type="http://schemas.openxmlformats.org/officeDocument/2006/relationships/hyperlink" Target="https://annotera.com" TargetMode="External"/><Relationship Id="rId1642" Type="http://schemas.openxmlformats.org/officeDocument/2006/relationships/hyperlink" Target="https://www.fiestadesigns.com" TargetMode="External"/><Relationship Id="rId2973" Type="http://schemas.openxmlformats.org/officeDocument/2006/relationships/hyperlink" Target="https://www.grarden.com" TargetMode="External"/><Relationship Id="rId1643" Type="http://schemas.openxmlformats.org/officeDocument/2006/relationships/hyperlink" Target="https://www.findasciencetutor.com" TargetMode="External"/><Relationship Id="rId2974" Type="http://schemas.openxmlformats.org/officeDocument/2006/relationships/hyperlink" Target="https://www.takimada.com" TargetMode="External"/><Relationship Id="rId1644" Type="http://schemas.openxmlformats.org/officeDocument/2006/relationships/hyperlink" Target="https://www.firstinmath.com" TargetMode="External"/><Relationship Id="rId2975" Type="http://schemas.openxmlformats.org/officeDocument/2006/relationships/hyperlink" Target="https://www.connectill.com" TargetMode="External"/><Relationship Id="rId1645" Type="http://schemas.openxmlformats.org/officeDocument/2006/relationships/hyperlink" Target="https://www.firstsource.com" TargetMode="External"/><Relationship Id="rId2976" Type="http://schemas.openxmlformats.org/officeDocument/2006/relationships/hyperlink" Target="https://www.ccci.com" TargetMode="External"/><Relationship Id="rId1646" Type="http://schemas.openxmlformats.org/officeDocument/2006/relationships/hyperlink" Target="https://www.fiserv.com" TargetMode="External"/><Relationship Id="rId2977" Type="http://schemas.openxmlformats.org/officeDocument/2006/relationships/hyperlink" Target="https://www.visitech.com" TargetMode="External"/><Relationship Id="rId1647" Type="http://schemas.openxmlformats.org/officeDocument/2006/relationships/hyperlink" Target="https://www.flipick.com" TargetMode="External"/><Relationship Id="rId2978" Type="http://schemas.openxmlformats.org/officeDocument/2006/relationships/hyperlink" Target="https://www.peopleforai.com" TargetMode="External"/><Relationship Id="rId1648" Type="http://schemas.openxmlformats.org/officeDocument/2006/relationships/hyperlink" Target="https://www.fliplearn.com" TargetMode="External"/><Relationship Id="rId2979" Type="http://schemas.openxmlformats.org/officeDocument/2006/relationships/hyperlink" Target="https://www.welodata.com" TargetMode="External"/><Relationship Id="rId1649" Type="http://schemas.openxmlformats.org/officeDocument/2006/relationships/hyperlink" Target="https://www.flowerpixels.com" TargetMode="External"/><Relationship Id="rId819" Type="http://schemas.openxmlformats.org/officeDocument/2006/relationships/hyperlink" Target="https://radius.ai" TargetMode="External"/><Relationship Id="rId818" Type="http://schemas.openxmlformats.org/officeDocument/2006/relationships/hyperlink" Target="https://www.skillandyou.com" TargetMode="External"/><Relationship Id="rId817" Type="http://schemas.openxmlformats.org/officeDocument/2006/relationships/hyperlink" Target="https://goodgoblin.ai" TargetMode="External"/><Relationship Id="rId816" Type="http://schemas.openxmlformats.org/officeDocument/2006/relationships/hyperlink" Target="http://goodgoblin.ai" TargetMode="External"/><Relationship Id="rId811" Type="http://schemas.openxmlformats.org/officeDocument/2006/relationships/hyperlink" Target="https://plume.app" TargetMode="External"/><Relationship Id="rId810" Type="http://schemas.openxmlformats.org/officeDocument/2006/relationships/hyperlink" Target="https://spoak.com" TargetMode="External"/><Relationship Id="rId815" Type="http://schemas.openxmlformats.org/officeDocument/2006/relationships/hyperlink" Target="https://techspark.ai" TargetMode="External"/><Relationship Id="rId814" Type="http://schemas.openxmlformats.org/officeDocument/2006/relationships/hyperlink" Target="https://worldlinguistics.com" TargetMode="External"/><Relationship Id="rId813" Type="http://schemas.openxmlformats.org/officeDocument/2006/relationships/hyperlink" Target="https://goodcourse.ai" TargetMode="External"/><Relationship Id="rId812" Type="http://schemas.openxmlformats.org/officeDocument/2006/relationships/hyperlink" Target="https://gredu.com" TargetMode="External"/><Relationship Id="rId2970" Type="http://schemas.openxmlformats.org/officeDocument/2006/relationships/hyperlink" Target="https://www.aspexxtech.com" TargetMode="External"/><Relationship Id="rId1640" Type="http://schemas.openxmlformats.org/officeDocument/2006/relationships/hyperlink" Target="http://fhconline.in" TargetMode="External"/><Relationship Id="rId2971" Type="http://schemas.openxmlformats.org/officeDocument/2006/relationships/hyperlink" Target="https://www.flitto.com" TargetMode="External"/><Relationship Id="rId1641" Type="http://schemas.openxmlformats.org/officeDocument/2006/relationships/hyperlink" Target="https://fhconline.in" TargetMode="External"/><Relationship Id="rId2972" Type="http://schemas.openxmlformats.org/officeDocument/2006/relationships/hyperlink" Target="https://www.sinabari.com" TargetMode="External"/><Relationship Id="rId1675" Type="http://schemas.openxmlformats.org/officeDocument/2006/relationships/hyperlink" Target="https://www.goldstandardcertifications.com" TargetMode="External"/><Relationship Id="rId1676" Type="http://schemas.openxmlformats.org/officeDocument/2006/relationships/hyperlink" Target="https://www.golsil.com" TargetMode="External"/><Relationship Id="rId1677" Type="http://schemas.openxmlformats.org/officeDocument/2006/relationships/hyperlink" Target="https://www.graduationalliance.com" TargetMode="External"/><Relationship Id="rId1678" Type="http://schemas.openxmlformats.org/officeDocument/2006/relationships/hyperlink" Target="https://greatminds.org" TargetMode="External"/><Relationship Id="rId1679" Type="http://schemas.openxmlformats.org/officeDocument/2006/relationships/hyperlink" Target="https://www.greenwichacademy.org" TargetMode="External"/><Relationship Id="rId849" Type="http://schemas.openxmlformats.org/officeDocument/2006/relationships/hyperlink" Target="https://myschoolportal.com" TargetMode="External"/><Relationship Id="rId844" Type="http://schemas.openxmlformats.org/officeDocument/2006/relationships/hyperlink" Target="https://www.beekast.com" TargetMode="External"/><Relationship Id="rId843" Type="http://schemas.openxmlformats.org/officeDocument/2006/relationships/hyperlink" Target="https://web.seesaw.me" TargetMode="External"/><Relationship Id="rId842" Type="http://schemas.openxmlformats.org/officeDocument/2006/relationships/hyperlink" Target="https://getmorebrain.com" TargetMode="External"/><Relationship Id="rId841" Type="http://schemas.openxmlformats.org/officeDocument/2006/relationships/hyperlink" Target="https://www.skillerwhale.com" TargetMode="External"/><Relationship Id="rId848" Type="http://schemas.openxmlformats.org/officeDocument/2006/relationships/hyperlink" Target="https://quinncia.io" TargetMode="External"/><Relationship Id="rId847" Type="http://schemas.openxmlformats.org/officeDocument/2006/relationships/hyperlink" Target="https://treccanifutura.it" TargetMode="External"/><Relationship Id="rId846" Type="http://schemas.openxmlformats.org/officeDocument/2006/relationships/hyperlink" Target="https://newcampus.com" TargetMode="External"/><Relationship Id="rId845" Type="http://schemas.openxmlformats.org/officeDocument/2006/relationships/hyperlink" Target="https://loveheart.ai" TargetMode="External"/><Relationship Id="rId1670" Type="http://schemas.openxmlformats.org/officeDocument/2006/relationships/hyperlink" Target="https://www.georgiacyber.org" TargetMode="External"/><Relationship Id="rId840" Type="http://schemas.openxmlformats.org/officeDocument/2006/relationships/hyperlink" Target="https://alume.co" TargetMode="External"/><Relationship Id="rId1671" Type="http://schemas.openxmlformats.org/officeDocument/2006/relationships/hyperlink" Target="https://www.ghsa.net" TargetMode="External"/><Relationship Id="rId1672" Type="http://schemas.openxmlformats.org/officeDocument/2006/relationships/hyperlink" Target="https://www.getlittnow.com" TargetMode="External"/><Relationship Id="rId1673" Type="http://schemas.openxmlformats.org/officeDocument/2006/relationships/hyperlink" Target="https://www.giantcampus.com" TargetMode="External"/><Relationship Id="rId1674" Type="http://schemas.openxmlformats.org/officeDocument/2006/relationships/hyperlink" Target="https://www.gmply.com" TargetMode="External"/><Relationship Id="rId1664" Type="http://schemas.openxmlformats.org/officeDocument/2006/relationships/hyperlink" Target="https://www.gakuen.com" TargetMode="External"/><Relationship Id="rId2995" Type="http://schemas.openxmlformats.org/officeDocument/2006/relationships/hyperlink" Target="https://www.98thpercentile.com" TargetMode="External"/><Relationship Id="rId1665" Type="http://schemas.openxmlformats.org/officeDocument/2006/relationships/hyperlink" Target="https://www.gallopade.com" TargetMode="External"/><Relationship Id="rId2996" Type="http://schemas.openxmlformats.org/officeDocument/2006/relationships/hyperlink" Target="https://www.aaftonline.com" TargetMode="External"/><Relationship Id="rId1666" Type="http://schemas.openxmlformats.org/officeDocument/2006/relationships/hyperlink" Target="https://www.gcube.com" TargetMode="External"/><Relationship Id="rId2997" Type="http://schemas.openxmlformats.org/officeDocument/2006/relationships/hyperlink" Target="https://www.aakash.ac.in" TargetMode="External"/><Relationship Id="rId1667" Type="http://schemas.openxmlformats.org/officeDocument/2006/relationships/hyperlink" Target="https://www.gedu.global" TargetMode="External"/><Relationship Id="rId2998" Type="http://schemas.openxmlformats.org/officeDocument/2006/relationships/hyperlink" Target="https://www.aakashdigital.com" TargetMode="External"/><Relationship Id="rId1668" Type="http://schemas.openxmlformats.org/officeDocument/2006/relationships/hyperlink" Target="https://www.geeksforgeeks.org" TargetMode="External"/><Relationship Id="rId2999" Type="http://schemas.openxmlformats.org/officeDocument/2006/relationships/hyperlink" Target="https://abatechnologies.com" TargetMode="External"/><Relationship Id="rId1669" Type="http://schemas.openxmlformats.org/officeDocument/2006/relationships/hyperlink" Target="https://generalassemb.ly" TargetMode="External"/><Relationship Id="rId839" Type="http://schemas.openxmlformats.org/officeDocument/2006/relationships/hyperlink" Target="https://idreamcareer.com" TargetMode="External"/><Relationship Id="rId838" Type="http://schemas.openxmlformats.org/officeDocument/2006/relationships/hyperlink" Target="https://blended.co" TargetMode="External"/><Relationship Id="rId833" Type="http://schemas.openxmlformats.org/officeDocument/2006/relationships/hyperlink" Target="https://ozobot.com" TargetMode="External"/><Relationship Id="rId832" Type="http://schemas.openxmlformats.org/officeDocument/2006/relationships/hyperlink" Target="https://thorecoin.com" TargetMode="External"/><Relationship Id="rId831" Type="http://schemas.openxmlformats.org/officeDocument/2006/relationships/hyperlink" Target="https://lifeed.io" TargetMode="External"/><Relationship Id="rId830" Type="http://schemas.openxmlformats.org/officeDocument/2006/relationships/hyperlink" Target="https://toyz.ai" TargetMode="External"/><Relationship Id="rId837" Type="http://schemas.openxmlformats.org/officeDocument/2006/relationships/hyperlink" Target="https://pipeline.ai" TargetMode="External"/><Relationship Id="rId836" Type="http://schemas.openxmlformats.org/officeDocument/2006/relationships/hyperlink" Target="https://stackfuel.com" TargetMode="External"/><Relationship Id="rId835" Type="http://schemas.openxmlformats.org/officeDocument/2006/relationships/hyperlink" Target="https://morphoses.io" TargetMode="External"/><Relationship Id="rId834" Type="http://schemas.openxmlformats.org/officeDocument/2006/relationships/hyperlink" Target="https://jovensgenios.com" TargetMode="External"/><Relationship Id="rId2990" Type="http://schemas.openxmlformats.org/officeDocument/2006/relationships/hyperlink" Target="http://24houranswers.com" TargetMode="External"/><Relationship Id="rId1660" Type="http://schemas.openxmlformats.org/officeDocument/2006/relationships/hyperlink" Target="https://www.functionalmedicinecoaching.org" TargetMode="External"/><Relationship Id="rId2991" Type="http://schemas.openxmlformats.org/officeDocument/2006/relationships/hyperlink" Target="https://www.24houranswers.com" TargetMode="External"/><Relationship Id="rId1661" Type="http://schemas.openxmlformats.org/officeDocument/2006/relationships/hyperlink" Target="https://www.fundabox.com" TargetMode="External"/><Relationship Id="rId2992" Type="http://schemas.openxmlformats.org/officeDocument/2006/relationships/hyperlink" Target="https://3mguru.com" TargetMode="External"/><Relationship Id="rId1662" Type="http://schemas.openxmlformats.org/officeDocument/2006/relationships/hyperlink" Target="https://www.furtherlearning.com" TargetMode="External"/><Relationship Id="rId2993" Type="http://schemas.openxmlformats.org/officeDocument/2006/relationships/hyperlink" Target="https://www.4medplus.com" TargetMode="External"/><Relationship Id="rId1663" Type="http://schemas.openxmlformats.org/officeDocument/2006/relationships/hyperlink" Target="https://www.futuremindslearning.com" TargetMode="External"/><Relationship Id="rId2994" Type="http://schemas.openxmlformats.org/officeDocument/2006/relationships/hyperlink" Target="https://90plusapp.com" TargetMode="External"/><Relationship Id="rId2148" Type="http://schemas.openxmlformats.org/officeDocument/2006/relationships/hyperlink" Target="https://www.fretello.com" TargetMode="External"/><Relationship Id="rId2149" Type="http://schemas.openxmlformats.org/officeDocument/2006/relationships/hyperlink" Target="https://www.teesas.com" TargetMode="External"/><Relationship Id="rId3479" Type="http://schemas.openxmlformats.org/officeDocument/2006/relationships/hyperlink" Target="https://www.ascendlearning.com" TargetMode="External"/><Relationship Id="rId3470" Type="http://schemas.openxmlformats.org/officeDocument/2006/relationships/hyperlink" Target="https://www.ahima.org" TargetMode="External"/><Relationship Id="rId2140" Type="http://schemas.openxmlformats.org/officeDocument/2006/relationships/hyperlink" Target="https://www.tapseries.com" TargetMode="External"/><Relationship Id="rId3472" Type="http://schemas.openxmlformats.org/officeDocument/2006/relationships/hyperlink" Target="https://www.acs.org" TargetMode="External"/><Relationship Id="rId2141" Type="http://schemas.openxmlformats.org/officeDocument/2006/relationships/hyperlink" Target="https://www.naf.org" TargetMode="External"/><Relationship Id="rId3471" Type="http://schemas.openxmlformats.org/officeDocument/2006/relationships/hyperlink" Target="https://alpha-publishing.ae" TargetMode="External"/><Relationship Id="rId2142" Type="http://schemas.openxmlformats.org/officeDocument/2006/relationships/hyperlink" Target="https://www.yard.co" TargetMode="External"/><Relationship Id="rId3474" Type="http://schemas.openxmlformats.org/officeDocument/2006/relationships/hyperlink" Target="https://www.ada.org" TargetMode="External"/><Relationship Id="rId2143" Type="http://schemas.openxmlformats.org/officeDocument/2006/relationships/hyperlink" Target="https://www.languify.ai" TargetMode="External"/><Relationship Id="rId3473" Type="http://schemas.openxmlformats.org/officeDocument/2006/relationships/hyperlink" Target="https://www.acog.org" TargetMode="External"/><Relationship Id="rId2144" Type="http://schemas.openxmlformats.org/officeDocument/2006/relationships/hyperlink" Target="https://www.snapplify.com" TargetMode="External"/><Relationship Id="rId3476" Type="http://schemas.openxmlformats.org/officeDocument/2006/relationships/hyperlink" Target="https://www.aninews.in" TargetMode="External"/><Relationship Id="rId2145" Type="http://schemas.openxmlformats.org/officeDocument/2006/relationships/hyperlink" Target="https://www.codecraftworks.com" TargetMode="External"/><Relationship Id="rId3475" Type="http://schemas.openxmlformats.org/officeDocument/2006/relationships/hyperlink" Target="https://www.asha.org" TargetMode="External"/><Relationship Id="rId2146" Type="http://schemas.openxmlformats.org/officeDocument/2006/relationships/hyperlink" Target="https://www.creatornow.club" TargetMode="External"/><Relationship Id="rId3478" Type="http://schemas.openxmlformats.org/officeDocument/2006/relationships/hyperlink" Target="https://www.arabesque.com" TargetMode="External"/><Relationship Id="rId2147" Type="http://schemas.openxmlformats.org/officeDocument/2006/relationships/hyperlink" Target="https://www.rozzylearning.com" TargetMode="External"/><Relationship Id="rId3477" Type="http://schemas.openxmlformats.org/officeDocument/2006/relationships/hyperlink" Target="https://www.appliedradiology.com" TargetMode="External"/><Relationship Id="rId2137" Type="http://schemas.openxmlformats.org/officeDocument/2006/relationships/hyperlink" Target="https://www.founderz.com" TargetMode="External"/><Relationship Id="rId3469" Type="http://schemas.openxmlformats.org/officeDocument/2006/relationships/hyperlink" Target="https://www.acm.org" TargetMode="External"/><Relationship Id="rId2138" Type="http://schemas.openxmlformats.org/officeDocument/2006/relationships/hyperlink" Target="https://www.inflearn.com" TargetMode="External"/><Relationship Id="rId3468" Type="http://schemas.openxmlformats.org/officeDocument/2006/relationships/hyperlink" Target="https://teachingstrategies.com" TargetMode="External"/><Relationship Id="rId2139" Type="http://schemas.openxmlformats.org/officeDocument/2006/relationships/hyperlink" Target="https://www.leleketang.com" TargetMode="External"/><Relationship Id="rId3461" Type="http://schemas.openxmlformats.org/officeDocument/2006/relationships/hyperlink" Target="https://zaneeducation.com" TargetMode="External"/><Relationship Id="rId2130" Type="http://schemas.openxmlformats.org/officeDocument/2006/relationships/hyperlink" Target="https://www.archemedx.com" TargetMode="External"/><Relationship Id="rId3460" Type="http://schemas.openxmlformats.org/officeDocument/2006/relationships/hyperlink" Target="http://zaneeducation.com" TargetMode="External"/><Relationship Id="rId2131" Type="http://schemas.openxmlformats.org/officeDocument/2006/relationships/hyperlink" Target="https://www.syntrio.com" TargetMode="External"/><Relationship Id="rId3463" Type="http://schemas.openxmlformats.org/officeDocument/2006/relationships/hyperlink" Target="https://www.booknooklearning.com" TargetMode="External"/><Relationship Id="rId2132" Type="http://schemas.openxmlformats.org/officeDocument/2006/relationships/hyperlink" Target="https://www.tutoreva.com" TargetMode="External"/><Relationship Id="rId3462" Type="http://schemas.openxmlformats.org/officeDocument/2006/relationships/hyperlink" Target="https://www.zeuslearning.com" TargetMode="External"/><Relationship Id="rId2133" Type="http://schemas.openxmlformats.org/officeDocument/2006/relationships/hyperlink" Target="https://www.getlearnworlds.com" TargetMode="External"/><Relationship Id="rId3465" Type="http://schemas.openxmlformats.org/officeDocument/2006/relationships/hyperlink" Target="https://www.ixl.com" TargetMode="External"/><Relationship Id="rId2134" Type="http://schemas.openxmlformats.org/officeDocument/2006/relationships/hyperlink" Target="https://www.green-flower.com" TargetMode="External"/><Relationship Id="rId3464" Type="http://schemas.openxmlformats.org/officeDocument/2006/relationships/hyperlink" Target="https://edpuzzle.com" TargetMode="External"/><Relationship Id="rId2135" Type="http://schemas.openxmlformats.org/officeDocument/2006/relationships/hyperlink" Target="https://www.stemedu.com" TargetMode="External"/><Relationship Id="rId3467" Type="http://schemas.openxmlformats.org/officeDocument/2006/relationships/hyperlink" Target="https://www.proxlearn.com" TargetMode="External"/><Relationship Id="rId2136" Type="http://schemas.openxmlformats.org/officeDocument/2006/relationships/hyperlink" Target="https://www.tera.ai" TargetMode="External"/><Relationship Id="rId3466" Type="http://schemas.openxmlformats.org/officeDocument/2006/relationships/hyperlink" Target="https://www.learningmate.com" TargetMode="External"/><Relationship Id="rId3490" Type="http://schemas.openxmlformats.org/officeDocument/2006/relationships/hyperlink" Target="https://www.chegg.com" TargetMode="External"/><Relationship Id="rId2160" Type="http://schemas.openxmlformats.org/officeDocument/2006/relationships/hyperlink" Target="https://www.creativefuturescollective.com" TargetMode="External"/><Relationship Id="rId3492" Type="http://schemas.openxmlformats.org/officeDocument/2006/relationships/hyperlink" Target="https://clarivate.com" TargetMode="External"/><Relationship Id="rId2161" Type="http://schemas.openxmlformats.org/officeDocument/2006/relationships/hyperlink" Target="https://www.fluentbe.com" TargetMode="External"/><Relationship Id="rId3491" Type="http://schemas.openxmlformats.org/officeDocument/2006/relationships/hyperlink" Target="https://www.cas.org" TargetMode="External"/><Relationship Id="rId2162" Type="http://schemas.openxmlformats.org/officeDocument/2006/relationships/hyperlink" Target="http://sthrive.ai" TargetMode="External"/><Relationship Id="rId3494" Type="http://schemas.openxmlformats.org/officeDocument/2006/relationships/hyperlink" Target="https://www.cornelsen.de" TargetMode="External"/><Relationship Id="rId2163" Type="http://schemas.openxmlformats.org/officeDocument/2006/relationships/hyperlink" Target="https://www.sthrive.ai" TargetMode="External"/><Relationship Id="rId3493" Type="http://schemas.openxmlformats.org/officeDocument/2006/relationships/hyperlink" Target="https://www.connectionsacademy.com" TargetMode="External"/><Relationship Id="rId2164" Type="http://schemas.openxmlformats.org/officeDocument/2006/relationships/hyperlink" Target="https://www.glocoach.com" TargetMode="External"/><Relationship Id="rId3496" Type="http://schemas.openxmlformats.org/officeDocument/2006/relationships/hyperlink" Target="https://www.curriculumassociates.com" TargetMode="External"/><Relationship Id="rId2165" Type="http://schemas.openxmlformats.org/officeDocument/2006/relationships/hyperlink" Target="https://www.stayqrious.com" TargetMode="External"/><Relationship Id="rId3495" Type="http://schemas.openxmlformats.org/officeDocument/2006/relationships/hyperlink" Target="https://www.cambridge.org" TargetMode="External"/><Relationship Id="rId2166" Type="http://schemas.openxmlformats.org/officeDocument/2006/relationships/hyperlink" Target="https://www.t-lablearning.com" TargetMode="External"/><Relationship Id="rId3498" Type="http://schemas.openxmlformats.org/officeDocument/2006/relationships/hyperlink" Target="https://www.deloitte.com" TargetMode="External"/><Relationship Id="rId2167" Type="http://schemas.openxmlformats.org/officeDocument/2006/relationships/hyperlink" Target="https://www.saarthipedagogy.com" TargetMode="External"/><Relationship Id="rId3497" Type="http://schemas.openxmlformats.org/officeDocument/2006/relationships/hyperlink" Target="https://www.dnb.com" TargetMode="External"/><Relationship Id="rId2168" Type="http://schemas.openxmlformats.org/officeDocument/2006/relationships/hyperlink" Target="https://www.developingexperts.com" TargetMode="External"/><Relationship Id="rId2169" Type="http://schemas.openxmlformats.org/officeDocument/2006/relationships/hyperlink" Target="https://www.schoo.jp" TargetMode="External"/><Relationship Id="rId3499" Type="http://schemas.openxmlformats.org/officeDocument/2006/relationships/hyperlink" Target="https://www.desmos.com" TargetMode="External"/><Relationship Id="rId2159" Type="http://schemas.openxmlformats.org/officeDocument/2006/relationships/hyperlink" Target="https://www.frontroweducation.com" TargetMode="External"/><Relationship Id="rId3481" Type="http://schemas.openxmlformats.org/officeDocument/2006/relationships/hyperlink" Target="https://www.asminternational.org" TargetMode="External"/><Relationship Id="rId2150" Type="http://schemas.openxmlformats.org/officeDocument/2006/relationships/hyperlink" Target="https://www.virtualjobshadow.com" TargetMode="External"/><Relationship Id="rId3480" Type="http://schemas.openxmlformats.org/officeDocument/2006/relationships/hyperlink" Target="https://www.asm.org" TargetMode="External"/><Relationship Id="rId2151" Type="http://schemas.openxmlformats.org/officeDocument/2006/relationships/hyperlink" Target="https://www.generationgenius.com" TargetMode="External"/><Relationship Id="rId3483" Type="http://schemas.openxmlformats.org/officeDocument/2006/relationships/hyperlink" Target="https://www.azom.com" TargetMode="External"/><Relationship Id="rId2152" Type="http://schemas.openxmlformats.org/officeDocument/2006/relationships/hyperlink" Target="https://www.briolearning.com" TargetMode="External"/><Relationship Id="rId3482" Type="http://schemas.openxmlformats.org/officeDocument/2006/relationships/hyperlink" Target="https://www.astm.org" TargetMode="External"/><Relationship Id="rId2153" Type="http://schemas.openxmlformats.org/officeDocument/2006/relationships/hyperlink" Target="https://www.mrionline.com" TargetMode="External"/><Relationship Id="rId3485" Type="http://schemas.openxmlformats.org/officeDocument/2006/relationships/hyperlink" Target="https://www.barnesandnoble.com" TargetMode="External"/><Relationship Id="rId2154" Type="http://schemas.openxmlformats.org/officeDocument/2006/relationships/hyperlink" Target="https://www.on3.com" TargetMode="External"/><Relationship Id="rId3484" Type="http://schemas.openxmlformats.org/officeDocument/2006/relationships/hyperlink" Target="https://www.azonetwork.com" TargetMode="External"/><Relationship Id="rId2155" Type="http://schemas.openxmlformats.org/officeDocument/2006/relationships/hyperlink" Target="https://www.edanalytics.org" TargetMode="External"/><Relationship Id="rId3487" Type="http://schemas.openxmlformats.org/officeDocument/2006/relationships/hyperlink" Target="https://www.bsigroup.com" TargetMode="External"/><Relationship Id="rId2156" Type="http://schemas.openxmlformats.org/officeDocument/2006/relationships/hyperlink" Target="https://www.doyobi.com" TargetMode="External"/><Relationship Id="rId3486" Type="http://schemas.openxmlformats.org/officeDocument/2006/relationships/hyperlink" Target="https://www.brill.com" TargetMode="External"/><Relationship Id="rId2157" Type="http://schemas.openxmlformats.org/officeDocument/2006/relationships/hyperlink" Target="https://www.stellarlabs.ai" TargetMode="External"/><Relationship Id="rId3489" Type="http://schemas.openxmlformats.org/officeDocument/2006/relationships/hyperlink" Target="https://www.canioncreations.com" TargetMode="External"/><Relationship Id="rId2158" Type="http://schemas.openxmlformats.org/officeDocument/2006/relationships/hyperlink" Target="https://www.cogrammar.com" TargetMode="External"/><Relationship Id="rId3488" Type="http://schemas.openxmlformats.org/officeDocument/2006/relationships/hyperlink" Target="https://www.cabi.org" TargetMode="External"/><Relationship Id="rId2104" Type="http://schemas.openxmlformats.org/officeDocument/2006/relationships/hyperlink" Target="https://www.teuida.net" TargetMode="External"/><Relationship Id="rId3436" Type="http://schemas.openxmlformats.org/officeDocument/2006/relationships/hyperlink" Target="https://thinkist.com" TargetMode="External"/><Relationship Id="rId2105" Type="http://schemas.openxmlformats.org/officeDocument/2006/relationships/hyperlink" Target="https://www.valenture.institute" TargetMode="External"/><Relationship Id="rId3435" Type="http://schemas.openxmlformats.org/officeDocument/2006/relationships/hyperlink" Target="https://www.thewiseblend.com" TargetMode="External"/><Relationship Id="rId2106" Type="http://schemas.openxmlformats.org/officeDocument/2006/relationships/hyperlink" Target="https://www.nexusedge.co" TargetMode="External"/><Relationship Id="rId3438" Type="http://schemas.openxmlformats.org/officeDocument/2006/relationships/hyperlink" Target="https://www.thoughtindustries.com" TargetMode="External"/><Relationship Id="rId2107" Type="http://schemas.openxmlformats.org/officeDocument/2006/relationships/hyperlink" Target="https://www.netexlearning.com" TargetMode="External"/><Relationship Id="rId3437" Type="http://schemas.openxmlformats.org/officeDocument/2006/relationships/hyperlink" Target="https://www.thinkplayful.com" TargetMode="External"/><Relationship Id="rId2108" Type="http://schemas.openxmlformats.org/officeDocument/2006/relationships/hyperlink" Target="https://www.skillable.com" TargetMode="External"/><Relationship Id="rId2109" Type="http://schemas.openxmlformats.org/officeDocument/2006/relationships/hyperlink" Target="https://www.gooroo.com" TargetMode="External"/><Relationship Id="rId3439" Type="http://schemas.openxmlformats.org/officeDocument/2006/relationships/hyperlink" Target="https://www.trinityeducationgroup.com" TargetMode="External"/><Relationship Id="rId3430" Type="http://schemas.openxmlformats.org/officeDocument/2006/relationships/hyperlink" Target="https://www.techlearning.com" TargetMode="External"/><Relationship Id="rId2100" Type="http://schemas.openxmlformats.org/officeDocument/2006/relationships/hyperlink" Target="https://www.monarchteachtech.com" TargetMode="External"/><Relationship Id="rId3432" Type="http://schemas.openxmlformats.org/officeDocument/2006/relationships/hyperlink" Target="https://testbook.com" TargetMode="External"/><Relationship Id="rId2101" Type="http://schemas.openxmlformats.org/officeDocument/2006/relationships/hyperlink" Target="https://www.algouniversity.com" TargetMode="External"/><Relationship Id="rId3431" Type="http://schemas.openxmlformats.org/officeDocument/2006/relationships/hyperlink" Target="https://www.technipenergies.com" TargetMode="External"/><Relationship Id="rId2102" Type="http://schemas.openxmlformats.org/officeDocument/2006/relationships/hyperlink" Target="https://www.taling.co" TargetMode="External"/><Relationship Id="rId3434" Type="http://schemas.openxmlformats.org/officeDocument/2006/relationships/hyperlink" Target="https://www.princetonreview.com" TargetMode="External"/><Relationship Id="rId2103" Type="http://schemas.openxmlformats.org/officeDocument/2006/relationships/hyperlink" Target="https://www.easiware.com" TargetMode="External"/><Relationship Id="rId3433" Type="http://schemas.openxmlformats.org/officeDocument/2006/relationships/hyperlink" Target="https://learningaccelerator.org" TargetMode="External"/><Relationship Id="rId3425" Type="http://schemas.openxmlformats.org/officeDocument/2006/relationships/hyperlink" Target="https://www.symbiosisedu.com" TargetMode="External"/><Relationship Id="rId3424" Type="http://schemas.openxmlformats.org/officeDocument/2006/relationships/hyperlink" Target="https://www.succeedtech.com" TargetMode="External"/><Relationship Id="rId3427" Type="http://schemas.openxmlformats.org/officeDocument/2006/relationships/hyperlink" Target="https://www.talentsprint.com" TargetMode="External"/><Relationship Id="rId3426" Type="http://schemas.openxmlformats.org/officeDocument/2006/relationships/hyperlink" Target="https://www.synchrony.com" TargetMode="External"/><Relationship Id="rId3429" Type="http://schemas.openxmlformats.org/officeDocument/2006/relationships/hyperlink" Target="https://www.teachtown.com" TargetMode="External"/><Relationship Id="rId3428" Type="http://schemas.openxmlformats.org/officeDocument/2006/relationships/hyperlink" Target="https://www.tataclassedge.com" TargetMode="External"/><Relationship Id="rId899" Type="http://schemas.openxmlformats.org/officeDocument/2006/relationships/hyperlink" Target="https://www.centervention.com" TargetMode="External"/><Relationship Id="rId898" Type="http://schemas.openxmlformats.org/officeDocument/2006/relationships/hyperlink" Target="https://xerotech.com" TargetMode="External"/><Relationship Id="rId897" Type="http://schemas.openxmlformats.org/officeDocument/2006/relationships/hyperlink" Target="https://www.codio.com" TargetMode="External"/><Relationship Id="rId896" Type="http://schemas.openxmlformats.org/officeDocument/2006/relationships/hyperlink" Target="https://alphatrade.ai" TargetMode="External"/><Relationship Id="rId891" Type="http://schemas.openxmlformats.org/officeDocument/2006/relationships/hyperlink" Target="https://socialcascade.ai" TargetMode="External"/><Relationship Id="rId890" Type="http://schemas.openxmlformats.org/officeDocument/2006/relationships/hyperlink" Target="https://learnwithhomer.com" TargetMode="External"/><Relationship Id="rId895" Type="http://schemas.openxmlformats.org/officeDocument/2006/relationships/hyperlink" Target="https://farid.ai" TargetMode="External"/><Relationship Id="rId3421" Type="http://schemas.openxmlformats.org/officeDocument/2006/relationships/hyperlink" Target="https://www.straighterline.com" TargetMode="External"/><Relationship Id="rId894" Type="http://schemas.openxmlformats.org/officeDocument/2006/relationships/hyperlink" Target="https://oneistox.com" TargetMode="External"/><Relationship Id="rId3420" Type="http://schemas.openxmlformats.org/officeDocument/2006/relationships/hyperlink" Target="https://www.spiderlearning.com" TargetMode="External"/><Relationship Id="rId893" Type="http://schemas.openxmlformats.org/officeDocument/2006/relationships/hyperlink" Target="https://www.studentcrowd.com" TargetMode="External"/><Relationship Id="rId3423" Type="http://schemas.openxmlformats.org/officeDocument/2006/relationships/hyperlink" Target="https://www.studyiq.com" TargetMode="External"/><Relationship Id="rId892" Type="http://schemas.openxmlformats.org/officeDocument/2006/relationships/hyperlink" Target="https://www.sofatutor.com" TargetMode="External"/><Relationship Id="rId3422" Type="http://schemas.openxmlformats.org/officeDocument/2006/relationships/hyperlink" Target="https://www.stridelearning.com" TargetMode="External"/><Relationship Id="rId2126" Type="http://schemas.openxmlformats.org/officeDocument/2006/relationships/hyperlink" Target="https://www.trainn.co" TargetMode="External"/><Relationship Id="rId3458" Type="http://schemas.openxmlformats.org/officeDocument/2006/relationships/hyperlink" Target="https://www.xylemlearning.com" TargetMode="External"/><Relationship Id="rId2127" Type="http://schemas.openxmlformats.org/officeDocument/2006/relationships/hyperlink" Target="https://www.rockettutor.com" TargetMode="External"/><Relationship Id="rId3457" Type="http://schemas.openxmlformats.org/officeDocument/2006/relationships/hyperlink" Target="https://www.writetheworld.com" TargetMode="External"/><Relationship Id="rId2128" Type="http://schemas.openxmlformats.org/officeDocument/2006/relationships/hyperlink" Target="https://www.sertifier.com" TargetMode="External"/><Relationship Id="rId2129" Type="http://schemas.openxmlformats.org/officeDocument/2006/relationships/hyperlink" Target="https://www.quill.org" TargetMode="External"/><Relationship Id="rId3459" Type="http://schemas.openxmlformats.org/officeDocument/2006/relationships/hyperlink" Target="https://www.yetiacademy.com" TargetMode="External"/><Relationship Id="rId3450" Type="http://schemas.openxmlformats.org/officeDocument/2006/relationships/hyperlink" Target="https://www.vidwathinnovative.com" TargetMode="External"/><Relationship Id="rId2120" Type="http://schemas.openxmlformats.org/officeDocument/2006/relationships/hyperlink" Target="https://www.bbcmaestro.com" TargetMode="External"/><Relationship Id="rId3452" Type="http://schemas.openxmlformats.org/officeDocument/2006/relationships/hyperlink" Target="https://www.voiceofreasonstudios.com" TargetMode="External"/><Relationship Id="rId2121" Type="http://schemas.openxmlformats.org/officeDocument/2006/relationships/hyperlink" Target="https://www.coursewise.com" TargetMode="External"/><Relationship Id="rId3451" Type="http://schemas.openxmlformats.org/officeDocument/2006/relationships/hyperlink" Target="https://www.vidyamantra.com" TargetMode="External"/><Relationship Id="rId2122" Type="http://schemas.openxmlformats.org/officeDocument/2006/relationships/hyperlink" Target="https://www.syllog.ai" TargetMode="External"/><Relationship Id="rId3454" Type="http://schemas.openxmlformats.org/officeDocument/2006/relationships/hyperlink" Target="https://www.wiingy.com" TargetMode="External"/><Relationship Id="rId2123" Type="http://schemas.openxmlformats.org/officeDocument/2006/relationships/hyperlink" Target="https://www.tutorabc.com" TargetMode="External"/><Relationship Id="rId3453" Type="http://schemas.openxmlformats.org/officeDocument/2006/relationships/hyperlink" Target="https://www.whitehatjr.com" TargetMode="External"/><Relationship Id="rId2124" Type="http://schemas.openxmlformats.org/officeDocument/2006/relationships/hyperlink" Target="https://www.studeo.ai" TargetMode="External"/><Relationship Id="rId3456" Type="http://schemas.openxmlformats.org/officeDocument/2006/relationships/hyperlink" Target="https://www.wriety.com" TargetMode="External"/><Relationship Id="rId2125" Type="http://schemas.openxmlformats.org/officeDocument/2006/relationships/hyperlink" Target="https://www.talentlms.com" TargetMode="External"/><Relationship Id="rId3455" Type="http://schemas.openxmlformats.org/officeDocument/2006/relationships/hyperlink" Target="https://www.worldlearneasy.com" TargetMode="External"/><Relationship Id="rId2115" Type="http://schemas.openxmlformats.org/officeDocument/2006/relationships/hyperlink" Target="https://www.senpai.gg" TargetMode="External"/><Relationship Id="rId3447" Type="http://schemas.openxmlformats.org/officeDocument/2006/relationships/hyperlink" Target="https://www.utkarsh.com" TargetMode="External"/><Relationship Id="rId2116" Type="http://schemas.openxmlformats.org/officeDocument/2006/relationships/hyperlink" Target="https://www.aula.education" TargetMode="External"/><Relationship Id="rId3446" Type="http://schemas.openxmlformats.org/officeDocument/2006/relationships/hyperlink" Target="https://www.upsidelearning.com" TargetMode="External"/><Relationship Id="rId2117" Type="http://schemas.openxmlformats.org/officeDocument/2006/relationships/hyperlink" Target="https://www.educationperfect.com" TargetMode="External"/><Relationship Id="rId3449" Type="http://schemas.openxmlformats.org/officeDocument/2006/relationships/hyperlink" Target="https://www.viduradigital.com" TargetMode="External"/><Relationship Id="rId2118" Type="http://schemas.openxmlformats.org/officeDocument/2006/relationships/hyperlink" Target="https://www.episoden.com" TargetMode="External"/><Relationship Id="rId3448" Type="http://schemas.openxmlformats.org/officeDocument/2006/relationships/hyperlink" Target="https://www.verizon.com" TargetMode="External"/><Relationship Id="rId2119" Type="http://schemas.openxmlformats.org/officeDocument/2006/relationships/hyperlink" Target="https://www.talstack.com" TargetMode="External"/><Relationship Id="rId3441" Type="http://schemas.openxmlformats.org/officeDocument/2006/relationships/hyperlink" Target="https://www.turito.com" TargetMode="External"/><Relationship Id="rId2110" Type="http://schemas.openxmlformats.org/officeDocument/2006/relationships/hyperlink" Target="https://www.roboco-op.com" TargetMode="External"/><Relationship Id="rId3440" Type="http://schemas.openxmlformats.org/officeDocument/2006/relationships/hyperlink" Target="https://www.triviumeducation.com" TargetMode="External"/><Relationship Id="rId2111" Type="http://schemas.openxmlformats.org/officeDocument/2006/relationships/hyperlink" Target="https://www.itzatutor.com" TargetMode="External"/><Relationship Id="rId3443" Type="http://schemas.openxmlformats.org/officeDocument/2006/relationships/hyperlink" Target="https://www.tutor.com" TargetMode="External"/><Relationship Id="rId2112" Type="http://schemas.openxmlformats.org/officeDocument/2006/relationships/hyperlink" Target="https://www.fourminutemedicine.com" TargetMode="External"/><Relationship Id="rId3442" Type="http://schemas.openxmlformats.org/officeDocument/2006/relationships/hyperlink" Target="http://tutor.com" TargetMode="External"/><Relationship Id="rId2113" Type="http://schemas.openxmlformats.org/officeDocument/2006/relationships/hyperlink" Target="https://www.ascendnow.com" TargetMode="External"/><Relationship Id="rId3445" Type="http://schemas.openxmlformats.org/officeDocument/2006/relationships/hyperlink" Target="https://www.ul.com" TargetMode="External"/><Relationship Id="rId2114" Type="http://schemas.openxmlformats.org/officeDocument/2006/relationships/hyperlink" Target="http://senpai.gg" TargetMode="External"/><Relationship Id="rId3444" Type="http://schemas.openxmlformats.org/officeDocument/2006/relationships/hyperlink" Target="https://www.tutorialspoin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5" width="31.38"/>
    <col customWidth="1" min="6" max="6" width="2.63"/>
  </cols>
  <sheetData>
    <row r="1" ht="15.0" customHeight="1">
      <c r="A1" s="76"/>
      <c r="B1" s="76"/>
      <c r="C1" s="76"/>
      <c r="D1" s="76"/>
      <c r="E1" s="76"/>
      <c r="F1" s="76"/>
      <c r="G1" s="76"/>
      <c r="H1" s="76"/>
      <c r="I1" s="76"/>
      <c r="J1" s="76"/>
      <c r="K1" s="76"/>
      <c r="L1" s="76"/>
      <c r="M1" s="76"/>
      <c r="N1" s="76"/>
      <c r="O1" s="76"/>
      <c r="P1" s="76"/>
      <c r="Q1" s="76"/>
      <c r="R1" s="76"/>
      <c r="S1" s="76"/>
      <c r="T1" s="76"/>
      <c r="U1" s="76"/>
      <c r="V1" s="76"/>
      <c r="W1" s="76"/>
      <c r="X1" s="76"/>
      <c r="Y1" s="76"/>
      <c r="Z1" s="76"/>
    </row>
    <row r="2" ht="37.5" customHeight="1">
      <c r="A2" s="76"/>
      <c r="B2" s="77" t="s">
        <v>5125</v>
      </c>
      <c r="F2" s="76"/>
      <c r="G2" s="76"/>
      <c r="H2" s="76"/>
      <c r="I2" s="76"/>
      <c r="J2" s="76"/>
      <c r="K2" s="76"/>
      <c r="L2" s="76"/>
      <c r="M2" s="76"/>
      <c r="N2" s="76"/>
      <c r="O2" s="76"/>
      <c r="P2" s="76"/>
      <c r="Q2" s="76"/>
      <c r="R2" s="76"/>
      <c r="S2" s="76"/>
      <c r="T2" s="76"/>
      <c r="U2" s="76"/>
      <c r="V2" s="76"/>
      <c r="W2" s="76"/>
      <c r="X2" s="76"/>
      <c r="Y2" s="76"/>
      <c r="Z2" s="76"/>
    </row>
    <row r="3" ht="15.0" customHeight="1">
      <c r="A3" s="76"/>
      <c r="F3" s="76"/>
      <c r="G3" s="76"/>
      <c r="H3" s="76"/>
      <c r="I3" s="76"/>
      <c r="J3" s="76"/>
      <c r="K3" s="76"/>
      <c r="L3" s="76"/>
      <c r="M3" s="76"/>
      <c r="N3" s="76"/>
      <c r="O3" s="76"/>
      <c r="P3" s="76"/>
      <c r="Q3" s="76"/>
      <c r="R3" s="76"/>
      <c r="S3" s="76"/>
      <c r="T3" s="76"/>
      <c r="U3" s="76"/>
      <c r="V3" s="76"/>
      <c r="W3" s="76"/>
      <c r="X3" s="76"/>
      <c r="Y3" s="76"/>
      <c r="Z3" s="76"/>
    </row>
    <row r="4" ht="105.0" customHeight="1">
      <c r="A4" s="76"/>
      <c r="B4" s="76"/>
      <c r="C4" s="76"/>
      <c r="D4" s="76"/>
      <c r="E4" s="76"/>
      <c r="F4" s="76"/>
      <c r="G4" s="76"/>
      <c r="H4" s="76"/>
      <c r="I4" s="76"/>
      <c r="J4" s="76"/>
      <c r="K4" s="76"/>
      <c r="L4" s="76"/>
      <c r="M4" s="76"/>
      <c r="N4" s="76"/>
      <c r="O4" s="76"/>
      <c r="P4" s="76"/>
      <c r="Q4" s="76"/>
      <c r="R4" s="76"/>
      <c r="S4" s="76"/>
      <c r="T4" s="76"/>
      <c r="U4" s="76"/>
      <c r="V4" s="76"/>
      <c r="W4" s="76"/>
      <c r="X4" s="76"/>
      <c r="Y4" s="76"/>
      <c r="Z4" s="76"/>
    </row>
    <row r="5" ht="19.5" customHeight="1">
      <c r="A5" s="76"/>
      <c r="B5" s="76"/>
      <c r="C5" s="76"/>
      <c r="D5" s="76"/>
      <c r="E5" s="76"/>
      <c r="F5" s="76"/>
      <c r="G5" s="76"/>
      <c r="H5" s="76"/>
      <c r="I5" s="76"/>
      <c r="J5" s="76"/>
      <c r="K5" s="76"/>
      <c r="L5" s="76"/>
      <c r="M5" s="76"/>
      <c r="N5" s="76"/>
      <c r="O5" s="76"/>
      <c r="P5" s="76"/>
      <c r="Q5" s="76"/>
      <c r="R5" s="76"/>
      <c r="S5" s="76"/>
      <c r="T5" s="76"/>
      <c r="U5" s="76"/>
      <c r="V5" s="76"/>
      <c r="W5" s="76"/>
      <c r="X5" s="76"/>
      <c r="Y5" s="76"/>
      <c r="Z5" s="76"/>
    </row>
    <row r="6">
      <c r="A6" s="76"/>
      <c r="B6" s="76"/>
      <c r="C6" s="76"/>
      <c r="D6" s="76"/>
      <c r="E6" s="76"/>
      <c r="F6" s="76"/>
      <c r="G6" s="76"/>
      <c r="H6" s="76"/>
      <c r="I6" s="76"/>
      <c r="J6" s="76"/>
      <c r="K6" s="76"/>
      <c r="L6" s="76"/>
      <c r="M6" s="76"/>
      <c r="N6" s="76"/>
      <c r="O6" s="76"/>
      <c r="P6" s="76"/>
      <c r="Q6" s="76"/>
      <c r="R6" s="76"/>
      <c r="S6" s="76"/>
      <c r="T6" s="76"/>
      <c r="U6" s="76"/>
      <c r="V6" s="76"/>
      <c r="W6" s="76"/>
      <c r="X6" s="76"/>
      <c r="Y6" s="76"/>
      <c r="Z6" s="76"/>
    </row>
    <row r="7">
      <c r="A7" s="76"/>
      <c r="B7" s="76"/>
      <c r="C7" s="76"/>
      <c r="D7" s="76"/>
      <c r="E7" s="76"/>
      <c r="F7" s="76"/>
      <c r="G7" s="76"/>
      <c r="H7" s="76"/>
      <c r="I7" s="76"/>
      <c r="J7" s="76"/>
      <c r="K7" s="76"/>
      <c r="L7" s="76"/>
      <c r="M7" s="76"/>
      <c r="N7" s="76"/>
      <c r="O7" s="76"/>
      <c r="P7" s="76"/>
      <c r="Q7" s="76"/>
      <c r="R7" s="76"/>
      <c r="S7" s="76"/>
      <c r="T7" s="76"/>
      <c r="U7" s="76"/>
      <c r="V7" s="76"/>
      <c r="W7" s="76"/>
      <c r="X7" s="76"/>
      <c r="Y7" s="76"/>
      <c r="Z7" s="76"/>
    </row>
    <row r="8">
      <c r="A8" s="76"/>
      <c r="B8" s="76"/>
      <c r="C8" s="76"/>
      <c r="D8" s="76"/>
      <c r="E8" s="76"/>
      <c r="F8" s="76"/>
      <c r="G8" s="76"/>
      <c r="H8" s="76"/>
      <c r="I8" s="76"/>
      <c r="J8" s="76"/>
      <c r="K8" s="76"/>
      <c r="L8" s="76"/>
      <c r="M8" s="76"/>
      <c r="N8" s="76"/>
      <c r="O8" s="76"/>
      <c r="P8" s="76"/>
      <c r="Q8" s="76"/>
      <c r="R8" s="76"/>
      <c r="S8" s="76"/>
      <c r="T8" s="76"/>
      <c r="U8" s="76"/>
      <c r="V8" s="76"/>
      <c r="W8" s="76"/>
      <c r="X8" s="76"/>
      <c r="Y8" s="76"/>
      <c r="Z8" s="76"/>
    </row>
    <row r="9">
      <c r="A9" s="76"/>
      <c r="B9" s="76"/>
      <c r="C9" s="76"/>
      <c r="D9" s="76"/>
      <c r="E9" s="76"/>
      <c r="F9" s="76"/>
      <c r="G9" s="76"/>
      <c r="H9" s="76"/>
      <c r="I9" s="76"/>
      <c r="J9" s="76"/>
      <c r="K9" s="76"/>
      <c r="L9" s="76"/>
      <c r="M9" s="76"/>
      <c r="N9" s="76"/>
      <c r="O9" s="76"/>
      <c r="P9" s="76"/>
      <c r="Q9" s="76"/>
      <c r="R9" s="76"/>
      <c r="S9" s="76"/>
      <c r="T9" s="76"/>
      <c r="U9" s="76"/>
      <c r="V9" s="76"/>
      <c r="W9" s="76"/>
      <c r="X9" s="76"/>
      <c r="Y9" s="76"/>
      <c r="Z9" s="76"/>
    </row>
    <row r="10">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sheetData>
  <mergeCells count="1">
    <mergeCell ref="B2:E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4" t="s">
        <v>5</v>
      </c>
      <c r="G1" s="1" t="s">
        <v>6</v>
      </c>
      <c r="H1" s="2" t="s">
        <v>7</v>
      </c>
      <c r="I1" s="2" t="s">
        <v>8</v>
      </c>
      <c r="J1" s="2" t="s">
        <v>9</v>
      </c>
      <c r="K1" s="2" t="s">
        <v>10</v>
      </c>
      <c r="L1" s="2" t="s">
        <v>11</v>
      </c>
      <c r="M1" s="2" t="s">
        <v>12</v>
      </c>
      <c r="N1" s="2" t="s">
        <v>14</v>
      </c>
      <c r="O1" s="2" t="s">
        <v>15</v>
      </c>
      <c r="P1" s="8" t="s">
        <v>16</v>
      </c>
      <c r="Q1" s="2" t="s">
        <v>17</v>
      </c>
      <c r="R1" s="2" t="s">
        <v>18</v>
      </c>
      <c r="S1" s="9" t="s">
        <v>19</v>
      </c>
      <c r="T1" s="11" t="s">
        <v>20</v>
      </c>
      <c r="U1" s="2" t="s">
        <v>22</v>
      </c>
      <c r="V1" s="2" t="s">
        <v>23</v>
      </c>
      <c r="W1" s="2" t="s">
        <v>24</v>
      </c>
      <c r="X1" s="2" t="s">
        <v>25</v>
      </c>
      <c r="Y1" s="8" t="s">
        <v>26</v>
      </c>
      <c r="Z1" s="6" t="s">
        <v>27</v>
      </c>
      <c r="AA1" s="12"/>
    </row>
    <row r="2">
      <c r="A2" s="14">
        <f t="array" ref="A2:A868">IF(C2:C868&lt;&gt;"",IF(A2:A868="",TODAY(),A2:A868),"")</f>
        <v>0</v>
      </c>
      <c r="B2" s="16" t="str">
        <f t="array" ref="B2:B868">IF(C2:C868&lt;&gt;"","MLD-"&amp;TEXT(ROW(C2:C868)-1,"000"),)</f>
        <v>MLD-001</v>
      </c>
      <c r="C2" s="17" t="s">
        <v>33</v>
      </c>
      <c r="D2" s="17">
        <v>6.377809826E9</v>
      </c>
      <c r="E2" s="17" t="s">
        <v>34</v>
      </c>
      <c r="F2" s="18" t="s">
        <v>35</v>
      </c>
      <c r="H2" s="17" t="s">
        <v>37</v>
      </c>
      <c r="I2" s="19" t="s">
        <v>38</v>
      </c>
      <c r="J2" s="17" t="s">
        <v>40</v>
      </c>
      <c r="K2" s="24" t="s">
        <v>41</v>
      </c>
      <c r="L2" s="19" t="s">
        <v>43</v>
      </c>
      <c r="M2" s="17" t="s">
        <v>47</v>
      </c>
      <c r="N2" s="17" t="s">
        <v>33</v>
      </c>
      <c r="O2" s="26" t="s">
        <v>53</v>
      </c>
      <c r="P2" s="30" t="str">
        <f t="array" ref="P2:P868">IF(T2:T868&lt;&gt;"", T2:T868 + 15, )</f>
        <v/>
      </c>
      <c r="R2" s="21"/>
      <c r="S2" s="31"/>
      <c r="U2" s="32" t="str">
        <f t="array" ref="U2:U868">IF(T2:T868&lt;&gt;"",
    INT(TODAY() - T2:T868) &amp; " days ago",
    )
</f>
        <v/>
      </c>
      <c r="V2" s="16" t="str">
        <f t="array" ref="V2:V868">IF(P2:P868&lt;&gt;"", P2:P868&lt;TODAY(), )</f>
        <v/>
      </c>
      <c r="W2" s="32" t="str">
        <f t="array" ref="W2:W868">IF(P2:P868&lt;&gt;"", IF(P2:P868&lt;TODAY(), TODAY()-P2:P868, 0), )</f>
        <v/>
      </c>
      <c r="X2" s="16">
        <f t="array" ref="X2:X868">IF(O2:O868&lt;&gt;"",
   IF(O2:O868="New",2,
   IF(O2:O868="In Discussion",3,
   IF(O2:O868="Proposal Sent",5,
   IF(O2:O868="Won",0,
   IF(O2:O868="Lost",0,0))))),
)
</f>
        <v>5</v>
      </c>
      <c r="Y2" s="30" t="str">
        <f t="array" ref="Y2:Y868">IF(P2:P868&lt;&gt;"", P2:P868 + X2:X868, )
</f>
        <v/>
      </c>
      <c r="Z2" s="33">
        <f t="array" ref="Z2:Z868">IF(O2:O868="","",
   SWITCH(O2:O868,
     "Won", 100,
     "Loss", 0,
     "In Discussion", 50,
     "Proposal Sent", 10,
     "New", 0,
     0
   )
 )
</f>
        <v>10</v>
      </c>
    </row>
    <row r="3">
      <c r="A3" s="28">
        <v>46253.0</v>
      </c>
      <c r="B3" s="16" t="s">
        <v>126</v>
      </c>
      <c r="C3" s="20" t="s">
        <v>128</v>
      </c>
      <c r="D3" s="36"/>
      <c r="E3" s="20" t="s">
        <v>129</v>
      </c>
      <c r="F3" s="37" t="s">
        <v>35</v>
      </c>
      <c r="H3" s="21"/>
      <c r="I3" s="20" t="s">
        <v>133</v>
      </c>
      <c r="J3" s="17" t="s">
        <v>40</v>
      </c>
      <c r="M3" s="17" t="s">
        <v>47</v>
      </c>
      <c r="N3" s="21"/>
      <c r="O3" s="26" t="s">
        <v>53</v>
      </c>
      <c r="P3" s="30">
        <v>46270.43160412037</v>
      </c>
      <c r="Q3" s="34"/>
      <c r="R3" s="38"/>
      <c r="S3" s="39">
        <v>46255.43160412037</v>
      </c>
      <c r="T3" s="34">
        <v>46255.43160412037</v>
      </c>
      <c r="U3" s="16" t="s">
        <v>138</v>
      </c>
      <c r="V3" s="16" t="b">
        <v>0</v>
      </c>
      <c r="W3" s="16">
        <v>0.0</v>
      </c>
      <c r="X3" s="16">
        <v>5.0</v>
      </c>
      <c r="Y3" s="30">
        <v>46275.43160412037</v>
      </c>
      <c r="Z3" s="16">
        <v>10.0</v>
      </c>
    </row>
    <row r="4">
      <c r="A4" s="28">
        <v>46253.0</v>
      </c>
      <c r="B4" s="16" t="s">
        <v>139</v>
      </c>
      <c r="C4" s="20" t="s">
        <v>140</v>
      </c>
      <c r="D4" s="40">
        <v>8.800463339E9</v>
      </c>
      <c r="E4" s="20" t="s">
        <v>141</v>
      </c>
      <c r="F4" s="41"/>
      <c r="H4" s="21"/>
      <c r="I4" s="20" t="s">
        <v>143</v>
      </c>
      <c r="J4" s="17" t="s">
        <v>40</v>
      </c>
      <c r="M4" s="17" t="s">
        <v>146</v>
      </c>
      <c r="N4" s="21"/>
      <c r="O4" s="26" t="s">
        <v>147</v>
      </c>
      <c r="P4" s="30">
        <v>46270.4366075463</v>
      </c>
      <c r="R4" s="38"/>
      <c r="S4" s="39">
        <v>46255.4366075463</v>
      </c>
      <c r="T4" s="34">
        <v>46255.4366075463</v>
      </c>
      <c r="U4" s="16" t="s">
        <v>138</v>
      </c>
      <c r="V4" s="16" t="b">
        <v>0</v>
      </c>
      <c r="W4" s="16">
        <v>0.0</v>
      </c>
      <c r="X4" s="16">
        <v>3.0</v>
      </c>
      <c r="Y4" s="30">
        <v>46273.4366075463</v>
      </c>
      <c r="Z4" s="16">
        <v>50.0</v>
      </c>
    </row>
    <row r="5">
      <c r="A5" s="28">
        <v>46253.0</v>
      </c>
      <c r="B5" s="16" t="s">
        <v>149</v>
      </c>
      <c r="C5" s="20" t="s">
        <v>150</v>
      </c>
      <c r="D5" s="36"/>
      <c r="E5" s="20" t="s">
        <v>151</v>
      </c>
      <c r="F5" s="37" t="s">
        <v>152</v>
      </c>
      <c r="H5" s="21"/>
      <c r="I5" s="20" t="s">
        <v>155</v>
      </c>
      <c r="J5" s="17" t="s">
        <v>157</v>
      </c>
      <c r="M5" s="17" t="s">
        <v>146</v>
      </c>
      <c r="N5" s="21"/>
      <c r="O5" s="26" t="s">
        <v>158</v>
      </c>
      <c r="P5" s="30">
        <v>46271.480889687504</v>
      </c>
      <c r="R5" s="17"/>
      <c r="S5" s="39">
        <v>46256.480889687504</v>
      </c>
      <c r="T5" s="34">
        <v>46256.480889687504</v>
      </c>
      <c r="U5" s="16" t="s">
        <v>159</v>
      </c>
      <c r="V5" s="16" t="b">
        <v>0</v>
      </c>
      <c r="W5" s="16">
        <v>0.0</v>
      </c>
      <c r="X5" s="16">
        <v>0.0</v>
      </c>
      <c r="Y5" s="30">
        <v>46271.480889687504</v>
      </c>
      <c r="Z5" s="16">
        <v>0.0</v>
      </c>
    </row>
    <row r="6">
      <c r="A6" s="28">
        <v>46253.0</v>
      </c>
      <c r="B6" s="16" t="s">
        <v>160</v>
      </c>
      <c r="C6" s="20" t="s">
        <v>161</v>
      </c>
      <c r="D6" s="36"/>
      <c r="E6" s="20" t="s">
        <v>162</v>
      </c>
      <c r="F6" s="37" t="s">
        <v>163</v>
      </c>
      <c r="H6" s="21"/>
      <c r="I6" s="20" t="s">
        <v>155</v>
      </c>
      <c r="J6" s="17" t="s">
        <v>157</v>
      </c>
      <c r="M6" s="17" t="s">
        <v>146</v>
      </c>
      <c r="N6" s="21"/>
      <c r="O6" s="26" t="s">
        <v>158</v>
      </c>
      <c r="P6" s="30">
        <v>46271.488102442134</v>
      </c>
      <c r="R6" s="21"/>
      <c r="S6" s="39">
        <v>46256.488102442134</v>
      </c>
      <c r="T6" s="34">
        <v>46256.488102442134</v>
      </c>
      <c r="U6" s="16" t="s">
        <v>159</v>
      </c>
      <c r="V6" s="16" t="b">
        <v>0</v>
      </c>
      <c r="W6" s="16">
        <v>0.0</v>
      </c>
      <c r="X6" s="16">
        <v>0.0</v>
      </c>
      <c r="Y6" s="30">
        <v>46271.488102442134</v>
      </c>
      <c r="Z6" s="16">
        <v>0.0</v>
      </c>
    </row>
    <row r="7">
      <c r="A7" s="28">
        <v>46253.0</v>
      </c>
      <c r="B7" s="16" t="s">
        <v>167</v>
      </c>
      <c r="C7" s="20" t="s">
        <v>168</v>
      </c>
      <c r="D7" s="20" t="s">
        <v>107</v>
      </c>
      <c r="E7" s="20" t="s">
        <v>169</v>
      </c>
      <c r="F7" s="37" t="s">
        <v>170</v>
      </c>
      <c r="H7" s="21"/>
      <c r="I7" s="20" t="s">
        <v>155</v>
      </c>
      <c r="J7" s="21"/>
      <c r="M7" s="21"/>
      <c r="N7" s="21"/>
      <c r="O7" s="42"/>
      <c r="P7" s="30"/>
      <c r="R7" s="21"/>
      <c r="S7" s="31"/>
      <c r="U7" s="16"/>
      <c r="V7" s="16"/>
      <c r="W7" s="16"/>
      <c r="X7" s="16"/>
      <c r="Y7" s="30"/>
      <c r="Z7" s="16" t="s">
        <v>174</v>
      </c>
    </row>
    <row r="8">
      <c r="A8" s="28">
        <v>46253.0</v>
      </c>
      <c r="B8" s="16" t="s">
        <v>175</v>
      </c>
      <c r="C8" s="20" t="s">
        <v>176</v>
      </c>
      <c r="D8" s="20" t="s">
        <v>107</v>
      </c>
      <c r="E8" s="20" t="s">
        <v>179</v>
      </c>
      <c r="F8" s="37" t="s">
        <v>180</v>
      </c>
      <c r="H8" s="21"/>
      <c r="I8" s="20" t="s">
        <v>155</v>
      </c>
      <c r="J8" s="21"/>
      <c r="M8" s="21"/>
      <c r="N8" s="21"/>
      <c r="O8" s="42"/>
      <c r="P8" s="30"/>
      <c r="R8" s="21"/>
      <c r="S8" s="31"/>
      <c r="U8" s="16"/>
      <c r="V8" s="16"/>
      <c r="W8" s="16"/>
      <c r="X8" s="16"/>
      <c r="Y8" s="30"/>
      <c r="Z8" s="16" t="s">
        <v>174</v>
      </c>
    </row>
    <row r="9">
      <c r="A9" s="28">
        <v>46253.0</v>
      </c>
      <c r="B9" s="16" t="s">
        <v>182</v>
      </c>
      <c r="C9" s="20" t="s">
        <v>183</v>
      </c>
      <c r="D9" s="20" t="s">
        <v>107</v>
      </c>
      <c r="E9" s="20" t="s">
        <v>185</v>
      </c>
      <c r="F9" s="37" t="s">
        <v>186</v>
      </c>
      <c r="H9" s="21"/>
      <c r="I9" s="20" t="s">
        <v>155</v>
      </c>
      <c r="J9" s="21"/>
      <c r="M9" s="21"/>
      <c r="N9" s="21"/>
      <c r="O9" s="42"/>
      <c r="P9" s="30"/>
      <c r="R9" s="21"/>
      <c r="S9" s="31"/>
      <c r="U9" s="16"/>
      <c r="V9" s="16"/>
      <c r="W9" s="16"/>
      <c r="X9" s="16"/>
      <c r="Y9" s="30"/>
      <c r="Z9" s="16" t="s">
        <v>174</v>
      </c>
    </row>
    <row r="10">
      <c r="A10" s="28">
        <v>46253.0</v>
      </c>
      <c r="B10" s="16" t="s">
        <v>190</v>
      </c>
      <c r="C10" s="20" t="s">
        <v>191</v>
      </c>
      <c r="D10" s="20" t="s">
        <v>107</v>
      </c>
      <c r="E10" s="20" t="s">
        <v>192</v>
      </c>
      <c r="F10" s="37" t="s">
        <v>193</v>
      </c>
      <c r="H10" s="21"/>
      <c r="I10" s="20" t="s">
        <v>155</v>
      </c>
      <c r="J10" s="21"/>
      <c r="M10" s="21"/>
      <c r="N10" s="21"/>
      <c r="O10" s="42"/>
      <c r="P10" s="30"/>
      <c r="R10" s="21"/>
      <c r="S10" s="31"/>
      <c r="U10" s="16"/>
      <c r="V10" s="16"/>
      <c r="W10" s="16"/>
      <c r="X10" s="16"/>
      <c r="Y10" s="30"/>
      <c r="Z10" s="16" t="s">
        <v>174</v>
      </c>
    </row>
    <row r="11">
      <c r="A11" s="28">
        <v>46253.0</v>
      </c>
      <c r="B11" s="16" t="s">
        <v>194</v>
      </c>
      <c r="C11" s="20" t="s">
        <v>195</v>
      </c>
      <c r="D11" s="20" t="s">
        <v>107</v>
      </c>
      <c r="E11" s="20" t="s">
        <v>196</v>
      </c>
      <c r="F11" s="37" t="s">
        <v>197</v>
      </c>
      <c r="H11" s="21"/>
      <c r="I11" s="20" t="s">
        <v>155</v>
      </c>
      <c r="J11" s="21"/>
      <c r="M11" s="21"/>
      <c r="N11" s="21"/>
      <c r="O11" s="42"/>
      <c r="P11" s="30"/>
      <c r="R11" s="21"/>
      <c r="S11" s="31"/>
      <c r="U11" s="16"/>
      <c r="V11" s="16"/>
      <c r="W11" s="16"/>
      <c r="X11" s="16"/>
      <c r="Y11" s="30"/>
      <c r="Z11" s="16" t="s">
        <v>174</v>
      </c>
    </row>
    <row r="12">
      <c r="A12" s="28">
        <v>46253.0</v>
      </c>
      <c r="B12" s="16" t="s">
        <v>200</v>
      </c>
      <c r="C12" s="20" t="s">
        <v>201</v>
      </c>
      <c r="D12" s="20" t="s">
        <v>107</v>
      </c>
      <c r="E12" s="20" t="s">
        <v>202</v>
      </c>
      <c r="F12" s="37" t="s">
        <v>203</v>
      </c>
      <c r="H12" s="21"/>
      <c r="I12" s="20" t="s">
        <v>155</v>
      </c>
      <c r="J12" s="21"/>
      <c r="M12" s="21"/>
      <c r="N12" s="21"/>
      <c r="O12" s="42"/>
      <c r="P12" s="30"/>
      <c r="R12" s="21"/>
      <c r="S12" s="31"/>
      <c r="U12" s="16"/>
      <c r="V12" s="16"/>
      <c r="W12" s="16"/>
      <c r="X12" s="16"/>
      <c r="Y12" s="30"/>
      <c r="Z12" s="16" t="s">
        <v>174</v>
      </c>
    </row>
    <row r="13">
      <c r="A13" s="28">
        <v>46253.0</v>
      </c>
      <c r="B13" s="16" t="s">
        <v>204</v>
      </c>
      <c r="C13" s="20" t="s">
        <v>205</v>
      </c>
      <c r="D13" s="20" t="s">
        <v>107</v>
      </c>
      <c r="E13" s="20" t="s">
        <v>206</v>
      </c>
      <c r="F13" s="37" t="s">
        <v>207</v>
      </c>
      <c r="H13" s="21"/>
      <c r="I13" s="20" t="s">
        <v>155</v>
      </c>
      <c r="J13" s="21"/>
      <c r="M13" s="21"/>
      <c r="N13" s="21"/>
      <c r="O13" s="42"/>
      <c r="P13" s="30"/>
      <c r="R13" s="21"/>
      <c r="S13" s="31"/>
      <c r="U13" s="16"/>
      <c r="V13" s="16"/>
      <c r="W13" s="16"/>
      <c r="X13" s="16"/>
      <c r="Y13" s="30"/>
      <c r="Z13" s="16" t="s">
        <v>174</v>
      </c>
    </row>
    <row r="14">
      <c r="A14" s="28">
        <v>46253.0</v>
      </c>
      <c r="B14" s="16" t="s">
        <v>208</v>
      </c>
      <c r="C14" s="20" t="s">
        <v>209</v>
      </c>
      <c r="D14" s="20" t="s">
        <v>107</v>
      </c>
      <c r="E14" s="20" t="s">
        <v>210</v>
      </c>
      <c r="F14" s="37" t="s">
        <v>211</v>
      </c>
      <c r="H14" s="21"/>
      <c r="I14" s="20" t="s">
        <v>155</v>
      </c>
      <c r="J14" s="21"/>
      <c r="M14" s="21"/>
      <c r="N14" s="21"/>
      <c r="O14" s="42"/>
      <c r="P14" s="30"/>
      <c r="R14" s="21"/>
      <c r="S14" s="31"/>
      <c r="U14" s="16"/>
      <c r="V14" s="16"/>
      <c r="W14" s="16"/>
      <c r="X14" s="16"/>
      <c r="Y14" s="30"/>
      <c r="Z14" s="16" t="s">
        <v>174</v>
      </c>
    </row>
    <row r="15">
      <c r="A15" s="28">
        <v>46253.0</v>
      </c>
      <c r="B15" s="16" t="s">
        <v>215</v>
      </c>
      <c r="C15" s="20" t="s">
        <v>216</v>
      </c>
      <c r="D15" s="20" t="s">
        <v>107</v>
      </c>
      <c r="E15" s="20" t="s">
        <v>217</v>
      </c>
      <c r="F15" s="37" t="s">
        <v>218</v>
      </c>
      <c r="H15" s="21"/>
      <c r="I15" s="20" t="s">
        <v>155</v>
      </c>
      <c r="J15" s="21"/>
      <c r="M15" s="21"/>
      <c r="N15" s="21"/>
      <c r="O15" s="42"/>
      <c r="P15" s="30"/>
      <c r="R15" s="21"/>
      <c r="S15" s="31"/>
      <c r="U15" s="16"/>
      <c r="V15" s="16"/>
      <c r="W15" s="16"/>
      <c r="X15" s="16"/>
      <c r="Y15" s="30"/>
      <c r="Z15" s="16" t="s">
        <v>174</v>
      </c>
    </row>
    <row r="16">
      <c r="A16" s="28">
        <v>46253.0</v>
      </c>
      <c r="B16" s="16" t="s">
        <v>219</v>
      </c>
      <c r="C16" s="20" t="s">
        <v>220</v>
      </c>
      <c r="D16" s="20" t="s">
        <v>107</v>
      </c>
      <c r="E16" s="20" t="s">
        <v>221</v>
      </c>
      <c r="F16" s="37" t="s">
        <v>222</v>
      </c>
      <c r="H16" s="21"/>
      <c r="I16" s="20" t="s">
        <v>223</v>
      </c>
      <c r="J16" s="21"/>
      <c r="M16" s="21"/>
      <c r="N16" s="21"/>
      <c r="O16" s="42"/>
      <c r="P16" s="30"/>
      <c r="R16" s="21"/>
      <c r="S16" s="31"/>
      <c r="U16" s="16"/>
      <c r="V16" s="16"/>
      <c r="W16" s="16"/>
      <c r="X16" s="16"/>
      <c r="Y16" s="30"/>
      <c r="Z16" s="16" t="s">
        <v>174</v>
      </c>
    </row>
    <row r="17">
      <c r="A17" s="28">
        <v>46253.0</v>
      </c>
      <c r="B17" s="16" t="s">
        <v>227</v>
      </c>
      <c r="C17" s="20" t="s">
        <v>228</v>
      </c>
      <c r="D17" s="20" t="s">
        <v>107</v>
      </c>
      <c r="E17" s="20" t="s">
        <v>229</v>
      </c>
      <c r="F17" s="37" t="s">
        <v>230</v>
      </c>
      <c r="H17" s="21"/>
      <c r="I17" s="20" t="s">
        <v>223</v>
      </c>
      <c r="J17" s="21"/>
      <c r="M17" s="21"/>
      <c r="N17" s="21"/>
      <c r="O17" s="42"/>
      <c r="P17" s="30"/>
      <c r="R17" s="21"/>
      <c r="S17" s="31"/>
      <c r="U17" s="16"/>
      <c r="V17" s="16"/>
      <c r="W17" s="16"/>
      <c r="X17" s="16"/>
      <c r="Y17" s="30"/>
      <c r="Z17" s="16" t="s">
        <v>174</v>
      </c>
    </row>
    <row r="18">
      <c r="A18" s="28">
        <v>46253.0</v>
      </c>
      <c r="B18" s="16" t="s">
        <v>231</v>
      </c>
      <c r="C18" s="20" t="s">
        <v>232</v>
      </c>
      <c r="D18" s="20" t="s">
        <v>107</v>
      </c>
      <c r="E18" s="20" t="s">
        <v>233</v>
      </c>
      <c r="F18" s="37" t="s">
        <v>234</v>
      </c>
      <c r="H18" s="21"/>
      <c r="I18" s="20" t="s">
        <v>223</v>
      </c>
      <c r="J18" s="21"/>
      <c r="M18" s="21"/>
      <c r="N18" s="21"/>
      <c r="O18" s="42"/>
      <c r="P18" s="30"/>
      <c r="R18" s="21"/>
      <c r="S18" s="31"/>
      <c r="U18" s="16"/>
      <c r="V18" s="16"/>
      <c r="W18" s="16"/>
      <c r="X18" s="16"/>
      <c r="Y18" s="30"/>
      <c r="Z18" s="16" t="s">
        <v>174</v>
      </c>
    </row>
    <row r="19">
      <c r="A19" s="28">
        <v>46253.0</v>
      </c>
      <c r="B19" s="16" t="s">
        <v>235</v>
      </c>
      <c r="C19" s="20" t="s">
        <v>236</v>
      </c>
      <c r="D19" s="20" t="s">
        <v>107</v>
      </c>
      <c r="E19" s="20" t="s">
        <v>237</v>
      </c>
      <c r="F19" s="37" t="s">
        <v>238</v>
      </c>
      <c r="H19" s="21"/>
      <c r="I19" s="20" t="s">
        <v>223</v>
      </c>
      <c r="J19" s="21"/>
      <c r="M19" s="21"/>
      <c r="N19" s="21"/>
      <c r="O19" s="42"/>
      <c r="P19" s="30"/>
      <c r="R19" s="21"/>
      <c r="S19" s="31"/>
      <c r="U19" s="16"/>
      <c r="V19" s="16"/>
      <c r="W19" s="16"/>
      <c r="X19" s="16"/>
      <c r="Y19" s="30"/>
      <c r="Z19" s="16" t="s">
        <v>174</v>
      </c>
    </row>
    <row r="20">
      <c r="A20" s="28">
        <v>46253.0</v>
      </c>
      <c r="B20" s="16" t="s">
        <v>242</v>
      </c>
      <c r="C20" s="20" t="s">
        <v>243</v>
      </c>
      <c r="D20" s="20" t="s">
        <v>107</v>
      </c>
      <c r="E20" s="20" t="s">
        <v>244</v>
      </c>
      <c r="F20" s="37" t="s">
        <v>238</v>
      </c>
      <c r="H20" s="21"/>
      <c r="I20" s="20" t="s">
        <v>223</v>
      </c>
      <c r="J20" s="21"/>
      <c r="M20" s="21"/>
      <c r="N20" s="21"/>
      <c r="O20" s="42"/>
      <c r="P20" s="30"/>
      <c r="R20" s="21"/>
      <c r="S20" s="31"/>
      <c r="U20" s="16"/>
      <c r="V20" s="16"/>
      <c r="W20" s="16"/>
      <c r="X20" s="16"/>
      <c r="Y20" s="30"/>
      <c r="Z20" s="16" t="s">
        <v>174</v>
      </c>
    </row>
    <row r="21">
      <c r="A21" s="28">
        <v>46253.0</v>
      </c>
      <c r="B21" s="16" t="s">
        <v>245</v>
      </c>
      <c r="C21" s="20" t="s">
        <v>246</v>
      </c>
      <c r="D21" s="20" t="s">
        <v>107</v>
      </c>
      <c r="E21" s="20" t="s">
        <v>247</v>
      </c>
      <c r="F21" s="37" t="s">
        <v>248</v>
      </c>
      <c r="H21" s="21"/>
      <c r="I21" s="20" t="s">
        <v>223</v>
      </c>
      <c r="J21" s="21"/>
      <c r="M21" s="21"/>
      <c r="N21" s="21"/>
      <c r="O21" s="42"/>
      <c r="P21" s="30"/>
      <c r="R21" s="21"/>
      <c r="S21" s="31"/>
      <c r="U21" s="16"/>
      <c r="V21" s="16"/>
      <c r="W21" s="16"/>
      <c r="X21" s="16"/>
      <c r="Y21" s="30"/>
      <c r="Z21" s="16" t="s">
        <v>174</v>
      </c>
    </row>
    <row r="22">
      <c r="A22" s="28">
        <v>46253.0</v>
      </c>
      <c r="B22" s="16" t="s">
        <v>249</v>
      </c>
      <c r="C22" s="20" t="s">
        <v>250</v>
      </c>
      <c r="D22" s="20" t="s">
        <v>107</v>
      </c>
      <c r="E22" s="20" t="s">
        <v>251</v>
      </c>
      <c r="F22" s="37" t="s">
        <v>252</v>
      </c>
      <c r="H22" s="21"/>
      <c r="I22" s="20" t="s">
        <v>223</v>
      </c>
      <c r="J22" s="21"/>
      <c r="M22" s="21"/>
      <c r="N22" s="21"/>
      <c r="O22" s="42"/>
      <c r="P22" s="30"/>
      <c r="R22" s="21"/>
      <c r="S22" s="31"/>
      <c r="U22" s="16"/>
      <c r="V22" s="16"/>
      <c r="W22" s="16"/>
      <c r="X22" s="16"/>
      <c r="Y22" s="30"/>
      <c r="Z22" s="16" t="s">
        <v>174</v>
      </c>
    </row>
    <row r="23">
      <c r="A23" s="28">
        <v>46253.0</v>
      </c>
      <c r="B23" s="16" t="s">
        <v>256</v>
      </c>
      <c r="C23" s="20" t="s">
        <v>257</v>
      </c>
      <c r="D23" s="20" t="s">
        <v>107</v>
      </c>
      <c r="E23" s="20" t="s">
        <v>258</v>
      </c>
      <c r="F23" s="37" t="s">
        <v>259</v>
      </c>
      <c r="H23" s="21"/>
      <c r="I23" s="20" t="s">
        <v>223</v>
      </c>
      <c r="J23" s="21"/>
      <c r="M23" s="21"/>
      <c r="N23" s="21"/>
      <c r="O23" s="42"/>
      <c r="P23" s="30"/>
      <c r="R23" s="21"/>
      <c r="S23" s="31"/>
      <c r="U23" s="16"/>
      <c r="V23" s="16"/>
      <c r="W23" s="16"/>
      <c r="X23" s="16"/>
      <c r="Y23" s="30"/>
      <c r="Z23" s="16" t="s">
        <v>174</v>
      </c>
    </row>
    <row r="24">
      <c r="A24" s="28">
        <v>46253.0</v>
      </c>
      <c r="B24" s="16" t="s">
        <v>261</v>
      </c>
      <c r="C24" s="20" t="s">
        <v>262</v>
      </c>
      <c r="D24" s="20" t="s">
        <v>107</v>
      </c>
      <c r="E24" s="20" t="s">
        <v>263</v>
      </c>
      <c r="F24" s="37" t="s">
        <v>265</v>
      </c>
      <c r="H24" s="21"/>
      <c r="I24" s="20" t="s">
        <v>223</v>
      </c>
      <c r="J24" s="21"/>
      <c r="M24" s="21"/>
      <c r="N24" s="21"/>
      <c r="O24" s="42"/>
      <c r="P24" s="30"/>
      <c r="R24" s="21"/>
      <c r="S24" s="31"/>
      <c r="U24" s="16"/>
      <c r="V24" s="16"/>
      <c r="W24" s="16"/>
      <c r="X24" s="16"/>
      <c r="Y24" s="30"/>
      <c r="Z24" s="16" t="s">
        <v>174</v>
      </c>
    </row>
    <row r="25">
      <c r="A25" s="28">
        <v>46253.0</v>
      </c>
      <c r="B25" s="16" t="s">
        <v>268</v>
      </c>
      <c r="C25" s="20" t="s">
        <v>269</v>
      </c>
      <c r="D25" s="20" t="s">
        <v>107</v>
      </c>
      <c r="E25" s="20" t="s">
        <v>270</v>
      </c>
      <c r="F25" s="37" t="s">
        <v>271</v>
      </c>
      <c r="H25" s="21"/>
      <c r="I25" s="20" t="s">
        <v>223</v>
      </c>
      <c r="J25" s="21"/>
      <c r="M25" s="21"/>
      <c r="N25" s="21"/>
      <c r="O25" s="42"/>
      <c r="P25" s="30"/>
      <c r="R25" s="21"/>
      <c r="S25" s="31"/>
      <c r="U25" s="16"/>
      <c r="V25" s="16"/>
      <c r="W25" s="16"/>
      <c r="X25" s="16"/>
      <c r="Y25" s="30"/>
      <c r="Z25" s="16" t="s">
        <v>174</v>
      </c>
    </row>
    <row r="26">
      <c r="A26" s="28">
        <v>46253.0</v>
      </c>
      <c r="B26" s="16" t="s">
        <v>275</v>
      </c>
      <c r="C26" s="20" t="s">
        <v>276</v>
      </c>
      <c r="D26" s="36"/>
      <c r="E26" s="20" t="s">
        <v>277</v>
      </c>
      <c r="F26" s="41"/>
      <c r="H26" s="21"/>
      <c r="I26" s="20" t="s">
        <v>278</v>
      </c>
      <c r="J26" s="21"/>
      <c r="M26" s="21"/>
      <c r="N26" s="21"/>
      <c r="O26" s="42"/>
      <c r="P26" s="30"/>
      <c r="R26" s="21"/>
      <c r="S26" s="31"/>
      <c r="U26" s="16"/>
      <c r="V26" s="16"/>
      <c r="W26" s="16"/>
      <c r="X26" s="16"/>
      <c r="Y26" s="30"/>
      <c r="Z26" s="16" t="s">
        <v>174</v>
      </c>
    </row>
    <row r="27">
      <c r="A27" s="28">
        <v>46253.0</v>
      </c>
      <c r="B27" s="16" t="s">
        <v>280</v>
      </c>
      <c r="C27" s="20" t="s">
        <v>281</v>
      </c>
      <c r="D27" s="36"/>
      <c r="E27" s="20" t="s">
        <v>282</v>
      </c>
      <c r="F27" s="37" t="s">
        <v>283</v>
      </c>
      <c r="H27" s="21"/>
      <c r="I27" s="20" t="s">
        <v>284</v>
      </c>
      <c r="J27" s="21"/>
      <c r="M27" s="21"/>
      <c r="N27" s="21"/>
      <c r="O27" s="42"/>
      <c r="P27" s="30"/>
      <c r="R27" s="21"/>
      <c r="S27" s="31"/>
      <c r="U27" s="16"/>
      <c r="V27" s="16"/>
      <c r="W27" s="16"/>
      <c r="X27" s="16"/>
      <c r="Y27" s="30"/>
      <c r="Z27" s="16" t="s">
        <v>174</v>
      </c>
    </row>
    <row r="28">
      <c r="A28" s="28">
        <v>46253.0</v>
      </c>
      <c r="B28" s="16" t="s">
        <v>288</v>
      </c>
      <c r="C28" s="20" t="s">
        <v>289</v>
      </c>
      <c r="D28" s="36"/>
      <c r="E28" s="20" t="s">
        <v>290</v>
      </c>
      <c r="F28" s="37" t="s">
        <v>291</v>
      </c>
      <c r="H28" s="21"/>
      <c r="I28" s="20" t="s">
        <v>284</v>
      </c>
      <c r="J28" s="21"/>
      <c r="M28" s="21"/>
      <c r="N28" s="21"/>
      <c r="O28" s="42"/>
      <c r="P28" s="30"/>
      <c r="R28" s="21"/>
      <c r="S28" s="31"/>
      <c r="U28" s="16"/>
      <c r="V28" s="16"/>
      <c r="W28" s="16"/>
      <c r="X28" s="16"/>
      <c r="Y28" s="30"/>
      <c r="Z28" s="16" t="s">
        <v>174</v>
      </c>
    </row>
    <row r="29">
      <c r="A29" s="28">
        <v>46253.0</v>
      </c>
      <c r="B29" s="16" t="s">
        <v>295</v>
      </c>
      <c r="C29" s="20" t="s">
        <v>296</v>
      </c>
      <c r="D29" s="36"/>
      <c r="E29" s="20" t="s">
        <v>297</v>
      </c>
      <c r="F29" s="37" t="s">
        <v>298</v>
      </c>
      <c r="H29" s="21"/>
      <c r="I29" s="20" t="s">
        <v>284</v>
      </c>
      <c r="J29" s="21"/>
      <c r="M29" s="21"/>
      <c r="N29" s="21"/>
      <c r="O29" s="42"/>
      <c r="P29" s="30">
        <v>46271.48946128473</v>
      </c>
      <c r="R29" s="21"/>
      <c r="S29" s="39">
        <v>46256.48946128473</v>
      </c>
      <c r="T29" s="34">
        <v>46256.48946128473</v>
      </c>
      <c r="U29" s="16" t="s">
        <v>159</v>
      </c>
      <c r="V29" s="16" t="b">
        <v>0</v>
      </c>
      <c r="W29" s="16">
        <v>0.0</v>
      </c>
      <c r="X29" s="16"/>
      <c r="Y29" s="30">
        <v>46271.48946128473</v>
      </c>
      <c r="Z29" s="16" t="s">
        <v>174</v>
      </c>
    </row>
    <row r="30">
      <c r="A30" s="28">
        <v>46253.0</v>
      </c>
      <c r="B30" s="16" t="s">
        <v>105</v>
      </c>
      <c r="C30" s="20" t="s">
        <v>300</v>
      </c>
      <c r="D30" s="20" t="s">
        <v>301</v>
      </c>
      <c r="E30" s="20" t="s">
        <v>302</v>
      </c>
      <c r="F30" s="37" t="s">
        <v>303</v>
      </c>
      <c r="H30" s="21"/>
      <c r="I30" s="20" t="s">
        <v>110</v>
      </c>
      <c r="J30" s="21"/>
      <c r="M30" s="21"/>
      <c r="N30" s="21"/>
      <c r="O30" s="26"/>
      <c r="P30" s="30">
        <v>46271.489335694445</v>
      </c>
      <c r="R30" s="21"/>
      <c r="S30" s="39">
        <v>46256.489335694445</v>
      </c>
      <c r="T30" s="34">
        <v>46256.489335694445</v>
      </c>
      <c r="U30" s="16" t="s">
        <v>159</v>
      </c>
      <c r="V30" s="16" t="b">
        <v>0</v>
      </c>
      <c r="W30" s="16">
        <v>0.0</v>
      </c>
      <c r="X30" s="16"/>
      <c r="Y30" s="30">
        <v>46271.489335694445</v>
      </c>
      <c r="Z30" s="16" t="s">
        <v>174</v>
      </c>
    </row>
    <row r="31">
      <c r="A31" s="28">
        <v>46253.0</v>
      </c>
      <c r="B31" s="16" t="s">
        <v>308</v>
      </c>
      <c r="C31" s="20" t="s">
        <v>309</v>
      </c>
      <c r="D31" s="20" t="s">
        <v>107</v>
      </c>
      <c r="E31" s="20" t="s">
        <v>310</v>
      </c>
      <c r="F31" s="37" t="s">
        <v>311</v>
      </c>
      <c r="H31" s="21"/>
      <c r="I31" s="20" t="s">
        <v>110</v>
      </c>
      <c r="J31" s="21"/>
      <c r="M31" s="21"/>
      <c r="N31" s="21"/>
      <c r="O31" s="26"/>
      <c r="P31" s="30">
        <v>46271.4771430324</v>
      </c>
      <c r="R31" s="21"/>
      <c r="S31" s="39">
        <v>46256.4771430324</v>
      </c>
      <c r="T31" s="34">
        <v>46256.4771430324</v>
      </c>
      <c r="U31" s="16" t="s">
        <v>159</v>
      </c>
      <c r="V31" s="16" t="b">
        <v>0</v>
      </c>
      <c r="W31" s="16">
        <v>0.0</v>
      </c>
      <c r="X31" s="16"/>
      <c r="Y31" s="30">
        <v>46271.4771430324</v>
      </c>
      <c r="Z31" s="16" t="s">
        <v>174</v>
      </c>
    </row>
    <row r="32">
      <c r="A32" s="28">
        <v>46253.0</v>
      </c>
      <c r="B32" s="16" t="s">
        <v>315</v>
      </c>
      <c r="C32" s="20" t="s">
        <v>316</v>
      </c>
      <c r="D32" s="20" t="s">
        <v>317</v>
      </c>
      <c r="E32" s="20" t="s">
        <v>318</v>
      </c>
      <c r="F32" s="37" t="s">
        <v>319</v>
      </c>
      <c r="H32" s="21"/>
      <c r="I32" s="20" t="s">
        <v>110</v>
      </c>
      <c r="J32" s="21"/>
      <c r="M32" s="21"/>
      <c r="N32" s="21"/>
      <c r="O32" s="42"/>
      <c r="P32" s="30"/>
      <c r="R32" s="21"/>
      <c r="S32" s="31"/>
      <c r="U32" s="16"/>
      <c r="V32" s="16"/>
      <c r="W32" s="16"/>
      <c r="X32" s="16"/>
      <c r="Y32" s="30"/>
      <c r="Z32" s="16" t="s">
        <v>174</v>
      </c>
    </row>
    <row r="33">
      <c r="A33" s="28">
        <v>46253.0</v>
      </c>
      <c r="B33" s="16" t="s">
        <v>320</v>
      </c>
      <c r="C33" s="20" t="s">
        <v>321</v>
      </c>
      <c r="D33" s="20" t="s">
        <v>322</v>
      </c>
      <c r="E33" s="20" t="s">
        <v>323</v>
      </c>
      <c r="F33" s="37" t="s">
        <v>324</v>
      </c>
      <c r="H33" s="21"/>
      <c r="I33" s="20" t="s">
        <v>110</v>
      </c>
      <c r="J33" s="21"/>
      <c r="M33" s="21"/>
      <c r="N33" s="21"/>
      <c r="O33" s="42"/>
      <c r="P33" s="30"/>
      <c r="R33" s="21"/>
      <c r="S33" s="31"/>
      <c r="U33" s="16"/>
      <c r="V33" s="16"/>
      <c r="W33" s="16"/>
      <c r="X33" s="16"/>
      <c r="Y33" s="30"/>
      <c r="Z33" s="16" t="s">
        <v>174</v>
      </c>
    </row>
    <row r="34">
      <c r="A34" s="28">
        <v>46253.0</v>
      </c>
      <c r="B34" s="16" t="s">
        <v>328</v>
      </c>
      <c r="C34" s="20" t="s">
        <v>329</v>
      </c>
      <c r="D34" s="20" t="s">
        <v>330</v>
      </c>
      <c r="E34" s="20" t="s">
        <v>331</v>
      </c>
      <c r="F34" s="37" t="s">
        <v>332</v>
      </c>
      <c r="H34" s="21"/>
      <c r="I34" s="20" t="s">
        <v>110</v>
      </c>
      <c r="J34" s="21"/>
      <c r="M34" s="21"/>
      <c r="N34" s="21"/>
      <c r="O34" s="42"/>
      <c r="P34" s="30"/>
      <c r="R34" s="21"/>
      <c r="S34" s="31"/>
      <c r="U34" s="16"/>
      <c r="V34" s="16"/>
      <c r="W34" s="16"/>
      <c r="X34" s="16"/>
      <c r="Y34" s="30"/>
      <c r="Z34" s="16" t="s">
        <v>174</v>
      </c>
    </row>
    <row r="35">
      <c r="A35" s="28">
        <v>46253.0</v>
      </c>
      <c r="B35" s="16" t="s">
        <v>333</v>
      </c>
      <c r="C35" s="20" t="s">
        <v>334</v>
      </c>
      <c r="D35" s="20" t="s">
        <v>335</v>
      </c>
      <c r="E35" s="20" t="s">
        <v>336</v>
      </c>
      <c r="F35" s="37" t="s">
        <v>337</v>
      </c>
      <c r="H35" s="21"/>
      <c r="I35" s="20" t="s">
        <v>110</v>
      </c>
      <c r="J35" s="21"/>
      <c r="M35" s="21"/>
      <c r="N35" s="21"/>
      <c r="O35" s="42"/>
      <c r="P35" s="30"/>
      <c r="R35" s="21"/>
      <c r="S35" s="31"/>
      <c r="U35" s="16"/>
      <c r="V35" s="16"/>
      <c r="W35" s="16"/>
      <c r="X35" s="16"/>
      <c r="Y35" s="30"/>
      <c r="Z35" s="16" t="s">
        <v>174</v>
      </c>
    </row>
    <row r="36">
      <c r="A36" s="28">
        <v>46253.0</v>
      </c>
      <c r="B36" s="16" t="s">
        <v>338</v>
      </c>
      <c r="C36" s="20" t="s">
        <v>339</v>
      </c>
      <c r="D36" s="20" t="s">
        <v>107</v>
      </c>
      <c r="E36" s="20" t="s">
        <v>340</v>
      </c>
      <c r="F36" s="37" t="s">
        <v>341</v>
      </c>
      <c r="H36" s="21"/>
      <c r="I36" s="20" t="s">
        <v>110</v>
      </c>
      <c r="J36" s="21"/>
      <c r="M36" s="21"/>
      <c r="N36" s="21"/>
      <c r="O36" s="42"/>
      <c r="P36" s="30"/>
      <c r="R36" s="21"/>
      <c r="S36" s="31"/>
      <c r="U36" s="16"/>
      <c r="V36" s="16"/>
      <c r="W36" s="16"/>
      <c r="X36" s="16"/>
      <c r="Y36" s="30"/>
      <c r="Z36" s="16" t="s">
        <v>174</v>
      </c>
    </row>
    <row r="37">
      <c r="A37" s="28">
        <v>46253.0</v>
      </c>
      <c r="B37" s="16" t="s">
        <v>345</v>
      </c>
      <c r="C37" s="20" t="s">
        <v>346</v>
      </c>
      <c r="D37" s="20" t="s">
        <v>107</v>
      </c>
      <c r="E37" s="20" t="s">
        <v>347</v>
      </c>
      <c r="F37" s="37" t="s">
        <v>348</v>
      </c>
      <c r="H37" s="21"/>
      <c r="I37" s="20" t="s">
        <v>110</v>
      </c>
      <c r="J37" s="21"/>
      <c r="M37" s="21"/>
      <c r="N37" s="21"/>
      <c r="O37" s="42"/>
      <c r="P37" s="30"/>
      <c r="R37" s="21"/>
      <c r="S37" s="31"/>
      <c r="U37" s="16"/>
      <c r="V37" s="16"/>
      <c r="W37" s="16"/>
      <c r="X37" s="16"/>
      <c r="Y37" s="30"/>
      <c r="Z37" s="16" t="s">
        <v>174</v>
      </c>
    </row>
    <row r="38">
      <c r="A38" s="28">
        <v>46253.0</v>
      </c>
      <c r="B38" s="16" t="s">
        <v>349</v>
      </c>
      <c r="C38" s="20" t="s">
        <v>350</v>
      </c>
      <c r="D38" s="20" t="s">
        <v>351</v>
      </c>
      <c r="E38" s="20" t="s">
        <v>352</v>
      </c>
      <c r="F38" s="37" t="s">
        <v>353</v>
      </c>
      <c r="H38" s="21"/>
      <c r="I38" s="20" t="s">
        <v>110</v>
      </c>
      <c r="J38" s="21"/>
      <c r="M38" s="21"/>
      <c r="N38" s="21"/>
      <c r="O38" s="42"/>
      <c r="P38" s="30"/>
      <c r="R38" s="21"/>
      <c r="S38" s="31"/>
      <c r="U38" s="16"/>
      <c r="V38" s="16"/>
      <c r="W38" s="16"/>
      <c r="X38" s="16"/>
      <c r="Y38" s="30"/>
      <c r="Z38" s="16" t="s">
        <v>174</v>
      </c>
    </row>
    <row r="39">
      <c r="A39" s="28">
        <v>46253.0</v>
      </c>
      <c r="B39" s="16" t="s">
        <v>357</v>
      </c>
      <c r="C39" s="20" t="s">
        <v>358</v>
      </c>
      <c r="D39" s="20" t="s">
        <v>359</v>
      </c>
      <c r="E39" s="20" t="s">
        <v>360</v>
      </c>
      <c r="F39" s="37" t="s">
        <v>361</v>
      </c>
      <c r="H39" s="21"/>
      <c r="I39" s="20" t="s">
        <v>110</v>
      </c>
      <c r="J39" s="21"/>
      <c r="M39" s="21"/>
      <c r="N39" s="21"/>
      <c r="O39" s="42"/>
      <c r="P39" s="30"/>
      <c r="R39" s="21"/>
      <c r="S39" s="31"/>
      <c r="U39" s="16"/>
      <c r="V39" s="16"/>
      <c r="W39" s="16"/>
      <c r="X39" s="16"/>
      <c r="Y39" s="30"/>
      <c r="Z39" s="16" t="s">
        <v>174</v>
      </c>
    </row>
    <row r="40">
      <c r="A40" s="28">
        <v>46253.0</v>
      </c>
      <c r="B40" s="16" t="s">
        <v>365</v>
      </c>
      <c r="C40" s="20" t="s">
        <v>366</v>
      </c>
      <c r="D40" s="20" t="s">
        <v>367</v>
      </c>
      <c r="E40" s="20" t="s">
        <v>368</v>
      </c>
      <c r="F40" s="37" t="s">
        <v>369</v>
      </c>
      <c r="H40" s="21"/>
      <c r="I40" s="20" t="s">
        <v>110</v>
      </c>
      <c r="J40" s="21"/>
      <c r="M40" s="21"/>
      <c r="N40" s="21"/>
      <c r="O40" s="42"/>
      <c r="P40" s="30"/>
      <c r="R40" s="21"/>
      <c r="S40" s="31"/>
      <c r="U40" s="16"/>
      <c r="V40" s="16"/>
      <c r="W40" s="16"/>
      <c r="X40" s="16"/>
      <c r="Y40" s="30"/>
      <c r="Z40" s="16" t="s">
        <v>174</v>
      </c>
    </row>
    <row r="41">
      <c r="A41" s="28">
        <v>46253.0</v>
      </c>
      <c r="B41" s="16" t="s">
        <v>371</v>
      </c>
      <c r="C41" s="20" t="s">
        <v>372</v>
      </c>
      <c r="D41" s="20" t="s">
        <v>373</v>
      </c>
      <c r="E41" s="20" t="s">
        <v>374</v>
      </c>
      <c r="F41" s="37" t="s">
        <v>353</v>
      </c>
      <c r="H41" s="21"/>
      <c r="I41" s="20" t="s">
        <v>110</v>
      </c>
      <c r="J41" s="21"/>
      <c r="M41" s="21"/>
      <c r="N41" s="21"/>
      <c r="O41" s="42"/>
      <c r="P41" s="30"/>
      <c r="R41" s="21"/>
      <c r="S41" s="31"/>
      <c r="U41" s="16"/>
      <c r="V41" s="16"/>
      <c r="W41" s="16"/>
      <c r="X41" s="16"/>
      <c r="Y41" s="30"/>
      <c r="Z41" s="16" t="s">
        <v>174</v>
      </c>
    </row>
    <row r="42">
      <c r="A42" s="28">
        <v>46253.0</v>
      </c>
      <c r="B42" s="16" t="s">
        <v>378</v>
      </c>
      <c r="C42" s="20" t="s">
        <v>379</v>
      </c>
      <c r="D42" s="20" t="s">
        <v>107</v>
      </c>
      <c r="E42" s="20" t="s">
        <v>380</v>
      </c>
      <c r="F42" s="37" t="s">
        <v>381</v>
      </c>
      <c r="H42" s="21"/>
      <c r="I42" s="20" t="s">
        <v>110</v>
      </c>
      <c r="J42" s="21"/>
      <c r="M42" s="21"/>
      <c r="N42" s="21"/>
      <c r="O42" s="42"/>
      <c r="P42" s="30"/>
      <c r="R42" s="21"/>
      <c r="S42" s="31"/>
      <c r="U42" s="16"/>
      <c r="V42" s="16"/>
      <c r="W42" s="16"/>
      <c r="X42" s="16"/>
      <c r="Y42" s="30"/>
      <c r="Z42" s="16" t="s">
        <v>174</v>
      </c>
    </row>
    <row r="43">
      <c r="A43" s="28">
        <v>46253.0</v>
      </c>
      <c r="B43" s="16" t="s">
        <v>385</v>
      </c>
      <c r="C43" s="20" t="s">
        <v>386</v>
      </c>
      <c r="D43" s="20" t="s">
        <v>387</v>
      </c>
      <c r="E43" s="20" t="s">
        <v>388</v>
      </c>
      <c r="F43" s="37" t="s">
        <v>341</v>
      </c>
      <c r="H43" s="21"/>
      <c r="I43" s="20" t="s">
        <v>110</v>
      </c>
      <c r="J43" s="21"/>
      <c r="M43" s="21"/>
      <c r="N43" s="21"/>
      <c r="O43" s="42"/>
      <c r="P43" s="30"/>
      <c r="R43" s="21"/>
      <c r="S43" s="31"/>
      <c r="U43" s="16"/>
      <c r="V43" s="16"/>
      <c r="W43" s="16"/>
      <c r="X43" s="16"/>
      <c r="Y43" s="30"/>
      <c r="Z43" s="16" t="s">
        <v>174</v>
      </c>
    </row>
    <row r="44">
      <c r="A44" s="28">
        <v>46253.0</v>
      </c>
      <c r="B44" s="16" t="s">
        <v>392</v>
      </c>
      <c r="C44" s="20" t="s">
        <v>393</v>
      </c>
      <c r="D44" s="20" t="s">
        <v>107</v>
      </c>
      <c r="E44" s="20" t="s">
        <v>394</v>
      </c>
      <c r="F44" s="37" t="s">
        <v>395</v>
      </c>
      <c r="H44" s="21"/>
      <c r="I44" s="20" t="s">
        <v>110</v>
      </c>
      <c r="J44" s="21"/>
      <c r="M44" s="21"/>
      <c r="N44" s="21"/>
      <c r="O44" s="42"/>
      <c r="P44" s="30"/>
      <c r="R44" s="21"/>
      <c r="S44" s="31"/>
      <c r="U44" s="16"/>
      <c r="V44" s="16"/>
      <c r="W44" s="16"/>
      <c r="X44" s="16"/>
      <c r="Y44" s="30"/>
      <c r="Z44" s="16" t="s">
        <v>174</v>
      </c>
    </row>
    <row r="45">
      <c r="A45" s="28">
        <v>46253.0</v>
      </c>
      <c r="B45" s="16" t="s">
        <v>400</v>
      </c>
      <c r="C45" s="20" t="s">
        <v>401</v>
      </c>
      <c r="D45" s="20" t="s">
        <v>107</v>
      </c>
      <c r="E45" s="20" t="s">
        <v>402</v>
      </c>
      <c r="F45" s="37" t="s">
        <v>403</v>
      </c>
      <c r="H45" s="21"/>
      <c r="I45" s="20" t="s">
        <v>110</v>
      </c>
      <c r="J45" s="21"/>
      <c r="M45" s="21"/>
      <c r="N45" s="21"/>
      <c r="O45" s="42"/>
      <c r="P45" s="30"/>
      <c r="R45" s="21"/>
      <c r="S45" s="31"/>
      <c r="U45" s="16"/>
      <c r="V45" s="16"/>
      <c r="W45" s="16"/>
      <c r="X45" s="16"/>
      <c r="Y45" s="30"/>
      <c r="Z45" s="16" t="s">
        <v>174</v>
      </c>
    </row>
    <row r="46">
      <c r="A46" s="28">
        <v>46253.0</v>
      </c>
      <c r="B46" s="16" t="s">
        <v>408</v>
      </c>
      <c r="C46" s="20" t="s">
        <v>409</v>
      </c>
      <c r="D46" s="20" t="s">
        <v>107</v>
      </c>
      <c r="E46" s="20" t="s">
        <v>410</v>
      </c>
      <c r="F46" s="37" t="s">
        <v>411</v>
      </c>
      <c r="H46" s="21"/>
      <c r="I46" s="20" t="s">
        <v>110</v>
      </c>
      <c r="J46" s="21"/>
      <c r="M46" s="21"/>
      <c r="N46" s="21"/>
      <c r="O46" s="42"/>
      <c r="P46" s="30"/>
      <c r="R46" s="21"/>
      <c r="S46" s="31"/>
      <c r="U46" s="16"/>
      <c r="V46" s="16"/>
      <c r="W46" s="16"/>
      <c r="X46" s="16"/>
      <c r="Y46" s="30"/>
      <c r="Z46" s="16" t="s">
        <v>174</v>
      </c>
    </row>
    <row r="47">
      <c r="A47" s="28">
        <v>46253.0</v>
      </c>
      <c r="B47" s="16" t="s">
        <v>416</v>
      </c>
      <c r="C47" s="20" t="s">
        <v>417</v>
      </c>
      <c r="D47" s="20" t="s">
        <v>418</v>
      </c>
      <c r="E47" s="20" t="s">
        <v>419</v>
      </c>
      <c r="F47" s="37" t="s">
        <v>395</v>
      </c>
      <c r="H47" s="21"/>
      <c r="I47" s="20" t="s">
        <v>110</v>
      </c>
      <c r="J47" s="21"/>
      <c r="M47" s="21"/>
      <c r="N47" s="21"/>
      <c r="O47" s="42"/>
      <c r="P47" s="30"/>
      <c r="R47" s="21"/>
      <c r="S47" s="31"/>
      <c r="U47" s="16"/>
      <c r="V47" s="16"/>
      <c r="W47" s="16"/>
      <c r="X47" s="16"/>
      <c r="Y47" s="30"/>
      <c r="Z47" s="16" t="s">
        <v>174</v>
      </c>
    </row>
    <row r="48">
      <c r="A48" s="28">
        <v>46253.0</v>
      </c>
      <c r="B48" s="16" t="s">
        <v>420</v>
      </c>
      <c r="C48" s="20" t="s">
        <v>421</v>
      </c>
      <c r="D48" s="20" t="s">
        <v>107</v>
      </c>
      <c r="E48" s="20" t="s">
        <v>424</v>
      </c>
      <c r="F48" s="37" t="s">
        <v>426</v>
      </c>
      <c r="H48" s="21"/>
      <c r="I48" s="20" t="s">
        <v>110</v>
      </c>
      <c r="J48" s="21"/>
      <c r="M48" s="21"/>
      <c r="N48" s="21"/>
      <c r="O48" s="42"/>
      <c r="P48" s="30"/>
      <c r="R48" s="21"/>
      <c r="S48" s="31"/>
      <c r="U48" s="16"/>
      <c r="V48" s="16"/>
      <c r="W48" s="16"/>
      <c r="X48" s="16"/>
      <c r="Y48" s="30"/>
      <c r="Z48" s="16" t="s">
        <v>174</v>
      </c>
    </row>
    <row r="49">
      <c r="A49" s="28">
        <v>46253.0</v>
      </c>
      <c r="B49" s="16" t="s">
        <v>428</v>
      </c>
      <c r="C49" s="20" t="s">
        <v>430</v>
      </c>
      <c r="D49" s="20" t="s">
        <v>107</v>
      </c>
      <c r="E49" s="20" t="s">
        <v>433</v>
      </c>
      <c r="F49" s="37" t="s">
        <v>395</v>
      </c>
      <c r="H49" s="21"/>
      <c r="I49" s="20" t="s">
        <v>110</v>
      </c>
      <c r="J49" s="21"/>
      <c r="M49" s="21"/>
      <c r="N49" s="21"/>
      <c r="O49" s="42"/>
      <c r="P49" s="30"/>
      <c r="R49" s="21"/>
      <c r="S49" s="31"/>
      <c r="U49" s="16"/>
      <c r="V49" s="16"/>
      <c r="W49" s="16"/>
      <c r="X49" s="16"/>
      <c r="Y49" s="30"/>
      <c r="Z49" s="16" t="s">
        <v>174</v>
      </c>
    </row>
    <row r="50">
      <c r="A50" s="28">
        <v>46253.0</v>
      </c>
      <c r="B50" s="16" t="s">
        <v>434</v>
      </c>
      <c r="C50" s="20" t="s">
        <v>435</v>
      </c>
      <c r="D50" s="20" t="s">
        <v>438</v>
      </c>
      <c r="E50" s="20" t="s">
        <v>439</v>
      </c>
      <c r="F50" s="37" t="s">
        <v>441</v>
      </c>
      <c r="H50" s="21"/>
      <c r="I50" s="20" t="s">
        <v>110</v>
      </c>
      <c r="J50" s="21"/>
      <c r="M50" s="21"/>
      <c r="N50" s="21"/>
      <c r="O50" s="42"/>
      <c r="P50" s="30"/>
      <c r="R50" s="21"/>
      <c r="S50" s="31"/>
      <c r="U50" s="16"/>
      <c r="V50" s="16"/>
      <c r="W50" s="16"/>
      <c r="X50" s="16"/>
      <c r="Y50" s="30"/>
      <c r="Z50" s="16" t="s">
        <v>174</v>
      </c>
    </row>
    <row r="51">
      <c r="A51" s="28">
        <v>46253.0</v>
      </c>
      <c r="B51" s="16" t="s">
        <v>442</v>
      </c>
      <c r="C51" s="20" t="s">
        <v>443</v>
      </c>
      <c r="D51" s="20" t="s">
        <v>107</v>
      </c>
      <c r="E51" s="20" t="s">
        <v>444</v>
      </c>
      <c r="F51" s="37" t="s">
        <v>403</v>
      </c>
      <c r="H51" s="21"/>
      <c r="I51" s="20" t="s">
        <v>110</v>
      </c>
      <c r="J51" s="21"/>
      <c r="M51" s="21"/>
      <c r="N51" s="21"/>
      <c r="O51" s="42"/>
      <c r="P51" s="30"/>
      <c r="R51" s="21"/>
      <c r="S51" s="31"/>
      <c r="U51" s="16"/>
      <c r="V51" s="16"/>
      <c r="W51" s="16"/>
      <c r="X51" s="16"/>
      <c r="Y51" s="30"/>
      <c r="Z51" s="16" t="s">
        <v>174</v>
      </c>
    </row>
    <row r="52">
      <c r="A52" s="28">
        <v>46253.0</v>
      </c>
      <c r="B52" s="16" t="s">
        <v>449</v>
      </c>
      <c r="C52" s="20" t="s">
        <v>450</v>
      </c>
      <c r="D52" s="43" t="s">
        <v>107</v>
      </c>
      <c r="E52" s="20" t="s">
        <v>454</v>
      </c>
      <c r="F52" s="37" t="s">
        <v>455</v>
      </c>
      <c r="H52" s="21"/>
      <c r="I52" s="20" t="s">
        <v>110</v>
      </c>
      <c r="J52" s="21"/>
      <c r="M52" s="21"/>
      <c r="N52" s="21"/>
      <c r="O52" s="42"/>
      <c r="P52" s="30"/>
      <c r="R52" s="21"/>
      <c r="S52" s="31"/>
      <c r="U52" s="16"/>
      <c r="V52" s="16"/>
      <c r="W52" s="16"/>
      <c r="X52" s="16"/>
      <c r="Y52" s="30"/>
      <c r="Z52" s="16" t="s">
        <v>174</v>
      </c>
    </row>
    <row r="53">
      <c r="A53" s="28">
        <v>46253.0</v>
      </c>
      <c r="B53" s="16" t="s">
        <v>458</v>
      </c>
      <c r="C53" s="20" t="s">
        <v>460</v>
      </c>
      <c r="D53" s="20" t="s">
        <v>107</v>
      </c>
      <c r="E53" s="20" t="s">
        <v>461</v>
      </c>
      <c r="F53" s="37" t="s">
        <v>462</v>
      </c>
      <c r="H53" s="21"/>
      <c r="I53" s="20" t="s">
        <v>110</v>
      </c>
      <c r="J53" s="21"/>
      <c r="M53" s="21"/>
      <c r="N53" s="21"/>
      <c r="O53" s="42"/>
      <c r="P53" s="30"/>
      <c r="R53" s="21"/>
      <c r="S53" s="31"/>
      <c r="U53" s="16"/>
      <c r="V53" s="16"/>
      <c r="W53" s="16"/>
      <c r="X53" s="16"/>
      <c r="Y53" s="30"/>
      <c r="Z53" s="16" t="s">
        <v>174</v>
      </c>
    </row>
    <row r="54">
      <c r="A54" s="28">
        <v>46253.0</v>
      </c>
      <c r="B54" s="16" t="s">
        <v>467</v>
      </c>
      <c r="C54" s="20" t="s">
        <v>468</v>
      </c>
      <c r="D54" s="20" t="s">
        <v>107</v>
      </c>
      <c r="E54" s="20" t="s">
        <v>469</v>
      </c>
      <c r="F54" s="37" t="s">
        <v>470</v>
      </c>
      <c r="H54" s="21"/>
      <c r="I54" s="20" t="s">
        <v>110</v>
      </c>
      <c r="J54" s="21"/>
      <c r="M54" s="21"/>
      <c r="N54" s="21"/>
      <c r="O54" s="42"/>
      <c r="P54" s="30"/>
      <c r="R54" s="21"/>
      <c r="S54" s="31"/>
      <c r="U54" s="16"/>
      <c r="V54" s="16"/>
      <c r="W54" s="16"/>
      <c r="X54" s="16"/>
      <c r="Y54" s="30"/>
      <c r="Z54" s="16" t="s">
        <v>174</v>
      </c>
    </row>
    <row r="55">
      <c r="A55" s="28">
        <v>46253.0</v>
      </c>
      <c r="B55" s="16" t="s">
        <v>475</v>
      </c>
      <c r="C55" s="20" t="s">
        <v>476</v>
      </c>
      <c r="D55" s="20" t="s">
        <v>107</v>
      </c>
      <c r="E55" s="20" t="s">
        <v>477</v>
      </c>
      <c r="F55" s="37" t="s">
        <v>478</v>
      </c>
      <c r="H55" s="21"/>
      <c r="I55" s="20" t="s">
        <v>110</v>
      </c>
      <c r="J55" s="21"/>
      <c r="M55" s="21"/>
      <c r="N55" s="21"/>
      <c r="O55" s="42"/>
      <c r="P55" s="30"/>
      <c r="R55" s="21"/>
      <c r="S55" s="31"/>
      <c r="U55" s="16"/>
      <c r="V55" s="16"/>
      <c r="W55" s="16"/>
      <c r="X55" s="16"/>
      <c r="Y55" s="30"/>
      <c r="Z55" s="16" t="s">
        <v>174</v>
      </c>
    </row>
    <row r="56">
      <c r="A56" s="28">
        <v>46253.0</v>
      </c>
      <c r="B56" s="16" t="s">
        <v>480</v>
      </c>
      <c r="C56" s="20" t="s">
        <v>481</v>
      </c>
      <c r="D56" s="20" t="s">
        <v>107</v>
      </c>
      <c r="E56" s="20" t="s">
        <v>484</v>
      </c>
      <c r="F56" s="37" t="s">
        <v>486</v>
      </c>
      <c r="H56" s="21"/>
      <c r="I56" s="20" t="s">
        <v>110</v>
      </c>
      <c r="J56" s="21"/>
      <c r="M56" s="21"/>
      <c r="N56" s="21"/>
      <c r="O56" s="42"/>
      <c r="P56" s="30"/>
      <c r="R56" s="21"/>
      <c r="S56" s="31"/>
      <c r="U56" s="16"/>
      <c r="V56" s="16"/>
      <c r="W56" s="16"/>
      <c r="X56" s="16"/>
      <c r="Y56" s="30"/>
      <c r="Z56" s="16" t="s">
        <v>174</v>
      </c>
    </row>
    <row r="57">
      <c r="A57" s="28">
        <v>46253.0</v>
      </c>
      <c r="B57" s="16" t="s">
        <v>488</v>
      </c>
      <c r="C57" s="20" t="s">
        <v>489</v>
      </c>
      <c r="D57" s="20" t="s">
        <v>107</v>
      </c>
      <c r="E57" s="20" t="s">
        <v>490</v>
      </c>
      <c r="F57" s="37" t="s">
        <v>491</v>
      </c>
      <c r="H57" s="21"/>
      <c r="I57" s="20" t="s">
        <v>110</v>
      </c>
      <c r="J57" s="21"/>
      <c r="M57" s="21"/>
      <c r="N57" s="21"/>
      <c r="O57" s="42"/>
      <c r="P57" s="30"/>
      <c r="R57" s="21"/>
      <c r="S57" s="31"/>
      <c r="U57" s="16"/>
      <c r="V57" s="16"/>
      <c r="W57" s="16"/>
      <c r="X57" s="16"/>
      <c r="Y57" s="30"/>
      <c r="Z57" s="16" t="s">
        <v>174</v>
      </c>
    </row>
    <row r="58">
      <c r="A58" s="28">
        <v>46253.0</v>
      </c>
      <c r="B58" s="16" t="s">
        <v>496</v>
      </c>
      <c r="C58" s="20" t="s">
        <v>497</v>
      </c>
      <c r="D58" s="20" t="s">
        <v>107</v>
      </c>
      <c r="E58" s="20" t="s">
        <v>498</v>
      </c>
      <c r="F58" s="37" t="s">
        <v>395</v>
      </c>
      <c r="H58" s="21"/>
      <c r="I58" s="20" t="s">
        <v>110</v>
      </c>
      <c r="J58" s="21"/>
      <c r="M58" s="21"/>
      <c r="N58" s="21"/>
      <c r="O58" s="42"/>
      <c r="P58" s="30"/>
      <c r="R58" s="21"/>
      <c r="S58" s="31"/>
      <c r="U58" s="16"/>
      <c r="V58" s="16"/>
      <c r="W58" s="16"/>
      <c r="X58" s="16"/>
      <c r="Y58" s="30"/>
      <c r="Z58" s="16" t="s">
        <v>174</v>
      </c>
    </row>
    <row r="59">
      <c r="A59" s="28">
        <v>46253.0</v>
      </c>
      <c r="B59" s="16" t="s">
        <v>502</v>
      </c>
      <c r="C59" s="20" t="s">
        <v>503</v>
      </c>
      <c r="D59" s="20" t="s">
        <v>504</v>
      </c>
      <c r="E59" s="20" t="s">
        <v>505</v>
      </c>
      <c r="F59" s="37" t="s">
        <v>403</v>
      </c>
      <c r="H59" s="21"/>
      <c r="I59" s="20" t="s">
        <v>110</v>
      </c>
      <c r="J59" s="21"/>
      <c r="M59" s="21"/>
      <c r="N59" s="21"/>
      <c r="O59" s="42"/>
      <c r="P59" s="30"/>
      <c r="R59" s="21"/>
      <c r="S59" s="31"/>
      <c r="U59" s="16"/>
      <c r="V59" s="16"/>
      <c r="W59" s="16"/>
      <c r="X59" s="16"/>
      <c r="Y59" s="30"/>
      <c r="Z59" s="16" t="s">
        <v>174</v>
      </c>
    </row>
    <row r="60">
      <c r="A60" s="28">
        <v>46253.0</v>
      </c>
      <c r="B60" s="16" t="s">
        <v>509</v>
      </c>
      <c r="C60" s="20" t="s">
        <v>510</v>
      </c>
      <c r="D60" s="20" t="s">
        <v>511</v>
      </c>
      <c r="E60" s="20" t="s">
        <v>512</v>
      </c>
      <c r="F60" s="37" t="s">
        <v>513</v>
      </c>
      <c r="H60" s="21"/>
      <c r="I60" s="20" t="s">
        <v>110</v>
      </c>
      <c r="J60" s="21"/>
      <c r="M60" s="21"/>
      <c r="N60" s="21"/>
      <c r="O60" s="42"/>
      <c r="P60" s="30"/>
      <c r="R60" s="21"/>
      <c r="S60" s="31"/>
      <c r="U60" s="16"/>
      <c r="V60" s="16"/>
      <c r="W60" s="16"/>
      <c r="X60" s="16"/>
      <c r="Y60" s="30"/>
      <c r="Z60" s="16" t="s">
        <v>174</v>
      </c>
    </row>
    <row r="61">
      <c r="A61" s="28">
        <v>46253.0</v>
      </c>
      <c r="B61" s="16" t="s">
        <v>518</v>
      </c>
      <c r="C61" s="20" t="s">
        <v>519</v>
      </c>
      <c r="D61" s="20" t="s">
        <v>520</v>
      </c>
      <c r="E61" s="20" t="s">
        <v>521</v>
      </c>
      <c r="F61" s="37" t="s">
        <v>522</v>
      </c>
      <c r="H61" s="21"/>
      <c r="I61" s="20" t="s">
        <v>110</v>
      </c>
      <c r="J61" s="21"/>
      <c r="M61" s="21"/>
      <c r="N61" s="21"/>
      <c r="O61" s="42"/>
      <c r="P61" s="30"/>
      <c r="R61" s="21"/>
      <c r="S61" s="31"/>
      <c r="U61" s="16"/>
      <c r="V61" s="16"/>
      <c r="W61" s="16"/>
      <c r="X61" s="16"/>
      <c r="Y61" s="30"/>
      <c r="Z61" s="16" t="s">
        <v>174</v>
      </c>
    </row>
    <row r="62">
      <c r="A62" s="28">
        <v>46253.0</v>
      </c>
      <c r="B62" s="16" t="s">
        <v>523</v>
      </c>
      <c r="C62" s="20" t="s">
        <v>524</v>
      </c>
      <c r="D62" s="20" t="s">
        <v>525</v>
      </c>
      <c r="E62" s="20" t="s">
        <v>526</v>
      </c>
      <c r="F62" s="37" t="s">
        <v>527</v>
      </c>
      <c r="H62" s="21"/>
      <c r="I62" s="20" t="s">
        <v>110</v>
      </c>
      <c r="J62" s="21"/>
      <c r="M62" s="21"/>
      <c r="N62" s="21"/>
      <c r="O62" s="42"/>
      <c r="P62" s="30"/>
      <c r="R62" s="21"/>
      <c r="S62" s="31"/>
      <c r="U62" s="16"/>
      <c r="V62" s="16"/>
      <c r="W62" s="16"/>
      <c r="X62" s="16"/>
      <c r="Y62" s="30"/>
      <c r="Z62" s="16" t="s">
        <v>174</v>
      </c>
    </row>
    <row r="63">
      <c r="A63" s="28">
        <v>46253.0</v>
      </c>
      <c r="B63" s="16" t="s">
        <v>532</v>
      </c>
      <c r="C63" s="20" t="s">
        <v>533</v>
      </c>
      <c r="D63" s="20" t="s">
        <v>107</v>
      </c>
      <c r="E63" s="20" t="s">
        <v>534</v>
      </c>
      <c r="F63" s="37" t="s">
        <v>535</v>
      </c>
      <c r="H63" s="21"/>
      <c r="I63" s="20" t="s">
        <v>110</v>
      </c>
      <c r="J63" s="21"/>
      <c r="M63" s="21"/>
      <c r="N63" s="21"/>
      <c r="O63" s="42"/>
      <c r="P63" s="30"/>
      <c r="R63" s="21"/>
      <c r="S63" s="31"/>
      <c r="U63" s="16"/>
      <c r="V63" s="16"/>
      <c r="W63" s="16"/>
      <c r="X63" s="16"/>
      <c r="Y63" s="30"/>
      <c r="Z63" s="16" t="s">
        <v>174</v>
      </c>
    </row>
    <row r="64">
      <c r="A64" s="28">
        <v>46253.0</v>
      </c>
      <c r="B64" s="16" t="s">
        <v>540</v>
      </c>
      <c r="C64" s="20" t="s">
        <v>541</v>
      </c>
      <c r="D64" s="20" t="s">
        <v>542</v>
      </c>
      <c r="E64" s="20" t="s">
        <v>543</v>
      </c>
      <c r="F64" s="37" t="s">
        <v>544</v>
      </c>
      <c r="H64" s="21"/>
      <c r="I64" s="20" t="s">
        <v>110</v>
      </c>
      <c r="J64" s="21"/>
      <c r="M64" s="21"/>
      <c r="N64" s="21"/>
      <c r="O64" s="42"/>
      <c r="P64" s="30"/>
      <c r="R64" s="21"/>
      <c r="S64" s="31"/>
      <c r="U64" s="16"/>
      <c r="V64" s="16"/>
      <c r="W64" s="16"/>
      <c r="X64" s="16"/>
      <c r="Y64" s="30"/>
      <c r="Z64" s="16" t="s">
        <v>174</v>
      </c>
    </row>
    <row r="65">
      <c r="A65" s="28">
        <v>46253.0</v>
      </c>
      <c r="B65" s="16" t="s">
        <v>547</v>
      </c>
      <c r="C65" s="20" t="s">
        <v>548</v>
      </c>
      <c r="D65" s="20" t="s">
        <v>107</v>
      </c>
      <c r="E65" s="20" t="s">
        <v>550</v>
      </c>
      <c r="F65" s="37" t="s">
        <v>403</v>
      </c>
      <c r="H65" s="21"/>
      <c r="I65" s="20" t="s">
        <v>110</v>
      </c>
      <c r="J65" s="21"/>
      <c r="M65" s="21"/>
      <c r="N65" s="21"/>
      <c r="O65" s="42"/>
      <c r="P65" s="30"/>
      <c r="R65" s="21"/>
      <c r="S65" s="31"/>
      <c r="U65" s="16"/>
      <c r="V65" s="16"/>
      <c r="W65" s="16"/>
      <c r="X65" s="16"/>
      <c r="Y65" s="30"/>
      <c r="Z65" s="16" t="s">
        <v>174</v>
      </c>
    </row>
    <row r="66">
      <c r="A66" s="28">
        <v>46253.0</v>
      </c>
      <c r="B66" s="16" t="s">
        <v>551</v>
      </c>
      <c r="C66" s="20" t="s">
        <v>552</v>
      </c>
      <c r="D66" s="20" t="s">
        <v>107</v>
      </c>
      <c r="E66" s="20" t="s">
        <v>553</v>
      </c>
      <c r="F66" s="37" t="s">
        <v>527</v>
      </c>
      <c r="H66" s="21"/>
      <c r="I66" s="20" t="s">
        <v>110</v>
      </c>
      <c r="J66" s="21"/>
      <c r="M66" s="21"/>
      <c r="N66" s="21"/>
      <c r="O66" s="42"/>
      <c r="P66" s="30"/>
      <c r="R66" s="21"/>
      <c r="S66" s="31"/>
      <c r="U66" s="16"/>
      <c r="V66" s="16"/>
      <c r="W66" s="16"/>
      <c r="X66" s="16"/>
      <c r="Y66" s="30"/>
      <c r="Z66" s="16" t="s">
        <v>174</v>
      </c>
    </row>
    <row r="67">
      <c r="A67" s="28">
        <v>46253.0</v>
      </c>
      <c r="B67" s="16" t="s">
        <v>554</v>
      </c>
      <c r="C67" s="20" t="s">
        <v>555</v>
      </c>
      <c r="D67" s="20" t="s">
        <v>107</v>
      </c>
      <c r="E67" s="20" t="s">
        <v>556</v>
      </c>
      <c r="F67" s="37" t="s">
        <v>557</v>
      </c>
      <c r="H67" s="21"/>
      <c r="I67" s="20" t="s">
        <v>110</v>
      </c>
      <c r="J67" s="21"/>
      <c r="M67" s="21"/>
      <c r="N67" s="21"/>
      <c r="O67" s="42"/>
      <c r="P67" s="30"/>
      <c r="R67" s="21"/>
      <c r="S67" s="31"/>
      <c r="U67" s="16"/>
      <c r="V67" s="16"/>
      <c r="W67" s="16"/>
      <c r="X67" s="16"/>
      <c r="Y67" s="30"/>
      <c r="Z67" s="16" t="s">
        <v>174</v>
      </c>
    </row>
    <row r="68">
      <c r="A68" s="28">
        <v>46253.0</v>
      </c>
      <c r="B68" s="16" t="s">
        <v>561</v>
      </c>
      <c r="C68" s="20" t="s">
        <v>562</v>
      </c>
      <c r="D68" s="20" t="s">
        <v>107</v>
      </c>
      <c r="E68" s="20" t="s">
        <v>563</v>
      </c>
      <c r="F68" s="37" t="s">
        <v>491</v>
      </c>
      <c r="H68" s="21"/>
      <c r="I68" s="20" t="s">
        <v>110</v>
      </c>
      <c r="J68" s="21"/>
      <c r="M68" s="21"/>
      <c r="N68" s="21"/>
      <c r="O68" s="42"/>
      <c r="P68" s="30"/>
      <c r="R68" s="21"/>
      <c r="S68" s="31"/>
      <c r="U68" s="16"/>
      <c r="V68" s="16"/>
      <c r="W68" s="16"/>
      <c r="X68" s="16"/>
      <c r="Y68" s="30"/>
      <c r="Z68" s="16" t="s">
        <v>174</v>
      </c>
    </row>
    <row r="69">
      <c r="A69" s="28">
        <v>46253.0</v>
      </c>
      <c r="B69" s="16" t="s">
        <v>565</v>
      </c>
      <c r="C69" s="20" t="s">
        <v>567</v>
      </c>
      <c r="D69" s="20" t="s">
        <v>107</v>
      </c>
      <c r="E69" s="20" t="s">
        <v>570</v>
      </c>
      <c r="F69" s="37" t="s">
        <v>571</v>
      </c>
      <c r="H69" s="21"/>
      <c r="I69" s="20" t="s">
        <v>110</v>
      </c>
      <c r="J69" s="21"/>
      <c r="M69" s="21"/>
      <c r="N69" s="21"/>
      <c r="O69" s="42"/>
      <c r="P69" s="30"/>
      <c r="R69" s="21"/>
      <c r="S69" s="31"/>
      <c r="U69" s="16"/>
      <c r="V69" s="16"/>
      <c r="W69" s="16"/>
      <c r="X69" s="16"/>
      <c r="Y69" s="30"/>
      <c r="Z69" s="16" t="s">
        <v>174</v>
      </c>
    </row>
    <row r="70">
      <c r="A70" s="28">
        <v>46253.0</v>
      </c>
      <c r="B70" s="16" t="s">
        <v>572</v>
      </c>
      <c r="C70" s="20" t="s">
        <v>573</v>
      </c>
      <c r="D70" s="20" t="s">
        <v>574</v>
      </c>
      <c r="E70" s="20" t="s">
        <v>576</v>
      </c>
      <c r="F70" s="37" t="s">
        <v>513</v>
      </c>
      <c r="H70" s="21"/>
      <c r="I70" s="20" t="s">
        <v>110</v>
      </c>
      <c r="J70" s="21"/>
      <c r="M70" s="21"/>
      <c r="N70" s="21"/>
      <c r="O70" s="42"/>
      <c r="P70" s="30"/>
      <c r="R70" s="21"/>
      <c r="S70" s="31"/>
      <c r="U70" s="16"/>
      <c r="V70" s="16"/>
      <c r="W70" s="16"/>
      <c r="X70" s="16"/>
      <c r="Y70" s="30"/>
      <c r="Z70" s="16" t="s">
        <v>174</v>
      </c>
    </row>
    <row r="71">
      <c r="A71" s="28">
        <v>46253.0</v>
      </c>
      <c r="B71" s="16" t="s">
        <v>579</v>
      </c>
      <c r="C71" s="20" t="s">
        <v>580</v>
      </c>
      <c r="D71" s="20" t="s">
        <v>581</v>
      </c>
      <c r="E71" s="20" t="s">
        <v>582</v>
      </c>
      <c r="F71" s="37" t="s">
        <v>403</v>
      </c>
      <c r="H71" s="21"/>
      <c r="I71" s="20" t="s">
        <v>110</v>
      </c>
      <c r="J71" s="21"/>
      <c r="M71" s="21"/>
      <c r="N71" s="21"/>
      <c r="O71" s="42"/>
      <c r="P71" s="30"/>
      <c r="R71" s="21"/>
      <c r="S71" s="31"/>
      <c r="U71" s="16"/>
      <c r="V71" s="16"/>
      <c r="W71" s="16"/>
      <c r="X71" s="16"/>
      <c r="Y71" s="30"/>
      <c r="Z71" s="16" t="s">
        <v>174</v>
      </c>
    </row>
    <row r="72">
      <c r="A72" s="28">
        <v>46253.0</v>
      </c>
      <c r="B72" s="16" t="s">
        <v>587</v>
      </c>
      <c r="C72" s="20" t="s">
        <v>588</v>
      </c>
      <c r="D72" s="20" t="s">
        <v>107</v>
      </c>
      <c r="E72" s="20" t="s">
        <v>589</v>
      </c>
      <c r="F72" s="37" t="s">
        <v>238</v>
      </c>
      <c r="H72" s="21"/>
      <c r="I72" s="20" t="s">
        <v>110</v>
      </c>
      <c r="J72" s="21"/>
      <c r="M72" s="21"/>
      <c r="N72" s="21"/>
      <c r="O72" s="42"/>
      <c r="P72" s="30"/>
      <c r="R72" s="21"/>
      <c r="S72" s="31"/>
      <c r="U72" s="16"/>
      <c r="V72" s="16"/>
      <c r="W72" s="16"/>
      <c r="X72" s="16"/>
      <c r="Y72" s="30"/>
      <c r="Z72" s="16" t="s">
        <v>174</v>
      </c>
    </row>
    <row r="73">
      <c r="A73" s="28">
        <v>46253.0</v>
      </c>
      <c r="B73" s="16" t="s">
        <v>591</v>
      </c>
      <c r="C73" s="20" t="s">
        <v>592</v>
      </c>
      <c r="D73" s="20" t="s">
        <v>107</v>
      </c>
      <c r="E73" s="20" t="s">
        <v>593</v>
      </c>
      <c r="F73" s="37" t="s">
        <v>238</v>
      </c>
      <c r="H73" s="21"/>
      <c r="I73" s="20" t="s">
        <v>110</v>
      </c>
      <c r="J73" s="21"/>
      <c r="M73" s="21"/>
      <c r="N73" s="21"/>
      <c r="O73" s="42"/>
      <c r="P73" s="30"/>
      <c r="R73" s="21"/>
      <c r="S73" s="31"/>
      <c r="U73" s="16"/>
      <c r="V73" s="16"/>
      <c r="W73" s="16"/>
      <c r="X73" s="16"/>
      <c r="Y73" s="30"/>
      <c r="Z73" s="16" t="s">
        <v>174</v>
      </c>
    </row>
    <row r="74">
      <c r="A74" s="28">
        <v>46253.0</v>
      </c>
      <c r="B74" s="16" t="s">
        <v>597</v>
      </c>
      <c r="C74" s="20" t="s">
        <v>598</v>
      </c>
      <c r="D74" s="20" t="s">
        <v>107</v>
      </c>
      <c r="E74" s="20" t="s">
        <v>600</v>
      </c>
      <c r="F74" s="37" t="s">
        <v>491</v>
      </c>
      <c r="H74" s="21"/>
      <c r="I74" s="20" t="s">
        <v>110</v>
      </c>
      <c r="J74" s="21"/>
      <c r="M74" s="21"/>
      <c r="N74" s="21"/>
      <c r="O74" s="42"/>
      <c r="P74" s="30"/>
      <c r="R74" s="21"/>
      <c r="S74" s="31"/>
      <c r="U74" s="16"/>
      <c r="V74" s="16"/>
      <c r="W74" s="16"/>
      <c r="X74" s="16"/>
      <c r="Y74" s="30"/>
      <c r="Z74" s="16" t="s">
        <v>174</v>
      </c>
    </row>
    <row r="75">
      <c r="A75" s="28">
        <v>46253.0</v>
      </c>
      <c r="B75" s="16" t="s">
        <v>608</v>
      </c>
      <c r="C75" s="20" t="s">
        <v>609</v>
      </c>
      <c r="D75" s="20" t="s">
        <v>107</v>
      </c>
      <c r="E75" s="20" t="s">
        <v>610</v>
      </c>
      <c r="F75" s="37" t="s">
        <v>611</v>
      </c>
      <c r="H75" s="21"/>
      <c r="I75" s="20" t="s">
        <v>110</v>
      </c>
      <c r="J75" s="21"/>
      <c r="M75" s="21"/>
      <c r="N75" s="21"/>
      <c r="O75" s="42"/>
      <c r="P75" s="30"/>
      <c r="R75" s="21"/>
      <c r="S75" s="31"/>
      <c r="U75" s="16"/>
      <c r="V75" s="16"/>
      <c r="W75" s="16"/>
      <c r="X75" s="16"/>
      <c r="Y75" s="30"/>
      <c r="Z75" s="16" t="s">
        <v>174</v>
      </c>
    </row>
    <row r="76">
      <c r="A76" s="28">
        <v>46253.0</v>
      </c>
      <c r="B76" s="16" t="s">
        <v>612</v>
      </c>
      <c r="C76" s="20" t="s">
        <v>613</v>
      </c>
      <c r="D76" s="20" t="s">
        <v>107</v>
      </c>
      <c r="E76" s="20" t="s">
        <v>615</v>
      </c>
      <c r="F76" s="37" t="s">
        <v>238</v>
      </c>
      <c r="H76" s="21"/>
      <c r="I76" s="20" t="s">
        <v>110</v>
      </c>
      <c r="J76" s="21"/>
      <c r="M76" s="21"/>
      <c r="N76" s="21"/>
      <c r="O76" s="42"/>
      <c r="P76" s="30"/>
      <c r="R76" s="21"/>
      <c r="S76" s="31"/>
      <c r="U76" s="16"/>
      <c r="V76" s="16"/>
      <c r="W76" s="16"/>
      <c r="X76" s="16"/>
      <c r="Y76" s="30"/>
      <c r="Z76" s="16" t="s">
        <v>174</v>
      </c>
    </row>
    <row r="77">
      <c r="A77" s="28">
        <v>46253.0</v>
      </c>
      <c r="B77" s="16" t="s">
        <v>619</v>
      </c>
      <c r="C77" s="20" t="s">
        <v>620</v>
      </c>
      <c r="D77" s="20" t="s">
        <v>107</v>
      </c>
      <c r="E77" s="20" t="s">
        <v>621</v>
      </c>
      <c r="F77" s="37" t="s">
        <v>403</v>
      </c>
      <c r="H77" s="21"/>
      <c r="I77" s="20" t="s">
        <v>110</v>
      </c>
      <c r="J77" s="21"/>
      <c r="M77" s="21"/>
      <c r="N77" s="21"/>
      <c r="O77" s="42"/>
      <c r="P77" s="30"/>
      <c r="R77" s="21"/>
      <c r="S77" s="31"/>
      <c r="U77" s="16"/>
      <c r="V77" s="16"/>
      <c r="W77" s="16"/>
      <c r="X77" s="16"/>
      <c r="Y77" s="30"/>
      <c r="Z77" s="16" t="s">
        <v>174</v>
      </c>
    </row>
    <row r="78">
      <c r="A78" s="28">
        <v>46253.0</v>
      </c>
      <c r="B78" s="16" t="s">
        <v>625</v>
      </c>
      <c r="C78" s="20" t="s">
        <v>626</v>
      </c>
      <c r="D78" s="36" t="str">
        <f>+91 9541227719</f>
        <v>#ERROR!</v>
      </c>
      <c r="E78" s="20" t="s">
        <v>628</v>
      </c>
      <c r="F78" s="41"/>
      <c r="H78" s="21"/>
      <c r="I78" s="20" t="s">
        <v>629</v>
      </c>
      <c r="J78" s="21"/>
      <c r="M78" s="21"/>
      <c r="N78" s="21"/>
      <c r="O78" s="42"/>
      <c r="P78" s="30"/>
      <c r="R78" s="21"/>
      <c r="S78" s="31"/>
      <c r="U78" s="16"/>
      <c r="V78" s="16"/>
      <c r="W78" s="16"/>
      <c r="X78" s="16"/>
      <c r="Y78" s="30"/>
      <c r="Z78" s="16" t="s">
        <v>174</v>
      </c>
    </row>
    <row r="79">
      <c r="A79" s="28">
        <v>46253.0</v>
      </c>
      <c r="B79" s="16" t="s">
        <v>633</v>
      </c>
      <c r="C79" s="20" t="s">
        <v>634</v>
      </c>
      <c r="D79" s="36"/>
      <c r="E79" s="20" t="s">
        <v>635</v>
      </c>
      <c r="F79" s="41"/>
      <c r="H79" s="21"/>
      <c r="I79" s="20" t="s">
        <v>636</v>
      </c>
      <c r="J79" s="21"/>
      <c r="M79" s="21"/>
      <c r="N79" s="21"/>
      <c r="O79" s="42"/>
      <c r="P79" s="30"/>
      <c r="R79" s="21"/>
      <c r="S79" s="31"/>
      <c r="U79" s="16"/>
      <c r="V79" s="16"/>
      <c r="W79" s="16"/>
      <c r="X79" s="16"/>
      <c r="Y79" s="30"/>
      <c r="Z79" s="16" t="s">
        <v>174</v>
      </c>
    </row>
    <row r="80">
      <c r="A80" s="28">
        <v>46253.0</v>
      </c>
      <c r="B80" s="16" t="s">
        <v>640</v>
      </c>
      <c r="C80" s="20" t="s">
        <v>641</v>
      </c>
      <c r="D80" s="36"/>
      <c r="E80" s="20" t="s">
        <v>642</v>
      </c>
      <c r="F80" s="41"/>
      <c r="H80" s="21"/>
      <c r="I80" s="20" t="s">
        <v>110</v>
      </c>
      <c r="J80" s="21"/>
      <c r="M80" s="21"/>
      <c r="N80" s="21"/>
      <c r="O80" s="42"/>
      <c r="P80" s="30"/>
      <c r="R80" s="21"/>
      <c r="S80" s="31"/>
      <c r="U80" s="16"/>
      <c r="V80" s="16"/>
      <c r="W80" s="16"/>
      <c r="X80" s="16"/>
      <c r="Y80" s="30"/>
      <c r="Z80" s="16" t="s">
        <v>174</v>
      </c>
    </row>
    <row r="81">
      <c r="A81" s="28">
        <v>46253.0</v>
      </c>
      <c r="B81" s="16" t="s">
        <v>643</v>
      </c>
      <c r="C81" s="20" t="s">
        <v>644</v>
      </c>
      <c r="D81" s="36"/>
      <c r="E81" s="20" t="s">
        <v>645</v>
      </c>
      <c r="F81" s="41"/>
      <c r="H81" s="21"/>
      <c r="I81" s="20" t="s">
        <v>110</v>
      </c>
      <c r="J81" s="21"/>
      <c r="M81" s="21"/>
      <c r="N81" s="21"/>
      <c r="O81" s="42"/>
      <c r="P81" s="30"/>
      <c r="R81" s="21"/>
      <c r="S81" s="31"/>
      <c r="U81" s="16"/>
      <c r="V81" s="16"/>
      <c r="W81" s="16"/>
      <c r="X81" s="16"/>
      <c r="Y81" s="30"/>
      <c r="Z81" s="16" t="s">
        <v>174</v>
      </c>
    </row>
    <row r="82">
      <c r="A82" s="28">
        <v>46253.0</v>
      </c>
      <c r="B82" s="16" t="s">
        <v>649</v>
      </c>
      <c r="C82" s="20" t="s">
        <v>650</v>
      </c>
      <c r="D82" s="36"/>
      <c r="E82" s="20" t="s">
        <v>651</v>
      </c>
      <c r="F82" s="41"/>
      <c r="H82" s="21"/>
      <c r="I82" s="36"/>
      <c r="J82" s="21"/>
      <c r="M82" s="21"/>
      <c r="N82" s="21"/>
      <c r="O82" s="42"/>
      <c r="P82" s="30"/>
      <c r="R82" s="21"/>
      <c r="S82" s="31"/>
      <c r="U82" s="16"/>
      <c r="V82" s="16"/>
      <c r="W82" s="16"/>
      <c r="X82" s="16"/>
      <c r="Y82" s="30"/>
      <c r="Z82" s="16" t="s">
        <v>174</v>
      </c>
    </row>
    <row r="83">
      <c r="A83" s="28">
        <v>46253.0</v>
      </c>
      <c r="B83" s="16" t="s">
        <v>653</v>
      </c>
      <c r="C83" s="20" t="s">
        <v>654</v>
      </c>
      <c r="D83" s="36"/>
      <c r="E83" s="20" t="s">
        <v>655</v>
      </c>
      <c r="F83" s="41"/>
      <c r="H83" s="21"/>
      <c r="I83" s="20" t="s">
        <v>656</v>
      </c>
      <c r="J83" s="17" t="s">
        <v>657</v>
      </c>
      <c r="M83" s="21"/>
      <c r="N83" s="21"/>
      <c r="O83" s="42"/>
      <c r="P83" s="30"/>
      <c r="R83" s="21"/>
      <c r="S83" s="31"/>
      <c r="U83" s="16"/>
      <c r="V83" s="16"/>
      <c r="W83" s="16"/>
      <c r="X83" s="16"/>
      <c r="Y83" s="30"/>
      <c r="Z83" s="16" t="s">
        <v>174</v>
      </c>
    </row>
    <row r="84">
      <c r="A84" s="28">
        <v>46253.0</v>
      </c>
      <c r="B84" s="16" t="s">
        <v>661</v>
      </c>
      <c r="C84" s="20" t="s">
        <v>662</v>
      </c>
      <c r="D84" s="36"/>
      <c r="E84" s="20" t="s">
        <v>663</v>
      </c>
      <c r="F84" s="41"/>
      <c r="H84" s="21"/>
      <c r="I84" s="20" t="s">
        <v>664</v>
      </c>
      <c r="J84" s="21"/>
      <c r="M84" s="21"/>
      <c r="N84" s="21"/>
      <c r="O84" s="42"/>
      <c r="P84" s="30"/>
      <c r="R84" s="21"/>
      <c r="S84" s="31"/>
      <c r="U84" s="16"/>
      <c r="V84" s="16"/>
      <c r="W84" s="16"/>
      <c r="X84" s="16"/>
      <c r="Y84" s="30"/>
      <c r="Z84" s="16" t="s">
        <v>174</v>
      </c>
    </row>
    <row r="85">
      <c r="A85" s="28">
        <v>46253.0</v>
      </c>
      <c r="B85" s="16" t="s">
        <v>665</v>
      </c>
      <c r="C85" s="20" t="s">
        <v>666</v>
      </c>
      <c r="D85" s="36"/>
      <c r="E85" s="20" t="s">
        <v>667</v>
      </c>
      <c r="F85" s="41"/>
      <c r="H85" s="21"/>
      <c r="I85" s="20" t="s">
        <v>664</v>
      </c>
      <c r="J85" s="21"/>
      <c r="M85" s="21"/>
      <c r="N85" s="21"/>
      <c r="O85" s="42"/>
      <c r="P85" s="30"/>
      <c r="R85" s="21"/>
      <c r="S85" s="31"/>
      <c r="U85" s="16"/>
      <c r="V85" s="16"/>
      <c r="W85" s="16"/>
      <c r="X85" s="16"/>
      <c r="Y85" s="30"/>
      <c r="Z85" s="16" t="s">
        <v>174</v>
      </c>
    </row>
    <row r="86">
      <c r="A86" s="28">
        <v>46253.0</v>
      </c>
      <c r="B86" s="16" t="s">
        <v>671</v>
      </c>
      <c r="C86" s="20" t="s">
        <v>672</v>
      </c>
      <c r="D86" s="36"/>
      <c r="E86" s="20" t="s">
        <v>673</v>
      </c>
      <c r="F86" s="37" t="s">
        <v>674</v>
      </c>
      <c r="H86" s="21"/>
      <c r="I86" s="20" t="s">
        <v>675</v>
      </c>
      <c r="J86" s="21"/>
      <c r="M86" s="21"/>
      <c r="N86" s="21"/>
      <c r="O86" s="42"/>
      <c r="P86" s="30"/>
      <c r="R86" s="21"/>
      <c r="S86" s="31"/>
      <c r="U86" s="16"/>
      <c r="V86" s="16"/>
      <c r="W86" s="16"/>
      <c r="X86" s="16"/>
      <c r="Y86" s="30"/>
      <c r="Z86" s="16" t="s">
        <v>174</v>
      </c>
    </row>
    <row r="87">
      <c r="A87" s="28">
        <v>46253.0</v>
      </c>
      <c r="B87" s="16" t="s">
        <v>676</v>
      </c>
      <c r="C87" s="20" t="s">
        <v>677</v>
      </c>
      <c r="D87" s="36"/>
      <c r="E87" s="20" t="s">
        <v>679</v>
      </c>
      <c r="F87" s="41"/>
      <c r="H87" s="21"/>
      <c r="I87" s="20" t="s">
        <v>675</v>
      </c>
      <c r="J87" s="21"/>
      <c r="M87" s="21"/>
      <c r="N87" s="21"/>
      <c r="O87" s="42"/>
      <c r="P87" s="30"/>
      <c r="R87" s="21"/>
      <c r="S87" s="31"/>
      <c r="U87" s="16"/>
      <c r="V87" s="16"/>
      <c r="W87" s="16"/>
      <c r="X87" s="16"/>
      <c r="Y87" s="30"/>
      <c r="Z87" s="16" t="s">
        <v>174</v>
      </c>
    </row>
    <row r="88">
      <c r="A88" s="28">
        <v>46253.0</v>
      </c>
      <c r="B88" s="16" t="s">
        <v>682</v>
      </c>
      <c r="C88" s="20" t="s">
        <v>683</v>
      </c>
      <c r="D88" s="36"/>
      <c r="E88" s="20" t="s">
        <v>684</v>
      </c>
      <c r="F88" s="41"/>
      <c r="H88" s="21"/>
      <c r="I88" s="20" t="s">
        <v>675</v>
      </c>
      <c r="J88" s="21"/>
      <c r="M88" s="21"/>
      <c r="N88" s="21"/>
      <c r="O88" s="42"/>
      <c r="P88" s="30"/>
      <c r="R88" s="21"/>
      <c r="S88" s="31"/>
      <c r="U88" s="16"/>
      <c r="V88" s="16"/>
      <c r="W88" s="16"/>
      <c r="X88" s="16"/>
      <c r="Y88" s="30"/>
      <c r="Z88" s="16" t="s">
        <v>174</v>
      </c>
    </row>
    <row r="89">
      <c r="A89" s="28">
        <v>46253.0</v>
      </c>
      <c r="B89" s="16" t="s">
        <v>685</v>
      </c>
      <c r="C89" s="20" t="s">
        <v>686</v>
      </c>
      <c r="D89" s="20" t="s">
        <v>107</v>
      </c>
      <c r="E89" s="20" t="s">
        <v>689</v>
      </c>
      <c r="F89" s="37" t="s">
        <v>691</v>
      </c>
      <c r="H89" s="21"/>
      <c r="I89" s="20" t="s">
        <v>692</v>
      </c>
      <c r="J89" s="21"/>
      <c r="M89" s="21"/>
      <c r="N89" s="21"/>
      <c r="O89" s="42"/>
      <c r="P89" s="30"/>
      <c r="R89" s="21"/>
      <c r="S89" s="31"/>
      <c r="U89" s="16"/>
      <c r="V89" s="16"/>
      <c r="W89" s="16"/>
      <c r="X89" s="16"/>
      <c r="Y89" s="30"/>
      <c r="Z89" s="16" t="s">
        <v>174</v>
      </c>
    </row>
    <row r="90">
      <c r="A90" s="28">
        <v>46253.0</v>
      </c>
      <c r="B90" s="16" t="s">
        <v>693</v>
      </c>
      <c r="C90" s="20" t="s">
        <v>694</v>
      </c>
      <c r="D90" s="20" t="s">
        <v>107</v>
      </c>
      <c r="E90" s="20" t="s">
        <v>695</v>
      </c>
      <c r="F90" s="37" t="s">
        <v>696</v>
      </c>
      <c r="H90" s="21"/>
      <c r="I90" s="20" t="s">
        <v>692</v>
      </c>
      <c r="J90" s="21"/>
      <c r="M90" s="21"/>
      <c r="N90" s="21"/>
      <c r="O90" s="42"/>
      <c r="P90" s="30"/>
      <c r="R90" s="21"/>
      <c r="S90" s="31"/>
      <c r="U90" s="16"/>
      <c r="V90" s="16"/>
      <c r="W90" s="16"/>
      <c r="X90" s="16"/>
      <c r="Y90" s="30"/>
      <c r="Z90" s="16" t="s">
        <v>174</v>
      </c>
    </row>
    <row r="91">
      <c r="A91" s="28">
        <v>46253.0</v>
      </c>
      <c r="B91" s="16" t="s">
        <v>699</v>
      </c>
      <c r="C91" s="20" t="s">
        <v>700</v>
      </c>
      <c r="D91" s="36"/>
      <c r="E91" s="20" t="s">
        <v>702</v>
      </c>
      <c r="F91" s="37" t="s">
        <v>703</v>
      </c>
      <c r="H91" s="21"/>
      <c r="I91" s="20" t="s">
        <v>692</v>
      </c>
      <c r="J91" s="21"/>
      <c r="M91" s="21"/>
      <c r="N91" s="21"/>
      <c r="O91" s="42"/>
      <c r="P91" s="30"/>
      <c r="R91" s="21"/>
      <c r="S91" s="31"/>
      <c r="U91" s="16"/>
      <c r="V91" s="16"/>
      <c r="W91" s="16"/>
      <c r="X91" s="16"/>
      <c r="Y91" s="30"/>
      <c r="Z91" s="16" t="s">
        <v>174</v>
      </c>
    </row>
    <row r="92">
      <c r="A92" s="28">
        <v>46253.0</v>
      </c>
      <c r="B92" s="16" t="s">
        <v>704</v>
      </c>
      <c r="C92" s="20" t="s">
        <v>705</v>
      </c>
      <c r="D92" s="20" t="s">
        <v>107</v>
      </c>
      <c r="E92" s="20" t="s">
        <v>706</v>
      </c>
      <c r="F92" s="37" t="s">
        <v>403</v>
      </c>
      <c r="H92" s="21"/>
      <c r="I92" s="20" t="s">
        <v>692</v>
      </c>
      <c r="J92" s="21"/>
      <c r="M92" s="21"/>
      <c r="N92" s="21"/>
      <c r="O92" s="42"/>
      <c r="P92" s="30"/>
      <c r="R92" s="21"/>
      <c r="S92" s="31"/>
      <c r="U92" s="16"/>
      <c r="V92" s="16"/>
      <c r="W92" s="16"/>
      <c r="X92" s="16"/>
      <c r="Y92" s="30"/>
      <c r="Z92" s="16" t="s">
        <v>174</v>
      </c>
    </row>
    <row r="93">
      <c r="A93" s="28">
        <v>46253.0</v>
      </c>
      <c r="B93" s="16" t="s">
        <v>710</v>
      </c>
      <c r="C93" s="20" t="s">
        <v>711</v>
      </c>
      <c r="D93" s="36"/>
      <c r="E93" s="20" t="s">
        <v>712</v>
      </c>
      <c r="F93" s="37" t="s">
        <v>395</v>
      </c>
      <c r="H93" s="21"/>
      <c r="I93" s="20" t="s">
        <v>692</v>
      </c>
      <c r="J93" s="21"/>
      <c r="M93" s="21"/>
      <c r="N93" s="21"/>
      <c r="O93" s="42"/>
      <c r="P93" s="30"/>
      <c r="R93" s="21"/>
      <c r="S93" s="31"/>
      <c r="U93" s="16"/>
      <c r="V93" s="16"/>
      <c r="W93" s="16"/>
      <c r="X93" s="16"/>
      <c r="Y93" s="30"/>
      <c r="Z93" s="16" t="s">
        <v>174</v>
      </c>
    </row>
    <row r="94">
      <c r="A94" s="28">
        <v>46253.0</v>
      </c>
      <c r="B94" s="16" t="s">
        <v>714</v>
      </c>
      <c r="C94" s="20" t="s">
        <v>715</v>
      </c>
      <c r="D94" s="20" t="s">
        <v>107</v>
      </c>
      <c r="E94" s="20" t="s">
        <v>716</v>
      </c>
      <c r="F94" s="37" t="s">
        <v>403</v>
      </c>
      <c r="H94" s="21"/>
      <c r="I94" s="20" t="s">
        <v>717</v>
      </c>
      <c r="J94" s="21"/>
      <c r="M94" s="21"/>
      <c r="N94" s="21"/>
      <c r="O94" s="42"/>
      <c r="P94" s="30"/>
      <c r="R94" s="21"/>
      <c r="S94" s="31"/>
      <c r="U94" s="16"/>
      <c r="V94" s="16"/>
      <c r="W94" s="16"/>
      <c r="X94" s="16"/>
      <c r="Y94" s="30"/>
      <c r="Z94" s="16" t="s">
        <v>174</v>
      </c>
    </row>
    <row r="95">
      <c r="A95" s="28">
        <v>46253.0</v>
      </c>
      <c r="B95" s="16" t="s">
        <v>721</v>
      </c>
      <c r="C95" s="20" t="s">
        <v>722</v>
      </c>
      <c r="D95" s="20" t="s">
        <v>107</v>
      </c>
      <c r="E95" s="20" t="s">
        <v>723</v>
      </c>
      <c r="F95" s="37" t="s">
        <v>724</v>
      </c>
      <c r="H95" s="21"/>
      <c r="I95" s="20" t="s">
        <v>717</v>
      </c>
      <c r="J95" s="21"/>
      <c r="M95" s="21"/>
      <c r="N95" s="21"/>
      <c r="O95" s="42"/>
      <c r="P95" s="30"/>
      <c r="R95" s="21"/>
      <c r="S95" s="31"/>
      <c r="U95" s="16"/>
      <c r="V95" s="16"/>
      <c r="W95" s="16"/>
      <c r="X95" s="16"/>
      <c r="Y95" s="30"/>
      <c r="Z95" s="16" t="s">
        <v>174</v>
      </c>
    </row>
    <row r="96">
      <c r="A96" s="28">
        <v>46253.0</v>
      </c>
      <c r="B96" s="16" t="s">
        <v>725</v>
      </c>
      <c r="C96" s="20" t="s">
        <v>726</v>
      </c>
      <c r="D96" s="20" t="s">
        <v>107</v>
      </c>
      <c r="E96" s="36"/>
      <c r="F96" s="37" t="s">
        <v>727</v>
      </c>
      <c r="H96" s="21"/>
      <c r="I96" s="20" t="s">
        <v>717</v>
      </c>
      <c r="J96" s="21"/>
      <c r="M96" s="21"/>
      <c r="N96" s="21"/>
      <c r="O96" s="42"/>
      <c r="P96" s="30"/>
      <c r="R96" s="21"/>
      <c r="S96" s="31"/>
      <c r="U96" s="16"/>
      <c r="V96" s="16"/>
      <c r="W96" s="16"/>
      <c r="X96" s="16"/>
      <c r="Y96" s="30"/>
      <c r="Z96" s="16" t="s">
        <v>174</v>
      </c>
    </row>
    <row r="97">
      <c r="A97" s="28">
        <v>46253.0</v>
      </c>
      <c r="B97" s="16" t="s">
        <v>731</v>
      </c>
      <c r="C97" s="20" t="s">
        <v>732</v>
      </c>
      <c r="D97" s="20" t="s">
        <v>107</v>
      </c>
      <c r="E97" s="36"/>
      <c r="F97" s="37" t="s">
        <v>733</v>
      </c>
      <c r="H97" s="21"/>
      <c r="I97" s="20" t="s">
        <v>717</v>
      </c>
      <c r="J97" s="21"/>
      <c r="M97" s="21"/>
      <c r="N97" s="21"/>
      <c r="O97" s="42"/>
      <c r="P97" s="30"/>
      <c r="R97" s="21"/>
      <c r="S97" s="31"/>
      <c r="U97" s="16"/>
      <c r="V97" s="16"/>
      <c r="W97" s="16"/>
      <c r="X97" s="16"/>
      <c r="Y97" s="30"/>
      <c r="Z97" s="16" t="s">
        <v>174</v>
      </c>
    </row>
    <row r="98">
      <c r="A98" s="28">
        <v>46253.0</v>
      </c>
      <c r="B98" s="16" t="s">
        <v>734</v>
      </c>
      <c r="C98" s="20" t="s">
        <v>735</v>
      </c>
      <c r="D98" s="20" t="s">
        <v>107</v>
      </c>
      <c r="E98" s="20" t="s">
        <v>736</v>
      </c>
      <c r="F98" s="37" t="s">
        <v>403</v>
      </c>
      <c r="H98" s="21"/>
      <c r="I98" s="20" t="s">
        <v>717</v>
      </c>
      <c r="J98" s="21"/>
      <c r="M98" s="21"/>
      <c r="N98" s="21"/>
      <c r="O98" s="42"/>
      <c r="P98" s="30"/>
      <c r="R98" s="21"/>
      <c r="S98" s="31"/>
      <c r="U98" s="16"/>
      <c r="V98" s="16"/>
      <c r="W98" s="16"/>
      <c r="X98" s="16"/>
      <c r="Y98" s="30"/>
      <c r="Z98" s="16" t="s">
        <v>174</v>
      </c>
    </row>
    <row r="99">
      <c r="A99" s="28">
        <v>46253.0</v>
      </c>
      <c r="B99" s="16" t="s">
        <v>740</v>
      </c>
      <c r="C99" s="20" t="s">
        <v>741</v>
      </c>
      <c r="D99" s="20" t="s">
        <v>107</v>
      </c>
      <c r="E99" s="20" t="s">
        <v>742</v>
      </c>
      <c r="F99" s="37" t="s">
        <v>743</v>
      </c>
      <c r="H99" s="21"/>
      <c r="I99" s="20" t="s">
        <v>717</v>
      </c>
      <c r="J99" s="21"/>
      <c r="M99" s="21"/>
      <c r="N99" s="21"/>
      <c r="O99" s="42"/>
      <c r="P99" s="30"/>
      <c r="R99" s="21"/>
      <c r="S99" s="31"/>
      <c r="U99" s="16"/>
      <c r="V99" s="16"/>
      <c r="W99" s="16"/>
      <c r="X99" s="16"/>
      <c r="Y99" s="30"/>
      <c r="Z99" s="16" t="s">
        <v>174</v>
      </c>
    </row>
    <row r="100">
      <c r="A100" s="28">
        <v>46253.0</v>
      </c>
      <c r="B100" s="16" t="s">
        <v>744</v>
      </c>
      <c r="C100" s="20" t="s">
        <v>745</v>
      </c>
      <c r="D100" s="20" t="s">
        <v>107</v>
      </c>
      <c r="E100" s="36"/>
      <c r="F100" s="37" t="s">
        <v>395</v>
      </c>
      <c r="H100" s="21"/>
      <c r="I100" s="20" t="s">
        <v>717</v>
      </c>
      <c r="J100" s="21"/>
      <c r="M100" s="21"/>
      <c r="N100" s="21"/>
      <c r="O100" s="42"/>
      <c r="P100" s="30"/>
      <c r="R100" s="21"/>
      <c r="S100" s="31"/>
      <c r="U100" s="16"/>
      <c r="V100" s="16"/>
      <c r="W100" s="16"/>
      <c r="X100" s="16"/>
      <c r="Y100" s="30"/>
      <c r="Z100" s="16" t="s">
        <v>174</v>
      </c>
    </row>
    <row r="101">
      <c r="A101" s="28">
        <v>46253.0</v>
      </c>
      <c r="B101" s="16" t="s">
        <v>749</v>
      </c>
      <c r="C101" s="20" t="s">
        <v>750</v>
      </c>
      <c r="D101" s="20" t="s">
        <v>107</v>
      </c>
      <c r="E101" s="36"/>
      <c r="F101" s="37" t="s">
        <v>403</v>
      </c>
      <c r="H101" s="21"/>
      <c r="I101" s="20" t="s">
        <v>717</v>
      </c>
      <c r="J101" s="21"/>
      <c r="M101" s="21"/>
      <c r="N101" s="21"/>
      <c r="O101" s="42"/>
      <c r="P101" s="30"/>
      <c r="R101" s="21"/>
      <c r="S101" s="31"/>
      <c r="U101" s="16"/>
      <c r="V101" s="16"/>
      <c r="W101" s="16"/>
      <c r="X101" s="16"/>
      <c r="Y101" s="30"/>
      <c r="Z101" s="16" t="s">
        <v>174</v>
      </c>
    </row>
    <row r="102">
      <c r="A102" s="28">
        <v>46253.0</v>
      </c>
      <c r="B102" s="16" t="s">
        <v>752</v>
      </c>
      <c r="C102" s="20" t="s">
        <v>753</v>
      </c>
      <c r="D102" s="20" t="s">
        <v>107</v>
      </c>
      <c r="E102" s="36"/>
      <c r="F102" s="37" t="s">
        <v>395</v>
      </c>
      <c r="H102" s="21"/>
      <c r="I102" s="20" t="s">
        <v>717</v>
      </c>
      <c r="J102" s="21"/>
      <c r="M102" s="21"/>
      <c r="N102" s="21"/>
      <c r="O102" s="42"/>
      <c r="P102" s="30"/>
      <c r="R102" s="21"/>
      <c r="S102" s="31"/>
      <c r="U102" s="16"/>
      <c r="V102" s="16"/>
      <c r="W102" s="16"/>
      <c r="X102" s="16"/>
      <c r="Y102" s="30"/>
      <c r="Z102" s="16" t="s">
        <v>174</v>
      </c>
    </row>
    <row r="103">
      <c r="A103" s="28">
        <v>46253.0</v>
      </c>
      <c r="B103" s="16" t="s">
        <v>757</v>
      </c>
      <c r="C103" s="20" t="s">
        <v>758</v>
      </c>
      <c r="D103" s="40">
        <v>9.5151266E9</v>
      </c>
      <c r="E103" s="36"/>
      <c r="F103" s="37" t="s">
        <v>426</v>
      </c>
      <c r="H103" s="21"/>
      <c r="I103" s="20" t="s">
        <v>717</v>
      </c>
      <c r="J103" s="21"/>
      <c r="M103" s="21"/>
      <c r="N103" s="21"/>
      <c r="O103" s="26"/>
      <c r="P103" s="30"/>
      <c r="R103" s="21"/>
      <c r="S103" s="31"/>
      <c r="U103" s="16"/>
      <c r="V103" s="16"/>
      <c r="W103" s="16"/>
      <c r="X103" s="16"/>
      <c r="Y103" s="30"/>
      <c r="Z103" s="16" t="s">
        <v>174</v>
      </c>
    </row>
    <row r="104">
      <c r="A104" s="28">
        <v>46253.0</v>
      </c>
      <c r="B104" s="16" t="s">
        <v>762</v>
      </c>
      <c r="C104" s="20" t="s">
        <v>763</v>
      </c>
      <c r="D104" s="20" t="s">
        <v>107</v>
      </c>
      <c r="E104" s="36"/>
      <c r="F104" s="37" t="s">
        <v>764</v>
      </c>
      <c r="H104" s="21"/>
      <c r="I104" s="20" t="s">
        <v>717</v>
      </c>
      <c r="J104" s="21"/>
      <c r="M104" s="21"/>
      <c r="N104" s="21"/>
      <c r="O104" s="42"/>
      <c r="P104" s="30"/>
      <c r="R104" s="21"/>
      <c r="S104" s="31"/>
      <c r="U104" s="16"/>
      <c r="V104" s="16"/>
      <c r="W104" s="16"/>
      <c r="X104" s="16"/>
      <c r="Y104" s="30"/>
      <c r="Z104" s="16" t="s">
        <v>174</v>
      </c>
    </row>
    <row r="105">
      <c r="A105" s="28">
        <v>46253.0</v>
      </c>
      <c r="B105" s="16" t="s">
        <v>765</v>
      </c>
      <c r="C105" s="20" t="s">
        <v>766</v>
      </c>
      <c r="D105" s="20" t="s">
        <v>107</v>
      </c>
      <c r="E105" s="36"/>
      <c r="F105" s="37" t="s">
        <v>768</v>
      </c>
      <c r="H105" s="21"/>
      <c r="I105" s="20" t="s">
        <v>717</v>
      </c>
      <c r="J105" s="21"/>
      <c r="M105" s="21"/>
      <c r="N105" s="21"/>
      <c r="O105" s="42"/>
      <c r="P105" s="30"/>
      <c r="R105" s="21"/>
      <c r="S105" s="31"/>
      <c r="U105" s="16"/>
      <c r="V105" s="16"/>
      <c r="W105" s="16"/>
      <c r="X105" s="16"/>
      <c r="Y105" s="30"/>
      <c r="Z105" s="16" t="s">
        <v>174</v>
      </c>
    </row>
    <row r="106">
      <c r="A106" s="28">
        <v>46253.0</v>
      </c>
      <c r="B106" s="16" t="s">
        <v>769</v>
      </c>
      <c r="C106" s="20" t="s">
        <v>770</v>
      </c>
      <c r="D106" s="20" t="s">
        <v>107</v>
      </c>
      <c r="E106" s="36"/>
      <c r="F106" s="37" t="s">
        <v>403</v>
      </c>
      <c r="H106" s="21"/>
      <c r="I106" s="20" t="s">
        <v>717</v>
      </c>
      <c r="J106" s="21"/>
      <c r="M106" s="21"/>
      <c r="N106" s="21"/>
      <c r="O106" s="42"/>
      <c r="P106" s="30"/>
      <c r="R106" s="21"/>
      <c r="S106" s="31"/>
      <c r="U106" s="16"/>
      <c r="V106" s="16"/>
      <c r="W106" s="16"/>
      <c r="X106" s="16"/>
      <c r="Y106" s="30"/>
      <c r="Z106" s="16" t="s">
        <v>174</v>
      </c>
    </row>
    <row r="107">
      <c r="A107" s="28">
        <v>46253.0</v>
      </c>
      <c r="B107" s="16" t="s">
        <v>774</v>
      </c>
      <c r="C107" s="20" t="s">
        <v>775</v>
      </c>
      <c r="D107" s="20" t="s">
        <v>107</v>
      </c>
      <c r="E107" s="36"/>
      <c r="F107" s="37" t="s">
        <v>776</v>
      </c>
      <c r="H107" s="21"/>
      <c r="I107" s="20" t="s">
        <v>717</v>
      </c>
      <c r="J107" s="21"/>
      <c r="M107" s="21"/>
      <c r="N107" s="21"/>
      <c r="O107" s="42"/>
      <c r="P107" s="30"/>
      <c r="R107" s="21"/>
      <c r="S107" s="31"/>
      <c r="U107" s="16"/>
      <c r="V107" s="16"/>
      <c r="W107" s="16"/>
      <c r="X107" s="16"/>
      <c r="Y107" s="30"/>
      <c r="Z107" s="16" t="s">
        <v>174</v>
      </c>
    </row>
    <row r="108">
      <c r="A108" s="28">
        <v>46253.0</v>
      </c>
      <c r="B108" s="16" t="s">
        <v>777</v>
      </c>
      <c r="C108" s="20" t="s">
        <v>779</v>
      </c>
      <c r="D108" s="20" t="s">
        <v>107</v>
      </c>
      <c r="E108" s="36"/>
      <c r="F108" s="37" t="s">
        <v>403</v>
      </c>
      <c r="H108" s="21"/>
      <c r="I108" s="20" t="s">
        <v>717</v>
      </c>
      <c r="J108" s="17" t="s">
        <v>40</v>
      </c>
      <c r="M108" s="21"/>
      <c r="N108" s="21"/>
      <c r="O108" s="42"/>
      <c r="P108" s="30"/>
      <c r="R108" s="21"/>
      <c r="S108" s="31"/>
      <c r="U108" s="16"/>
      <c r="V108" s="16"/>
      <c r="W108" s="16"/>
      <c r="X108" s="16"/>
      <c r="Y108" s="30"/>
      <c r="Z108" s="16" t="s">
        <v>174</v>
      </c>
    </row>
    <row r="109">
      <c r="A109" s="28">
        <v>46253.0</v>
      </c>
      <c r="B109" s="16" t="s">
        <v>783</v>
      </c>
      <c r="C109" s="20" t="s">
        <v>784</v>
      </c>
      <c r="D109" s="20" t="s">
        <v>107</v>
      </c>
      <c r="E109" s="36"/>
      <c r="F109" s="37" t="s">
        <v>785</v>
      </c>
      <c r="H109" s="21"/>
      <c r="I109" s="20" t="s">
        <v>717</v>
      </c>
      <c r="J109" s="21"/>
      <c r="M109" s="21"/>
      <c r="N109" s="21"/>
      <c r="O109" s="42"/>
      <c r="P109" s="30"/>
      <c r="R109" s="21"/>
      <c r="S109" s="31"/>
      <c r="U109" s="16"/>
      <c r="V109" s="16"/>
      <c r="W109" s="16"/>
      <c r="X109" s="16"/>
      <c r="Y109" s="30"/>
      <c r="Z109" s="16" t="s">
        <v>174</v>
      </c>
    </row>
    <row r="110">
      <c r="A110" s="28">
        <v>46253.0</v>
      </c>
      <c r="B110" s="16" t="s">
        <v>789</v>
      </c>
      <c r="C110" s="20" t="s">
        <v>790</v>
      </c>
      <c r="D110" s="20" t="s">
        <v>107</v>
      </c>
      <c r="E110" s="36"/>
      <c r="F110" s="37" t="s">
        <v>791</v>
      </c>
      <c r="H110" s="21"/>
      <c r="I110" s="20" t="s">
        <v>717</v>
      </c>
      <c r="J110" s="21"/>
      <c r="M110" s="21"/>
      <c r="N110" s="21"/>
      <c r="O110" s="42"/>
      <c r="P110" s="30"/>
      <c r="R110" s="21"/>
      <c r="S110" s="31"/>
      <c r="U110" s="16"/>
      <c r="V110" s="16"/>
      <c r="W110" s="16"/>
      <c r="X110" s="16"/>
      <c r="Y110" s="30"/>
      <c r="Z110" s="16" t="s">
        <v>174</v>
      </c>
    </row>
    <row r="111">
      <c r="A111" s="28">
        <v>46253.0</v>
      </c>
      <c r="B111" s="16" t="s">
        <v>795</v>
      </c>
      <c r="C111" s="20" t="s">
        <v>797</v>
      </c>
      <c r="D111" s="20" t="s">
        <v>107</v>
      </c>
      <c r="E111" s="36"/>
      <c r="F111" s="37" t="s">
        <v>403</v>
      </c>
      <c r="H111" s="21"/>
      <c r="I111" s="20" t="s">
        <v>717</v>
      </c>
      <c r="J111" s="21"/>
      <c r="M111" s="21"/>
      <c r="N111" s="21"/>
      <c r="O111" s="42"/>
      <c r="P111" s="30"/>
      <c r="R111" s="21"/>
      <c r="S111" s="31"/>
      <c r="U111" s="16"/>
      <c r="V111" s="16"/>
      <c r="W111" s="16"/>
      <c r="X111" s="16"/>
      <c r="Y111" s="30"/>
      <c r="Z111" s="16" t="s">
        <v>174</v>
      </c>
    </row>
    <row r="112">
      <c r="A112" s="28">
        <v>46253.0</v>
      </c>
      <c r="B112" s="16" t="s">
        <v>798</v>
      </c>
      <c r="C112" s="20" t="s">
        <v>799</v>
      </c>
      <c r="D112" s="20" t="s">
        <v>107</v>
      </c>
      <c r="E112" s="36"/>
      <c r="F112" s="37" t="s">
        <v>403</v>
      </c>
      <c r="H112" s="21"/>
      <c r="I112" s="20" t="s">
        <v>717</v>
      </c>
      <c r="J112" s="21"/>
      <c r="M112" s="21"/>
      <c r="N112" s="21"/>
      <c r="O112" s="42"/>
      <c r="P112" s="30"/>
      <c r="R112" s="21"/>
      <c r="S112" s="31"/>
      <c r="U112" s="16"/>
      <c r="V112" s="16"/>
      <c r="W112" s="16"/>
      <c r="X112" s="16"/>
      <c r="Y112" s="30"/>
      <c r="Z112" s="16" t="s">
        <v>174</v>
      </c>
    </row>
    <row r="113">
      <c r="A113" s="28">
        <v>46253.0</v>
      </c>
      <c r="B113" s="16" t="s">
        <v>804</v>
      </c>
      <c r="C113" s="20" t="s">
        <v>805</v>
      </c>
      <c r="D113" s="20" t="s">
        <v>107</v>
      </c>
      <c r="E113" s="20" t="s">
        <v>806</v>
      </c>
      <c r="F113" s="37" t="s">
        <v>807</v>
      </c>
      <c r="H113" s="21"/>
      <c r="I113" s="20" t="s">
        <v>717</v>
      </c>
      <c r="J113" s="21"/>
      <c r="M113" s="21"/>
      <c r="N113" s="21"/>
      <c r="O113" s="42"/>
      <c r="P113" s="30"/>
      <c r="R113" s="21"/>
      <c r="S113" s="31"/>
      <c r="U113" s="16"/>
      <c r="V113" s="16"/>
      <c r="W113" s="16"/>
      <c r="X113" s="16"/>
      <c r="Y113" s="30"/>
      <c r="Z113" s="16" t="s">
        <v>174</v>
      </c>
    </row>
    <row r="114">
      <c r="A114" s="28">
        <v>46253.0</v>
      </c>
      <c r="B114" s="16" t="s">
        <v>808</v>
      </c>
      <c r="C114" s="20" t="s">
        <v>809</v>
      </c>
      <c r="D114" s="20" t="s">
        <v>107</v>
      </c>
      <c r="E114" s="36"/>
      <c r="F114" s="37" t="s">
        <v>403</v>
      </c>
      <c r="H114" s="21"/>
      <c r="I114" s="20" t="s">
        <v>717</v>
      </c>
      <c r="J114" s="21"/>
      <c r="M114" s="21"/>
      <c r="N114" s="21"/>
      <c r="O114" s="42"/>
      <c r="P114" s="30"/>
      <c r="R114" s="21"/>
      <c r="S114" s="31"/>
      <c r="U114" s="16"/>
      <c r="V114" s="16"/>
      <c r="W114" s="16"/>
      <c r="X114" s="16"/>
      <c r="Y114" s="30"/>
      <c r="Z114" s="16" t="s">
        <v>174</v>
      </c>
    </row>
    <row r="115">
      <c r="A115" s="28">
        <v>46253.0</v>
      </c>
      <c r="B115" s="16" t="s">
        <v>810</v>
      </c>
      <c r="C115" s="20" t="s">
        <v>811</v>
      </c>
      <c r="D115" s="20" t="s">
        <v>812</v>
      </c>
      <c r="E115" s="20" t="s">
        <v>813</v>
      </c>
      <c r="F115" s="37" t="s">
        <v>395</v>
      </c>
      <c r="H115" s="21"/>
      <c r="I115" s="20" t="s">
        <v>664</v>
      </c>
      <c r="J115" s="21"/>
      <c r="M115" s="21"/>
      <c r="N115" s="21"/>
      <c r="O115" s="42"/>
      <c r="P115" s="30"/>
      <c r="R115" s="21"/>
      <c r="S115" s="31"/>
      <c r="U115" s="16"/>
      <c r="V115" s="16"/>
      <c r="W115" s="16"/>
      <c r="X115" s="16"/>
      <c r="Y115" s="30"/>
      <c r="Z115" s="16" t="s">
        <v>174</v>
      </c>
    </row>
    <row r="116">
      <c r="A116" s="28">
        <v>46253.0</v>
      </c>
      <c r="B116" s="16" t="s">
        <v>817</v>
      </c>
      <c r="C116" s="20" t="s">
        <v>818</v>
      </c>
      <c r="D116" s="20" t="s">
        <v>107</v>
      </c>
      <c r="E116" s="20" t="s">
        <v>819</v>
      </c>
      <c r="F116" s="37" t="s">
        <v>820</v>
      </c>
      <c r="H116" s="21"/>
      <c r="I116" s="43" t="s">
        <v>664</v>
      </c>
      <c r="J116" s="21"/>
      <c r="M116" s="21"/>
      <c r="N116" s="21"/>
      <c r="O116" s="42"/>
      <c r="P116" s="30"/>
      <c r="R116" s="21"/>
      <c r="S116" s="31"/>
      <c r="U116" s="16"/>
      <c r="V116" s="16"/>
      <c r="W116" s="16"/>
      <c r="X116" s="16"/>
      <c r="Y116" s="30"/>
      <c r="Z116" s="16" t="s">
        <v>174</v>
      </c>
    </row>
    <row r="117">
      <c r="A117" s="28">
        <v>46253.0</v>
      </c>
      <c r="B117" s="16" t="s">
        <v>822</v>
      </c>
      <c r="C117" s="20" t="s">
        <v>823</v>
      </c>
      <c r="D117" s="20" t="s">
        <v>107</v>
      </c>
      <c r="E117" s="20" t="s">
        <v>824</v>
      </c>
      <c r="F117" s="37" t="s">
        <v>426</v>
      </c>
      <c r="H117" s="21"/>
      <c r="I117" s="20" t="s">
        <v>664</v>
      </c>
      <c r="J117" s="21"/>
      <c r="M117" s="21"/>
      <c r="N117" s="21"/>
      <c r="O117" s="42"/>
      <c r="P117" s="30"/>
      <c r="R117" s="21"/>
      <c r="S117" s="31"/>
      <c r="U117" s="16"/>
      <c r="V117" s="16"/>
      <c r="W117" s="16"/>
      <c r="X117" s="16"/>
      <c r="Y117" s="30"/>
      <c r="Z117" s="16" t="s">
        <v>174</v>
      </c>
    </row>
    <row r="118">
      <c r="A118" s="28">
        <v>46253.0</v>
      </c>
      <c r="B118" s="16" t="s">
        <v>828</v>
      </c>
      <c r="C118" s="20" t="s">
        <v>829</v>
      </c>
      <c r="D118" s="20" t="s">
        <v>107</v>
      </c>
      <c r="E118" s="20" t="s">
        <v>830</v>
      </c>
      <c r="F118" s="37" t="s">
        <v>831</v>
      </c>
      <c r="H118" s="21"/>
      <c r="I118" s="20" t="s">
        <v>664</v>
      </c>
      <c r="J118" s="21"/>
      <c r="M118" s="21"/>
      <c r="N118" s="21"/>
      <c r="O118" s="42"/>
      <c r="P118" s="30"/>
      <c r="R118" s="21"/>
      <c r="S118" s="31"/>
      <c r="U118" s="16"/>
      <c r="V118" s="16"/>
      <c r="W118" s="16"/>
      <c r="X118" s="16"/>
      <c r="Y118" s="30"/>
      <c r="Z118" s="16" t="s">
        <v>174</v>
      </c>
    </row>
    <row r="119">
      <c r="A119" s="28">
        <v>46253.0</v>
      </c>
      <c r="B119" s="16" t="s">
        <v>833</v>
      </c>
      <c r="C119" s="20" t="s">
        <v>834</v>
      </c>
      <c r="D119" s="20" t="s">
        <v>107</v>
      </c>
      <c r="E119" s="20" t="s">
        <v>835</v>
      </c>
      <c r="F119" s="37" t="s">
        <v>836</v>
      </c>
      <c r="H119" s="21"/>
      <c r="I119" s="20" t="s">
        <v>664</v>
      </c>
      <c r="J119" s="21"/>
      <c r="M119" s="21"/>
      <c r="N119" s="21"/>
      <c r="O119" s="42"/>
      <c r="P119" s="30"/>
      <c r="R119" s="21"/>
      <c r="S119" s="31"/>
      <c r="U119" s="16"/>
      <c r="V119" s="16"/>
      <c r="W119" s="16"/>
      <c r="X119" s="16"/>
      <c r="Y119" s="30"/>
      <c r="Z119" s="16" t="s">
        <v>174</v>
      </c>
    </row>
    <row r="120">
      <c r="A120" s="28">
        <v>46254.0</v>
      </c>
      <c r="B120" s="16" t="s">
        <v>840</v>
      </c>
      <c r="C120" s="20" t="s">
        <v>841</v>
      </c>
      <c r="D120" s="20" t="s">
        <v>107</v>
      </c>
      <c r="E120" s="20" t="s">
        <v>842</v>
      </c>
      <c r="F120" s="37" t="s">
        <v>843</v>
      </c>
      <c r="H120" s="21"/>
      <c r="I120" s="20" t="s">
        <v>664</v>
      </c>
      <c r="J120" s="21"/>
      <c r="M120" s="21"/>
      <c r="N120" s="21"/>
      <c r="O120" s="42"/>
      <c r="P120" s="30"/>
      <c r="R120" s="21"/>
      <c r="S120" s="31"/>
      <c r="U120" s="16"/>
      <c r="V120" s="16"/>
      <c r="W120" s="16"/>
      <c r="X120" s="16"/>
      <c r="Y120" s="30"/>
      <c r="Z120" s="16" t="s">
        <v>174</v>
      </c>
    </row>
    <row r="121">
      <c r="A121" s="28">
        <v>46254.0</v>
      </c>
      <c r="B121" s="16" t="s">
        <v>845</v>
      </c>
      <c r="C121" s="20" t="s">
        <v>846</v>
      </c>
      <c r="D121" s="20" t="s">
        <v>107</v>
      </c>
      <c r="E121" s="20" t="s">
        <v>847</v>
      </c>
      <c r="F121" s="37" t="s">
        <v>848</v>
      </c>
      <c r="H121" s="21"/>
      <c r="I121" s="20" t="s">
        <v>664</v>
      </c>
      <c r="J121" s="21"/>
      <c r="M121" s="21"/>
      <c r="N121" s="21"/>
      <c r="O121" s="42"/>
      <c r="P121" s="30"/>
      <c r="R121" s="21"/>
      <c r="S121" s="31"/>
      <c r="U121" s="16"/>
      <c r="V121" s="16"/>
      <c r="W121" s="16"/>
      <c r="X121" s="16"/>
      <c r="Y121" s="30"/>
      <c r="Z121" s="16" t="s">
        <v>174</v>
      </c>
    </row>
    <row r="122">
      <c r="A122" s="28">
        <v>46254.0</v>
      </c>
      <c r="B122" s="16" t="s">
        <v>852</v>
      </c>
      <c r="C122" s="20" t="s">
        <v>853</v>
      </c>
      <c r="D122" s="20" t="s">
        <v>107</v>
      </c>
      <c r="E122" s="20" t="s">
        <v>854</v>
      </c>
      <c r="F122" s="37" t="s">
        <v>855</v>
      </c>
      <c r="H122" s="21"/>
      <c r="I122" s="20" t="s">
        <v>664</v>
      </c>
      <c r="J122" s="21"/>
      <c r="M122" s="21"/>
      <c r="N122" s="21"/>
      <c r="O122" s="42"/>
      <c r="P122" s="30"/>
      <c r="R122" s="21"/>
      <c r="S122" s="31"/>
      <c r="U122" s="16"/>
      <c r="V122" s="16"/>
      <c r="W122" s="16"/>
      <c r="X122" s="16"/>
      <c r="Y122" s="30"/>
      <c r="Z122" s="16" t="s">
        <v>174</v>
      </c>
    </row>
    <row r="123">
      <c r="A123" s="28">
        <v>46254.0</v>
      </c>
      <c r="B123" s="16" t="s">
        <v>857</v>
      </c>
      <c r="C123" s="20" t="s">
        <v>858</v>
      </c>
      <c r="D123" s="20" t="s">
        <v>859</v>
      </c>
      <c r="E123" s="20" t="s">
        <v>860</v>
      </c>
      <c r="F123" s="37" t="s">
        <v>861</v>
      </c>
      <c r="H123" s="21"/>
      <c r="I123" s="20" t="s">
        <v>664</v>
      </c>
      <c r="J123" s="21"/>
      <c r="M123" s="21"/>
      <c r="N123" s="21"/>
      <c r="O123" s="42"/>
      <c r="P123" s="30"/>
      <c r="R123" s="21"/>
      <c r="S123" s="31"/>
      <c r="U123" s="16"/>
      <c r="V123" s="16"/>
      <c r="W123" s="16"/>
      <c r="X123" s="16"/>
      <c r="Y123" s="30"/>
      <c r="Z123" s="16" t="s">
        <v>174</v>
      </c>
    </row>
    <row r="124">
      <c r="A124" s="28">
        <v>46254.0</v>
      </c>
      <c r="B124" s="16" t="s">
        <v>865</v>
      </c>
      <c r="C124" s="20" t="s">
        <v>866</v>
      </c>
      <c r="D124" s="20" t="s">
        <v>107</v>
      </c>
      <c r="E124" s="20" t="s">
        <v>867</v>
      </c>
      <c r="F124" s="37" t="s">
        <v>868</v>
      </c>
      <c r="H124" s="21"/>
      <c r="I124" s="20" t="s">
        <v>664</v>
      </c>
      <c r="J124" s="21"/>
      <c r="M124" s="21"/>
      <c r="N124" s="21"/>
      <c r="O124" s="42"/>
      <c r="P124" s="30"/>
      <c r="R124" s="21"/>
      <c r="S124" s="31"/>
      <c r="U124" s="16"/>
      <c r="V124" s="16"/>
      <c r="W124" s="16"/>
      <c r="X124" s="16"/>
      <c r="Y124" s="30"/>
      <c r="Z124" s="16" t="s">
        <v>174</v>
      </c>
    </row>
    <row r="125">
      <c r="A125" s="28">
        <v>46254.0</v>
      </c>
      <c r="B125" s="16" t="s">
        <v>869</v>
      </c>
      <c r="C125" s="20" t="s">
        <v>870</v>
      </c>
      <c r="D125" s="20" t="s">
        <v>107</v>
      </c>
      <c r="E125" s="20" t="s">
        <v>873</v>
      </c>
      <c r="F125" s="37" t="s">
        <v>874</v>
      </c>
      <c r="H125" s="21"/>
      <c r="I125" s="20" t="s">
        <v>664</v>
      </c>
      <c r="J125" s="21"/>
      <c r="M125" s="21"/>
      <c r="N125" s="21"/>
      <c r="O125" s="42"/>
      <c r="P125" s="30"/>
      <c r="R125" s="21"/>
      <c r="S125" s="31"/>
      <c r="U125" s="16"/>
      <c r="V125" s="16"/>
      <c r="W125" s="16"/>
      <c r="X125" s="16"/>
      <c r="Y125" s="30"/>
      <c r="Z125" s="16" t="s">
        <v>174</v>
      </c>
    </row>
    <row r="126">
      <c r="A126" s="28">
        <v>46254.0</v>
      </c>
      <c r="B126" s="16" t="s">
        <v>876</v>
      </c>
      <c r="C126" s="20" t="s">
        <v>877</v>
      </c>
      <c r="D126" s="20" t="s">
        <v>107</v>
      </c>
      <c r="E126" s="20" t="s">
        <v>878</v>
      </c>
      <c r="F126" s="37" t="s">
        <v>879</v>
      </c>
      <c r="H126" s="21"/>
      <c r="I126" s="20" t="s">
        <v>664</v>
      </c>
      <c r="J126" s="21"/>
      <c r="M126" s="21"/>
      <c r="N126" s="21"/>
      <c r="O126" s="42"/>
      <c r="P126" s="30"/>
      <c r="R126" s="21"/>
      <c r="S126" s="31"/>
      <c r="U126" s="16"/>
      <c r="V126" s="16"/>
      <c r="W126" s="16"/>
      <c r="X126" s="16"/>
      <c r="Y126" s="30"/>
      <c r="Z126" s="16" t="s">
        <v>174</v>
      </c>
    </row>
    <row r="127">
      <c r="A127" s="28">
        <v>46254.0</v>
      </c>
      <c r="B127" s="16" t="s">
        <v>883</v>
      </c>
      <c r="C127" s="20" t="s">
        <v>884</v>
      </c>
      <c r="D127" s="20" t="s">
        <v>107</v>
      </c>
      <c r="E127" s="20" t="s">
        <v>885</v>
      </c>
      <c r="F127" s="37" t="s">
        <v>298</v>
      </c>
      <c r="H127" s="21"/>
      <c r="I127" s="20" t="s">
        <v>664</v>
      </c>
      <c r="J127" s="21"/>
      <c r="M127" s="21"/>
      <c r="N127" s="21"/>
      <c r="O127" s="42"/>
      <c r="P127" s="30"/>
      <c r="R127" s="21"/>
      <c r="S127" s="31"/>
      <c r="U127" s="16"/>
      <c r="V127" s="16"/>
      <c r="W127" s="16"/>
      <c r="X127" s="16"/>
      <c r="Y127" s="30"/>
      <c r="Z127" s="16" t="s">
        <v>174</v>
      </c>
    </row>
    <row r="128">
      <c r="A128" s="28">
        <v>46254.0</v>
      </c>
      <c r="B128" s="16" t="s">
        <v>886</v>
      </c>
      <c r="C128" s="20" t="s">
        <v>887</v>
      </c>
      <c r="D128" s="20" t="s">
        <v>107</v>
      </c>
      <c r="E128" s="20" t="s">
        <v>888</v>
      </c>
      <c r="F128" s="37" t="s">
        <v>889</v>
      </c>
      <c r="H128" s="21"/>
      <c r="I128" s="20" t="s">
        <v>664</v>
      </c>
      <c r="J128" s="21"/>
      <c r="M128" s="21"/>
      <c r="N128" s="21"/>
      <c r="O128" s="42"/>
      <c r="P128" s="30"/>
      <c r="R128" s="21"/>
      <c r="S128" s="31"/>
      <c r="U128" s="16"/>
      <c r="V128" s="16"/>
      <c r="W128" s="16"/>
      <c r="X128" s="16"/>
      <c r="Y128" s="30"/>
      <c r="Z128" s="16" t="s">
        <v>174</v>
      </c>
    </row>
    <row r="129">
      <c r="A129" s="28">
        <v>46254.0</v>
      </c>
      <c r="B129" s="16" t="s">
        <v>890</v>
      </c>
      <c r="C129" s="20" t="s">
        <v>891</v>
      </c>
      <c r="D129" s="20" t="s">
        <v>107</v>
      </c>
      <c r="E129" s="20" t="s">
        <v>894</v>
      </c>
      <c r="F129" s="37" t="s">
        <v>889</v>
      </c>
      <c r="H129" s="21"/>
      <c r="I129" s="20" t="s">
        <v>664</v>
      </c>
      <c r="J129" s="21"/>
      <c r="M129" s="21"/>
      <c r="N129" s="21"/>
      <c r="O129" s="42"/>
      <c r="P129" s="30"/>
      <c r="R129" s="21"/>
      <c r="S129" s="31"/>
      <c r="U129" s="16"/>
      <c r="V129" s="16"/>
      <c r="W129" s="16"/>
      <c r="X129" s="16"/>
      <c r="Y129" s="30"/>
      <c r="Z129" s="16" t="s">
        <v>174</v>
      </c>
    </row>
    <row r="130">
      <c r="A130" s="28">
        <v>46254.0</v>
      </c>
      <c r="B130" s="16" t="s">
        <v>897</v>
      </c>
      <c r="C130" s="20" t="s">
        <v>898</v>
      </c>
      <c r="D130" s="36"/>
      <c r="E130" s="20" t="s">
        <v>899</v>
      </c>
      <c r="F130" s="37" t="s">
        <v>900</v>
      </c>
      <c r="H130" s="21"/>
      <c r="I130" s="20" t="s">
        <v>82</v>
      </c>
      <c r="J130" s="17" t="s">
        <v>40</v>
      </c>
      <c r="M130" s="21"/>
      <c r="N130" s="21"/>
      <c r="O130" s="42"/>
      <c r="P130" s="30"/>
      <c r="R130" s="21"/>
      <c r="S130" s="31"/>
      <c r="U130" s="16"/>
      <c r="V130" s="16"/>
      <c r="W130" s="16"/>
      <c r="X130" s="16"/>
      <c r="Y130" s="30"/>
      <c r="Z130" s="16" t="s">
        <v>174</v>
      </c>
    </row>
    <row r="131">
      <c r="A131" s="28">
        <v>46254.0</v>
      </c>
      <c r="B131" s="16" t="s">
        <v>905</v>
      </c>
      <c r="C131" s="20" t="s">
        <v>906</v>
      </c>
      <c r="D131" s="36"/>
      <c r="E131" s="36"/>
      <c r="F131" s="37" t="s">
        <v>907</v>
      </c>
      <c r="H131" s="21"/>
      <c r="I131" s="20" t="s">
        <v>82</v>
      </c>
      <c r="J131" s="21"/>
      <c r="M131" s="21"/>
      <c r="N131" s="21"/>
      <c r="O131" s="42"/>
      <c r="P131" s="30"/>
      <c r="R131" s="21"/>
      <c r="S131" s="31"/>
      <c r="U131" s="16"/>
      <c r="V131" s="16"/>
      <c r="W131" s="16"/>
      <c r="X131" s="16"/>
      <c r="Y131" s="30"/>
      <c r="Z131" s="16" t="s">
        <v>174</v>
      </c>
    </row>
    <row r="132">
      <c r="A132" s="28">
        <v>46254.0</v>
      </c>
      <c r="B132" s="16" t="s">
        <v>911</v>
      </c>
      <c r="C132" s="20" t="s">
        <v>912</v>
      </c>
      <c r="D132" s="36"/>
      <c r="E132" s="20" t="s">
        <v>913</v>
      </c>
      <c r="F132" s="37" t="s">
        <v>914</v>
      </c>
      <c r="H132" s="21"/>
      <c r="I132" s="20" t="s">
        <v>313</v>
      </c>
      <c r="J132" s="21"/>
      <c r="M132" s="21"/>
      <c r="N132" s="21"/>
      <c r="O132" s="42"/>
      <c r="P132" s="30"/>
      <c r="R132" s="21"/>
      <c r="S132" s="31"/>
      <c r="U132" s="16"/>
      <c r="V132" s="16"/>
      <c r="W132" s="16"/>
      <c r="X132" s="16"/>
      <c r="Y132" s="30"/>
      <c r="Z132" s="16" t="s">
        <v>174</v>
      </c>
    </row>
    <row r="133">
      <c r="A133" s="28">
        <v>46254.0</v>
      </c>
      <c r="B133" s="16" t="s">
        <v>918</v>
      </c>
      <c r="C133" s="20" t="s">
        <v>919</v>
      </c>
      <c r="D133" s="36"/>
      <c r="E133" s="20" t="s">
        <v>920</v>
      </c>
      <c r="F133" s="41"/>
      <c r="H133" s="21"/>
      <c r="I133" s="20" t="s">
        <v>921</v>
      </c>
      <c r="J133" s="17" t="s">
        <v>157</v>
      </c>
      <c r="M133" s="21"/>
      <c r="N133" s="21"/>
      <c r="O133" s="42"/>
      <c r="P133" s="30"/>
      <c r="R133" s="21"/>
      <c r="S133" s="31"/>
      <c r="U133" s="16"/>
      <c r="V133" s="16"/>
      <c r="W133" s="16"/>
      <c r="X133" s="16"/>
      <c r="Y133" s="30"/>
      <c r="Z133" s="16" t="s">
        <v>174</v>
      </c>
    </row>
    <row r="134">
      <c r="A134" s="28">
        <v>46254.0</v>
      </c>
      <c r="B134" s="16" t="s">
        <v>925</v>
      </c>
      <c r="C134" s="44" t="s">
        <v>926</v>
      </c>
      <c r="F134" s="45"/>
      <c r="H134" s="21"/>
      <c r="J134" s="21"/>
      <c r="M134" s="21"/>
      <c r="N134" s="21"/>
      <c r="O134" s="42"/>
      <c r="P134" s="30"/>
      <c r="R134" s="21"/>
      <c r="S134" s="31"/>
      <c r="U134" s="16"/>
      <c r="V134" s="16"/>
      <c r="W134" s="16"/>
      <c r="X134" s="16"/>
      <c r="Y134" s="30"/>
      <c r="Z134" s="16" t="s">
        <v>174</v>
      </c>
    </row>
    <row r="135">
      <c r="A135" s="28" t="s">
        <v>174</v>
      </c>
      <c r="B135" s="16"/>
      <c r="F135" s="45"/>
      <c r="H135" s="21"/>
      <c r="J135" s="21"/>
      <c r="M135" s="21"/>
      <c r="N135" s="21"/>
      <c r="O135" s="42"/>
      <c r="P135" s="30"/>
      <c r="R135" s="21"/>
      <c r="S135" s="31"/>
      <c r="U135" s="16"/>
      <c r="V135" s="16"/>
      <c r="W135" s="16"/>
      <c r="X135" s="16"/>
      <c r="Y135" s="30"/>
      <c r="Z135" s="16" t="s">
        <v>174</v>
      </c>
    </row>
    <row r="136">
      <c r="A136" s="28" t="s">
        <v>174</v>
      </c>
      <c r="B136" s="16"/>
      <c r="F136" s="45"/>
      <c r="H136" s="21"/>
      <c r="J136" s="21"/>
      <c r="M136" s="21"/>
      <c r="N136" s="21"/>
      <c r="O136" s="42"/>
      <c r="P136" s="30"/>
      <c r="R136" s="21"/>
      <c r="S136" s="31"/>
      <c r="U136" s="16"/>
      <c r="V136" s="16"/>
      <c r="W136" s="16"/>
      <c r="X136" s="16"/>
      <c r="Y136" s="30"/>
      <c r="Z136" s="16" t="s">
        <v>174</v>
      </c>
    </row>
    <row r="137">
      <c r="A137" s="28" t="s">
        <v>174</v>
      </c>
      <c r="B137" s="16"/>
      <c r="F137" s="45"/>
      <c r="H137" s="21"/>
      <c r="J137" s="21"/>
      <c r="M137" s="21"/>
      <c r="N137" s="21"/>
      <c r="O137" s="42"/>
      <c r="P137" s="30"/>
      <c r="R137" s="21"/>
      <c r="S137" s="31"/>
      <c r="U137" s="16"/>
      <c r="V137" s="16"/>
      <c r="W137" s="16"/>
      <c r="X137" s="16"/>
      <c r="Y137" s="30"/>
      <c r="Z137" s="16" t="s">
        <v>174</v>
      </c>
    </row>
    <row r="138">
      <c r="A138" s="28" t="s">
        <v>174</v>
      </c>
      <c r="B138" s="16"/>
      <c r="F138" s="45"/>
      <c r="H138" s="21"/>
      <c r="J138" s="21"/>
      <c r="M138" s="21"/>
      <c r="N138" s="21"/>
      <c r="O138" s="42"/>
      <c r="P138" s="30"/>
      <c r="R138" s="21"/>
      <c r="S138" s="31"/>
      <c r="U138" s="16"/>
      <c r="V138" s="16"/>
      <c r="W138" s="16"/>
      <c r="X138" s="16"/>
      <c r="Y138" s="30"/>
      <c r="Z138" s="16" t="s">
        <v>174</v>
      </c>
    </row>
    <row r="139">
      <c r="A139" s="28" t="s">
        <v>174</v>
      </c>
      <c r="B139" s="16"/>
      <c r="F139" s="45"/>
      <c r="H139" s="21"/>
      <c r="J139" s="21"/>
      <c r="M139" s="21"/>
      <c r="N139" s="21"/>
      <c r="O139" s="42"/>
      <c r="P139" s="30"/>
      <c r="R139" s="21"/>
      <c r="S139" s="31"/>
      <c r="U139" s="16"/>
      <c r="V139" s="16"/>
      <c r="W139" s="16"/>
      <c r="X139" s="16"/>
      <c r="Y139" s="30"/>
      <c r="Z139" s="16" t="s">
        <v>174</v>
      </c>
    </row>
    <row r="140">
      <c r="A140" s="28" t="s">
        <v>174</v>
      </c>
      <c r="B140" s="16"/>
      <c r="F140" s="45"/>
      <c r="H140" s="21"/>
      <c r="J140" s="21"/>
      <c r="M140" s="21"/>
      <c r="N140" s="21"/>
      <c r="O140" s="42"/>
      <c r="P140" s="30"/>
      <c r="R140" s="21"/>
      <c r="S140" s="31"/>
      <c r="U140" s="16"/>
      <c r="V140" s="16"/>
      <c r="W140" s="16"/>
      <c r="X140" s="16"/>
      <c r="Y140" s="30"/>
      <c r="Z140" s="16" t="s">
        <v>174</v>
      </c>
    </row>
    <row r="141">
      <c r="A141" s="28" t="s">
        <v>174</v>
      </c>
      <c r="B141" s="16"/>
      <c r="F141" s="45"/>
      <c r="H141" s="21"/>
      <c r="J141" s="21"/>
      <c r="M141" s="21"/>
      <c r="N141" s="21"/>
      <c r="O141" s="42"/>
      <c r="P141" s="30"/>
      <c r="R141" s="21"/>
      <c r="S141" s="31"/>
      <c r="U141" s="16"/>
      <c r="V141" s="16"/>
      <c r="W141" s="16"/>
      <c r="X141" s="16"/>
      <c r="Y141" s="30"/>
      <c r="Z141" s="16" t="s">
        <v>174</v>
      </c>
    </row>
    <row r="142">
      <c r="A142" s="28" t="s">
        <v>174</v>
      </c>
      <c r="B142" s="16"/>
      <c r="F142" s="45"/>
      <c r="H142" s="21"/>
      <c r="J142" s="21"/>
      <c r="M142" s="21"/>
      <c r="N142" s="21"/>
      <c r="O142" s="42"/>
      <c r="P142" s="30"/>
      <c r="R142" s="21"/>
      <c r="S142" s="31"/>
      <c r="U142" s="16"/>
      <c r="V142" s="16"/>
      <c r="W142" s="16"/>
      <c r="X142" s="16"/>
      <c r="Y142" s="30"/>
      <c r="Z142" s="16" t="s">
        <v>174</v>
      </c>
    </row>
    <row r="143">
      <c r="A143" s="28" t="s">
        <v>174</v>
      </c>
      <c r="B143" s="16"/>
      <c r="F143" s="45"/>
      <c r="H143" s="21"/>
      <c r="J143" s="21"/>
      <c r="M143" s="21"/>
      <c r="N143" s="21"/>
      <c r="O143" s="42"/>
      <c r="P143" s="30"/>
      <c r="R143" s="21"/>
      <c r="S143" s="31"/>
      <c r="U143" s="16"/>
      <c r="V143" s="16"/>
      <c r="W143" s="16"/>
      <c r="X143" s="16"/>
      <c r="Y143" s="30"/>
      <c r="Z143" s="16" t="s">
        <v>174</v>
      </c>
    </row>
    <row r="144">
      <c r="A144" s="28" t="s">
        <v>174</v>
      </c>
      <c r="B144" s="16"/>
      <c r="F144" s="45"/>
      <c r="H144" s="21"/>
      <c r="J144" s="21"/>
      <c r="M144" s="21"/>
      <c r="N144" s="21"/>
      <c r="O144" s="42"/>
      <c r="P144" s="30"/>
      <c r="R144" s="21"/>
      <c r="S144" s="31"/>
      <c r="U144" s="16"/>
      <c r="V144" s="16"/>
      <c r="W144" s="16"/>
      <c r="X144" s="16"/>
      <c r="Y144" s="30"/>
      <c r="Z144" s="16" t="s">
        <v>174</v>
      </c>
    </row>
    <row r="145">
      <c r="A145" s="28" t="s">
        <v>174</v>
      </c>
      <c r="B145" s="16"/>
      <c r="F145" s="45"/>
      <c r="H145" s="21"/>
      <c r="J145" s="21"/>
      <c r="M145" s="21"/>
      <c r="N145" s="21"/>
      <c r="O145" s="42"/>
      <c r="P145" s="30"/>
      <c r="R145" s="21"/>
      <c r="S145" s="31"/>
      <c r="U145" s="16"/>
      <c r="V145" s="16"/>
      <c r="W145" s="16"/>
      <c r="X145" s="16"/>
      <c r="Y145" s="30"/>
      <c r="Z145" s="16" t="s">
        <v>174</v>
      </c>
    </row>
    <row r="146">
      <c r="A146" s="28" t="s">
        <v>174</v>
      </c>
      <c r="B146" s="16"/>
      <c r="F146" s="45"/>
      <c r="H146" s="21"/>
      <c r="J146" s="21"/>
      <c r="M146" s="21"/>
      <c r="N146" s="21"/>
      <c r="O146" s="42"/>
      <c r="P146" s="30"/>
      <c r="R146" s="21"/>
      <c r="S146" s="31"/>
      <c r="U146" s="16"/>
      <c r="V146" s="16"/>
      <c r="W146" s="16"/>
      <c r="X146" s="16"/>
      <c r="Y146" s="30"/>
      <c r="Z146" s="16" t="s">
        <v>174</v>
      </c>
    </row>
    <row r="147">
      <c r="A147" s="28" t="s">
        <v>174</v>
      </c>
      <c r="B147" s="16"/>
      <c r="F147" s="45"/>
      <c r="H147" s="21"/>
      <c r="J147" s="21"/>
      <c r="M147" s="21"/>
      <c r="N147" s="21"/>
      <c r="O147" s="42"/>
      <c r="P147" s="30"/>
      <c r="R147" s="21"/>
      <c r="S147" s="31"/>
      <c r="U147" s="16"/>
      <c r="V147" s="16"/>
      <c r="W147" s="16"/>
      <c r="X147" s="16"/>
      <c r="Y147" s="30"/>
      <c r="Z147" s="16" t="s">
        <v>174</v>
      </c>
    </row>
    <row r="148">
      <c r="A148" s="28" t="s">
        <v>174</v>
      </c>
      <c r="B148" s="16"/>
      <c r="F148" s="45"/>
      <c r="H148" s="21"/>
      <c r="J148" s="21"/>
      <c r="M148" s="21"/>
      <c r="N148" s="21"/>
      <c r="O148" s="42"/>
      <c r="P148" s="30"/>
      <c r="R148" s="21"/>
      <c r="S148" s="31"/>
      <c r="U148" s="16"/>
      <c r="V148" s="16"/>
      <c r="W148" s="16"/>
      <c r="X148" s="16"/>
      <c r="Y148" s="30"/>
      <c r="Z148" s="16" t="s">
        <v>174</v>
      </c>
    </row>
    <row r="149">
      <c r="A149" s="28" t="s">
        <v>174</v>
      </c>
      <c r="B149" s="16"/>
      <c r="F149" s="45"/>
      <c r="H149" s="21"/>
      <c r="J149" s="21"/>
      <c r="M149" s="21"/>
      <c r="N149" s="21"/>
      <c r="O149" s="42"/>
      <c r="P149" s="30"/>
      <c r="R149" s="21"/>
      <c r="S149" s="31"/>
      <c r="U149" s="16"/>
      <c r="V149" s="16"/>
      <c r="W149" s="16"/>
      <c r="X149" s="16"/>
      <c r="Y149" s="30"/>
      <c r="Z149" s="16" t="s">
        <v>174</v>
      </c>
    </row>
    <row r="150">
      <c r="A150" s="28" t="s">
        <v>174</v>
      </c>
      <c r="B150" s="16"/>
      <c r="F150" s="45"/>
      <c r="H150" s="21"/>
      <c r="J150" s="21"/>
      <c r="M150" s="21"/>
      <c r="N150" s="21"/>
      <c r="O150" s="42"/>
      <c r="P150" s="30"/>
      <c r="R150" s="21"/>
      <c r="S150" s="31"/>
      <c r="U150" s="16"/>
      <c r="V150" s="16"/>
      <c r="W150" s="16"/>
      <c r="X150" s="16"/>
      <c r="Y150" s="30"/>
      <c r="Z150" s="16" t="s">
        <v>174</v>
      </c>
    </row>
    <row r="151">
      <c r="A151" s="28" t="s">
        <v>174</v>
      </c>
      <c r="B151" s="16"/>
      <c r="F151" s="45"/>
      <c r="H151" s="21"/>
      <c r="J151" s="21"/>
      <c r="M151" s="21"/>
      <c r="N151" s="21"/>
      <c r="O151" s="42"/>
      <c r="P151" s="30"/>
      <c r="R151" s="21"/>
      <c r="S151" s="31"/>
      <c r="U151" s="16"/>
      <c r="V151" s="16"/>
      <c r="W151" s="16"/>
      <c r="X151" s="16"/>
      <c r="Y151" s="30"/>
      <c r="Z151" s="16" t="s">
        <v>174</v>
      </c>
    </row>
    <row r="152">
      <c r="A152" s="28" t="s">
        <v>174</v>
      </c>
      <c r="B152" s="16"/>
      <c r="F152" s="45"/>
      <c r="H152" s="21"/>
      <c r="J152" s="21"/>
      <c r="M152" s="21"/>
      <c r="N152" s="21"/>
      <c r="O152" s="42"/>
      <c r="P152" s="30"/>
      <c r="R152" s="21"/>
      <c r="S152" s="31"/>
      <c r="U152" s="16"/>
      <c r="V152" s="16"/>
      <c r="W152" s="16"/>
      <c r="X152" s="16"/>
      <c r="Y152" s="30"/>
      <c r="Z152" s="16" t="s">
        <v>174</v>
      </c>
    </row>
    <row r="153">
      <c r="A153" s="28" t="s">
        <v>174</v>
      </c>
      <c r="B153" s="16"/>
      <c r="F153" s="45"/>
      <c r="H153" s="21"/>
      <c r="J153" s="21"/>
      <c r="M153" s="21"/>
      <c r="N153" s="21"/>
      <c r="O153" s="42"/>
      <c r="P153" s="30"/>
      <c r="R153" s="21"/>
      <c r="S153" s="31"/>
      <c r="U153" s="16"/>
      <c r="V153" s="16"/>
      <c r="W153" s="16"/>
      <c r="X153" s="16"/>
      <c r="Y153" s="30"/>
      <c r="Z153" s="16" t="s">
        <v>174</v>
      </c>
    </row>
    <row r="154">
      <c r="A154" s="28" t="s">
        <v>174</v>
      </c>
      <c r="B154" s="16"/>
      <c r="F154" s="45"/>
      <c r="H154" s="21"/>
      <c r="J154" s="21"/>
      <c r="M154" s="21"/>
      <c r="N154" s="21"/>
      <c r="O154" s="42"/>
      <c r="P154" s="30"/>
      <c r="R154" s="21"/>
      <c r="S154" s="31"/>
      <c r="U154" s="16"/>
      <c r="V154" s="16"/>
      <c r="W154" s="16"/>
      <c r="X154" s="16"/>
      <c r="Y154" s="30"/>
      <c r="Z154" s="16" t="s">
        <v>174</v>
      </c>
    </row>
    <row r="155">
      <c r="A155" s="28" t="s">
        <v>174</v>
      </c>
      <c r="B155" s="16"/>
      <c r="F155" s="45"/>
      <c r="H155" s="21"/>
      <c r="J155" s="21"/>
      <c r="M155" s="21"/>
      <c r="N155" s="21"/>
      <c r="O155" s="42"/>
      <c r="P155" s="30"/>
      <c r="R155" s="21"/>
      <c r="S155" s="31"/>
      <c r="U155" s="16"/>
      <c r="V155" s="16"/>
      <c r="W155" s="16"/>
      <c r="X155" s="16"/>
      <c r="Y155" s="30"/>
      <c r="Z155" s="16" t="s">
        <v>174</v>
      </c>
    </row>
    <row r="156">
      <c r="A156" s="28" t="s">
        <v>174</v>
      </c>
      <c r="B156" s="16"/>
      <c r="F156" s="45"/>
      <c r="H156" s="21"/>
      <c r="J156" s="21"/>
      <c r="M156" s="21"/>
      <c r="N156" s="21"/>
      <c r="O156" s="42"/>
      <c r="P156" s="30"/>
      <c r="R156" s="21"/>
      <c r="S156" s="31"/>
      <c r="U156" s="16"/>
      <c r="V156" s="16"/>
      <c r="W156" s="16"/>
      <c r="X156" s="16"/>
      <c r="Y156" s="30"/>
      <c r="Z156" s="16" t="s">
        <v>174</v>
      </c>
    </row>
    <row r="157">
      <c r="A157" s="28" t="s">
        <v>174</v>
      </c>
      <c r="B157" s="16"/>
      <c r="F157" s="45"/>
      <c r="H157" s="21"/>
      <c r="J157" s="21"/>
      <c r="M157" s="21"/>
      <c r="N157" s="21"/>
      <c r="O157" s="42"/>
      <c r="P157" s="30"/>
      <c r="R157" s="21"/>
      <c r="S157" s="31"/>
      <c r="U157" s="16"/>
      <c r="V157" s="16"/>
      <c r="W157" s="16"/>
      <c r="X157" s="16"/>
      <c r="Y157" s="30"/>
      <c r="Z157" s="16" t="s">
        <v>174</v>
      </c>
    </row>
    <row r="158">
      <c r="A158" s="28" t="s">
        <v>174</v>
      </c>
      <c r="B158" s="16"/>
      <c r="F158" s="45"/>
      <c r="H158" s="21"/>
      <c r="J158" s="21"/>
      <c r="M158" s="21"/>
      <c r="N158" s="21"/>
      <c r="O158" s="42"/>
      <c r="P158" s="30"/>
      <c r="R158" s="21"/>
      <c r="S158" s="31"/>
      <c r="U158" s="16"/>
      <c r="V158" s="16"/>
      <c r="W158" s="16"/>
      <c r="X158" s="16"/>
      <c r="Y158" s="30"/>
      <c r="Z158" s="16" t="s">
        <v>174</v>
      </c>
    </row>
    <row r="159">
      <c r="A159" s="28" t="s">
        <v>174</v>
      </c>
      <c r="B159" s="16"/>
      <c r="F159" s="45"/>
      <c r="H159" s="21"/>
      <c r="J159" s="21"/>
      <c r="M159" s="21"/>
      <c r="N159" s="21"/>
      <c r="O159" s="42"/>
      <c r="P159" s="30"/>
      <c r="R159" s="21"/>
      <c r="S159" s="31"/>
      <c r="U159" s="16"/>
      <c r="V159" s="16"/>
      <c r="W159" s="16"/>
      <c r="X159" s="16"/>
      <c r="Y159" s="30"/>
      <c r="Z159" s="16" t="s">
        <v>174</v>
      </c>
    </row>
    <row r="160">
      <c r="A160" s="28" t="s">
        <v>174</v>
      </c>
      <c r="B160" s="16"/>
      <c r="F160" s="45"/>
      <c r="H160" s="21"/>
      <c r="J160" s="21"/>
      <c r="M160" s="21"/>
      <c r="N160" s="21"/>
      <c r="O160" s="42"/>
      <c r="P160" s="30"/>
      <c r="R160" s="21"/>
      <c r="S160" s="31"/>
      <c r="U160" s="16"/>
      <c r="V160" s="16"/>
      <c r="W160" s="16"/>
      <c r="X160" s="16"/>
      <c r="Y160" s="30"/>
      <c r="Z160" s="16" t="s">
        <v>174</v>
      </c>
    </row>
    <row r="161">
      <c r="A161" s="28" t="s">
        <v>174</v>
      </c>
      <c r="B161" s="16"/>
      <c r="F161" s="45"/>
      <c r="H161" s="21"/>
      <c r="J161" s="21"/>
      <c r="M161" s="21"/>
      <c r="N161" s="21"/>
      <c r="O161" s="42"/>
      <c r="P161" s="30"/>
      <c r="R161" s="21"/>
      <c r="S161" s="31"/>
      <c r="U161" s="16"/>
      <c r="V161" s="16"/>
      <c r="W161" s="16"/>
      <c r="X161" s="16"/>
      <c r="Y161" s="30"/>
      <c r="Z161" s="16" t="s">
        <v>174</v>
      </c>
    </row>
    <row r="162">
      <c r="A162" s="28" t="s">
        <v>174</v>
      </c>
      <c r="B162" s="16"/>
      <c r="F162" s="45"/>
      <c r="H162" s="21"/>
      <c r="J162" s="21"/>
      <c r="M162" s="21"/>
      <c r="N162" s="21"/>
      <c r="O162" s="42"/>
      <c r="P162" s="30"/>
      <c r="R162" s="21"/>
      <c r="S162" s="31"/>
      <c r="U162" s="16"/>
      <c r="V162" s="16"/>
      <c r="W162" s="16"/>
      <c r="X162" s="16"/>
      <c r="Y162" s="30"/>
      <c r="Z162" s="16" t="s">
        <v>174</v>
      </c>
    </row>
    <row r="163">
      <c r="A163" s="28" t="s">
        <v>174</v>
      </c>
      <c r="B163" s="16"/>
      <c r="F163" s="45"/>
      <c r="H163" s="21"/>
      <c r="J163" s="21"/>
      <c r="M163" s="21"/>
      <c r="N163" s="21"/>
      <c r="O163" s="42"/>
      <c r="P163" s="30"/>
      <c r="R163" s="21"/>
      <c r="S163" s="31"/>
      <c r="U163" s="16"/>
      <c r="V163" s="16"/>
      <c r="W163" s="16"/>
      <c r="X163" s="16"/>
      <c r="Y163" s="30"/>
      <c r="Z163" s="16" t="s">
        <v>174</v>
      </c>
    </row>
    <row r="164">
      <c r="A164" s="28" t="s">
        <v>174</v>
      </c>
      <c r="B164" s="16"/>
      <c r="F164" s="45"/>
      <c r="H164" s="21"/>
      <c r="J164" s="21"/>
      <c r="M164" s="21"/>
      <c r="N164" s="21"/>
      <c r="O164" s="42"/>
      <c r="P164" s="30"/>
      <c r="R164" s="21"/>
      <c r="S164" s="31"/>
      <c r="U164" s="16"/>
      <c r="V164" s="16"/>
      <c r="W164" s="16"/>
      <c r="X164" s="16"/>
      <c r="Y164" s="30"/>
      <c r="Z164" s="16" t="s">
        <v>174</v>
      </c>
    </row>
    <row r="165">
      <c r="A165" s="28" t="s">
        <v>174</v>
      </c>
      <c r="B165" s="16"/>
      <c r="F165" s="45"/>
      <c r="H165" s="21"/>
      <c r="J165" s="21"/>
      <c r="M165" s="21"/>
      <c r="N165" s="21"/>
      <c r="O165" s="42"/>
      <c r="P165" s="30"/>
      <c r="R165" s="21"/>
      <c r="S165" s="31"/>
      <c r="U165" s="16"/>
      <c r="V165" s="16"/>
      <c r="W165" s="16"/>
      <c r="X165" s="16"/>
      <c r="Y165" s="30"/>
      <c r="Z165" s="16" t="s">
        <v>174</v>
      </c>
    </row>
    <row r="166">
      <c r="A166" s="28" t="s">
        <v>174</v>
      </c>
      <c r="B166" s="16"/>
      <c r="F166" s="45"/>
      <c r="H166" s="21"/>
      <c r="J166" s="21"/>
      <c r="M166" s="21"/>
      <c r="N166" s="21"/>
      <c r="O166" s="42"/>
      <c r="P166" s="30"/>
      <c r="R166" s="21"/>
      <c r="S166" s="31"/>
      <c r="U166" s="16"/>
      <c r="V166" s="16"/>
      <c r="W166" s="16"/>
      <c r="X166" s="16"/>
      <c r="Y166" s="30"/>
      <c r="Z166" s="16" t="s">
        <v>174</v>
      </c>
    </row>
    <row r="167">
      <c r="A167" s="28" t="s">
        <v>174</v>
      </c>
      <c r="B167" s="16"/>
      <c r="F167" s="45"/>
      <c r="H167" s="21"/>
      <c r="J167" s="21"/>
      <c r="M167" s="21"/>
      <c r="N167" s="21"/>
      <c r="O167" s="42"/>
      <c r="P167" s="30"/>
      <c r="R167" s="21"/>
      <c r="S167" s="31"/>
      <c r="U167" s="16"/>
      <c r="V167" s="16"/>
      <c r="W167" s="16"/>
      <c r="X167" s="16"/>
      <c r="Y167" s="30"/>
      <c r="Z167" s="16" t="s">
        <v>174</v>
      </c>
    </row>
    <row r="168">
      <c r="A168" s="28" t="s">
        <v>174</v>
      </c>
      <c r="B168" s="16"/>
      <c r="F168" s="45"/>
      <c r="H168" s="21"/>
      <c r="J168" s="21"/>
      <c r="M168" s="21"/>
      <c r="N168" s="21"/>
      <c r="O168" s="42"/>
      <c r="P168" s="30"/>
      <c r="R168" s="21"/>
      <c r="S168" s="31"/>
      <c r="U168" s="16"/>
      <c r="V168" s="16"/>
      <c r="W168" s="16"/>
      <c r="X168" s="16"/>
      <c r="Y168" s="30"/>
      <c r="Z168" s="16" t="s">
        <v>174</v>
      </c>
    </row>
    <row r="169">
      <c r="A169" s="28" t="s">
        <v>174</v>
      </c>
      <c r="B169" s="16"/>
      <c r="F169" s="45"/>
      <c r="H169" s="21"/>
      <c r="J169" s="21"/>
      <c r="M169" s="21"/>
      <c r="N169" s="21"/>
      <c r="O169" s="42"/>
      <c r="P169" s="30"/>
      <c r="R169" s="21"/>
      <c r="S169" s="31"/>
      <c r="U169" s="16"/>
      <c r="V169" s="16"/>
      <c r="W169" s="16"/>
      <c r="X169" s="16"/>
      <c r="Y169" s="30"/>
      <c r="Z169" s="16" t="s">
        <v>174</v>
      </c>
    </row>
    <row r="170">
      <c r="A170" s="28" t="s">
        <v>174</v>
      </c>
      <c r="B170" s="16"/>
      <c r="F170" s="45"/>
      <c r="H170" s="21"/>
      <c r="J170" s="21"/>
      <c r="M170" s="21"/>
      <c r="N170" s="21"/>
      <c r="O170" s="42"/>
      <c r="P170" s="30"/>
      <c r="R170" s="21"/>
      <c r="S170" s="31"/>
      <c r="U170" s="16"/>
      <c r="V170" s="16"/>
      <c r="W170" s="16"/>
      <c r="X170" s="16"/>
      <c r="Y170" s="30"/>
      <c r="Z170" s="16" t="s">
        <v>174</v>
      </c>
    </row>
    <row r="171">
      <c r="A171" s="28" t="s">
        <v>174</v>
      </c>
      <c r="B171" s="16"/>
      <c r="F171" s="45"/>
      <c r="H171" s="21"/>
      <c r="J171" s="21"/>
      <c r="M171" s="21"/>
      <c r="N171" s="21"/>
      <c r="O171" s="42"/>
      <c r="P171" s="30"/>
      <c r="R171" s="21"/>
      <c r="S171" s="31"/>
      <c r="U171" s="16"/>
      <c r="V171" s="16"/>
      <c r="W171" s="16"/>
      <c r="X171" s="16"/>
      <c r="Y171" s="30"/>
      <c r="Z171" s="16" t="s">
        <v>174</v>
      </c>
    </row>
    <row r="172">
      <c r="A172" s="28" t="s">
        <v>174</v>
      </c>
      <c r="B172" s="16"/>
      <c r="F172" s="45"/>
      <c r="H172" s="21"/>
      <c r="J172" s="21"/>
      <c r="M172" s="21"/>
      <c r="N172" s="21"/>
      <c r="O172" s="42"/>
      <c r="P172" s="30"/>
      <c r="R172" s="21"/>
      <c r="S172" s="31"/>
      <c r="U172" s="16"/>
      <c r="V172" s="16"/>
      <c r="W172" s="16"/>
      <c r="X172" s="16"/>
      <c r="Y172" s="30"/>
      <c r="Z172" s="16" t="s">
        <v>174</v>
      </c>
    </row>
    <row r="173">
      <c r="A173" s="28" t="s">
        <v>174</v>
      </c>
      <c r="B173" s="16"/>
      <c r="F173" s="45"/>
      <c r="H173" s="21"/>
      <c r="J173" s="21"/>
      <c r="M173" s="21"/>
      <c r="N173" s="21"/>
      <c r="O173" s="42"/>
      <c r="P173" s="30"/>
      <c r="R173" s="21"/>
      <c r="S173" s="31"/>
      <c r="U173" s="16"/>
      <c r="V173" s="16"/>
      <c r="W173" s="16"/>
      <c r="X173" s="16"/>
      <c r="Y173" s="30"/>
      <c r="Z173" s="16" t="s">
        <v>174</v>
      </c>
    </row>
    <row r="174">
      <c r="A174" s="28" t="s">
        <v>174</v>
      </c>
      <c r="B174" s="16"/>
      <c r="F174" s="45"/>
      <c r="H174" s="21"/>
      <c r="J174" s="21"/>
      <c r="M174" s="21"/>
      <c r="N174" s="21"/>
      <c r="O174" s="42"/>
      <c r="P174" s="30"/>
      <c r="R174" s="21"/>
      <c r="S174" s="31"/>
      <c r="U174" s="16"/>
      <c r="V174" s="16"/>
      <c r="W174" s="16"/>
      <c r="X174" s="16"/>
      <c r="Y174" s="30"/>
      <c r="Z174" s="16" t="s">
        <v>174</v>
      </c>
    </row>
    <row r="175">
      <c r="A175" s="28" t="s">
        <v>174</v>
      </c>
      <c r="B175" s="16"/>
      <c r="F175" s="45"/>
      <c r="H175" s="21"/>
      <c r="J175" s="21"/>
      <c r="M175" s="21"/>
      <c r="N175" s="21"/>
      <c r="O175" s="42"/>
      <c r="P175" s="30"/>
      <c r="R175" s="21"/>
      <c r="S175" s="31"/>
      <c r="U175" s="16"/>
      <c r="V175" s="16"/>
      <c r="W175" s="16"/>
      <c r="X175" s="16"/>
      <c r="Y175" s="30"/>
      <c r="Z175" s="16" t="s">
        <v>174</v>
      </c>
    </row>
    <row r="176">
      <c r="A176" s="28" t="s">
        <v>174</v>
      </c>
      <c r="B176" s="16"/>
      <c r="F176" s="45"/>
      <c r="H176" s="21"/>
      <c r="J176" s="21"/>
      <c r="M176" s="21"/>
      <c r="N176" s="21"/>
      <c r="O176" s="42"/>
      <c r="P176" s="30"/>
      <c r="R176" s="21"/>
      <c r="S176" s="31"/>
      <c r="U176" s="16"/>
      <c r="V176" s="16"/>
      <c r="W176" s="16"/>
      <c r="X176" s="16"/>
      <c r="Y176" s="30"/>
      <c r="Z176" s="16" t="s">
        <v>174</v>
      </c>
    </row>
    <row r="177">
      <c r="A177" s="28" t="s">
        <v>174</v>
      </c>
      <c r="B177" s="16"/>
      <c r="F177" s="45"/>
      <c r="H177" s="21"/>
      <c r="J177" s="21"/>
      <c r="M177" s="21"/>
      <c r="N177" s="21"/>
      <c r="O177" s="42"/>
      <c r="P177" s="30"/>
      <c r="R177" s="21"/>
      <c r="S177" s="31"/>
      <c r="U177" s="16"/>
      <c r="V177" s="16"/>
      <c r="W177" s="16"/>
      <c r="X177" s="16"/>
      <c r="Y177" s="30"/>
      <c r="Z177" s="16" t="s">
        <v>174</v>
      </c>
    </row>
    <row r="178">
      <c r="A178" s="28" t="s">
        <v>174</v>
      </c>
      <c r="B178" s="16"/>
      <c r="F178" s="45"/>
      <c r="H178" s="21"/>
      <c r="J178" s="21"/>
      <c r="M178" s="21"/>
      <c r="N178" s="21"/>
      <c r="O178" s="42"/>
      <c r="P178" s="30"/>
      <c r="R178" s="21"/>
      <c r="S178" s="31"/>
      <c r="U178" s="16"/>
      <c r="V178" s="16"/>
      <c r="W178" s="16"/>
      <c r="X178" s="16"/>
      <c r="Y178" s="30"/>
      <c r="Z178" s="16" t="s">
        <v>174</v>
      </c>
    </row>
    <row r="179">
      <c r="A179" s="28" t="s">
        <v>174</v>
      </c>
      <c r="B179" s="16"/>
      <c r="F179" s="45"/>
      <c r="H179" s="21"/>
      <c r="J179" s="21"/>
      <c r="M179" s="21"/>
      <c r="N179" s="21"/>
      <c r="O179" s="42"/>
      <c r="P179" s="30"/>
      <c r="R179" s="21"/>
      <c r="S179" s="31"/>
      <c r="U179" s="16"/>
      <c r="V179" s="16"/>
      <c r="W179" s="16"/>
      <c r="X179" s="16"/>
      <c r="Y179" s="30"/>
      <c r="Z179" s="16" t="s">
        <v>174</v>
      </c>
    </row>
    <row r="180">
      <c r="A180" s="28" t="s">
        <v>174</v>
      </c>
      <c r="B180" s="16"/>
      <c r="F180" s="45"/>
      <c r="H180" s="21"/>
      <c r="J180" s="21"/>
      <c r="M180" s="21"/>
      <c r="N180" s="21"/>
      <c r="O180" s="42"/>
      <c r="P180" s="30"/>
      <c r="R180" s="21"/>
      <c r="S180" s="31"/>
      <c r="U180" s="16"/>
      <c r="V180" s="16"/>
      <c r="W180" s="16"/>
      <c r="X180" s="16"/>
      <c r="Y180" s="30"/>
      <c r="Z180" s="16" t="s">
        <v>174</v>
      </c>
    </row>
    <row r="181">
      <c r="A181" s="28" t="s">
        <v>174</v>
      </c>
      <c r="B181" s="16"/>
      <c r="F181" s="45"/>
      <c r="H181" s="21"/>
      <c r="J181" s="21"/>
      <c r="M181" s="21"/>
      <c r="N181" s="21"/>
      <c r="O181" s="42"/>
      <c r="P181" s="30"/>
      <c r="R181" s="21"/>
      <c r="S181" s="31"/>
      <c r="U181" s="16"/>
      <c r="V181" s="16"/>
      <c r="W181" s="16"/>
      <c r="X181" s="16"/>
      <c r="Y181" s="30"/>
      <c r="Z181" s="16" t="s">
        <v>174</v>
      </c>
    </row>
    <row r="182">
      <c r="A182" s="28" t="s">
        <v>174</v>
      </c>
      <c r="B182" s="16"/>
      <c r="F182" s="45"/>
      <c r="H182" s="21"/>
      <c r="J182" s="21"/>
      <c r="M182" s="21"/>
      <c r="N182" s="21"/>
      <c r="O182" s="42"/>
      <c r="P182" s="30"/>
      <c r="R182" s="21"/>
      <c r="S182" s="31"/>
      <c r="U182" s="16"/>
      <c r="V182" s="16"/>
      <c r="W182" s="16"/>
      <c r="X182" s="16"/>
      <c r="Y182" s="30"/>
      <c r="Z182" s="16" t="s">
        <v>174</v>
      </c>
    </row>
    <row r="183">
      <c r="A183" s="28" t="s">
        <v>174</v>
      </c>
      <c r="B183" s="16"/>
      <c r="F183" s="45"/>
      <c r="H183" s="21"/>
      <c r="J183" s="21"/>
      <c r="M183" s="21"/>
      <c r="N183" s="21"/>
      <c r="O183" s="42"/>
      <c r="P183" s="30"/>
      <c r="R183" s="21"/>
      <c r="S183" s="31"/>
      <c r="U183" s="16"/>
      <c r="V183" s="16"/>
      <c r="W183" s="16"/>
      <c r="X183" s="16"/>
      <c r="Y183" s="30"/>
      <c r="Z183" s="16" t="s">
        <v>174</v>
      </c>
    </row>
    <row r="184">
      <c r="A184" s="28" t="s">
        <v>174</v>
      </c>
      <c r="B184" s="16"/>
      <c r="F184" s="45"/>
      <c r="H184" s="21"/>
      <c r="J184" s="21"/>
      <c r="M184" s="21"/>
      <c r="N184" s="21"/>
      <c r="O184" s="42"/>
      <c r="P184" s="30"/>
      <c r="R184" s="21"/>
      <c r="S184" s="31"/>
      <c r="U184" s="16"/>
      <c r="V184" s="16"/>
      <c r="W184" s="16"/>
      <c r="X184" s="16"/>
      <c r="Y184" s="30"/>
      <c r="Z184" s="16" t="s">
        <v>174</v>
      </c>
    </row>
    <row r="185">
      <c r="A185" s="28" t="s">
        <v>174</v>
      </c>
      <c r="B185" s="16"/>
      <c r="F185" s="45"/>
      <c r="H185" s="21"/>
      <c r="J185" s="21"/>
      <c r="M185" s="21"/>
      <c r="N185" s="21"/>
      <c r="O185" s="42"/>
      <c r="P185" s="30"/>
      <c r="R185" s="21"/>
      <c r="S185" s="31"/>
      <c r="U185" s="16"/>
      <c r="V185" s="16"/>
      <c r="W185" s="16"/>
      <c r="X185" s="16"/>
      <c r="Y185" s="30"/>
      <c r="Z185" s="16" t="s">
        <v>174</v>
      </c>
    </row>
    <row r="186">
      <c r="A186" s="28" t="s">
        <v>174</v>
      </c>
      <c r="B186" s="16"/>
      <c r="F186" s="45"/>
      <c r="H186" s="21"/>
      <c r="J186" s="21"/>
      <c r="M186" s="21"/>
      <c r="N186" s="21"/>
      <c r="O186" s="42"/>
      <c r="P186" s="30"/>
      <c r="R186" s="21"/>
      <c r="S186" s="31"/>
      <c r="U186" s="16"/>
      <c r="V186" s="16"/>
      <c r="W186" s="16"/>
      <c r="X186" s="16"/>
      <c r="Y186" s="30"/>
      <c r="Z186" s="16" t="s">
        <v>174</v>
      </c>
    </row>
    <row r="187">
      <c r="A187" s="28" t="s">
        <v>174</v>
      </c>
      <c r="B187" s="16"/>
      <c r="F187" s="45"/>
      <c r="H187" s="21"/>
      <c r="J187" s="21"/>
      <c r="M187" s="21"/>
      <c r="N187" s="21"/>
      <c r="O187" s="42"/>
      <c r="P187" s="30"/>
      <c r="R187" s="21"/>
      <c r="S187" s="31"/>
      <c r="U187" s="16"/>
      <c r="V187" s="16"/>
      <c r="W187" s="16"/>
      <c r="X187" s="16"/>
      <c r="Y187" s="30"/>
      <c r="Z187" s="16" t="s">
        <v>174</v>
      </c>
    </row>
    <row r="188">
      <c r="A188" s="28" t="s">
        <v>174</v>
      </c>
      <c r="B188" s="16"/>
      <c r="F188" s="45"/>
      <c r="H188" s="21"/>
      <c r="J188" s="21"/>
      <c r="M188" s="21"/>
      <c r="N188" s="21"/>
      <c r="O188" s="42"/>
      <c r="P188" s="30"/>
      <c r="R188" s="21"/>
      <c r="S188" s="31"/>
      <c r="U188" s="16"/>
      <c r="V188" s="16"/>
      <c r="W188" s="16"/>
      <c r="X188" s="16"/>
      <c r="Y188" s="30"/>
      <c r="Z188" s="16" t="s">
        <v>174</v>
      </c>
    </row>
    <row r="189">
      <c r="A189" s="28" t="s">
        <v>174</v>
      </c>
      <c r="B189" s="16"/>
      <c r="F189" s="45"/>
      <c r="H189" s="21"/>
      <c r="J189" s="21"/>
      <c r="M189" s="21"/>
      <c r="N189" s="21"/>
      <c r="O189" s="42"/>
      <c r="P189" s="30"/>
      <c r="R189" s="21"/>
      <c r="S189" s="31"/>
      <c r="U189" s="16"/>
      <c r="V189" s="16"/>
      <c r="W189" s="16"/>
      <c r="X189" s="16"/>
      <c r="Y189" s="30"/>
      <c r="Z189" s="16" t="s">
        <v>174</v>
      </c>
    </row>
    <row r="190">
      <c r="A190" s="28" t="s">
        <v>174</v>
      </c>
      <c r="B190" s="16"/>
      <c r="F190" s="45"/>
      <c r="H190" s="21"/>
      <c r="J190" s="21"/>
      <c r="M190" s="21"/>
      <c r="N190" s="21"/>
      <c r="O190" s="42"/>
      <c r="P190" s="30"/>
      <c r="R190" s="21"/>
      <c r="S190" s="31"/>
      <c r="U190" s="16"/>
      <c r="V190" s="16"/>
      <c r="W190" s="16"/>
      <c r="X190" s="16"/>
      <c r="Y190" s="30"/>
      <c r="Z190" s="16" t="s">
        <v>174</v>
      </c>
    </row>
    <row r="191">
      <c r="A191" s="28" t="s">
        <v>174</v>
      </c>
      <c r="B191" s="16"/>
      <c r="F191" s="45"/>
      <c r="H191" s="21"/>
      <c r="J191" s="21"/>
      <c r="M191" s="21"/>
      <c r="N191" s="21"/>
      <c r="O191" s="42"/>
      <c r="P191" s="30"/>
      <c r="R191" s="21"/>
      <c r="S191" s="31"/>
      <c r="U191" s="16"/>
      <c r="V191" s="16"/>
      <c r="W191" s="16"/>
      <c r="X191" s="16"/>
      <c r="Y191" s="30"/>
      <c r="Z191" s="16" t="s">
        <v>174</v>
      </c>
    </row>
    <row r="192">
      <c r="A192" s="28" t="s">
        <v>174</v>
      </c>
      <c r="B192" s="16"/>
      <c r="F192" s="45"/>
      <c r="H192" s="21"/>
      <c r="J192" s="21"/>
      <c r="M192" s="21"/>
      <c r="N192" s="21"/>
      <c r="O192" s="42"/>
      <c r="P192" s="30"/>
      <c r="R192" s="21"/>
      <c r="S192" s="31"/>
      <c r="U192" s="16"/>
      <c r="V192" s="16"/>
      <c r="W192" s="16"/>
      <c r="X192" s="16"/>
      <c r="Y192" s="30"/>
      <c r="Z192" s="16" t="s">
        <v>174</v>
      </c>
    </row>
    <row r="193">
      <c r="A193" s="28" t="s">
        <v>174</v>
      </c>
      <c r="B193" s="16"/>
      <c r="F193" s="45"/>
      <c r="H193" s="21"/>
      <c r="J193" s="21"/>
      <c r="M193" s="21"/>
      <c r="N193" s="21"/>
      <c r="O193" s="42"/>
      <c r="P193" s="30"/>
      <c r="R193" s="21"/>
      <c r="S193" s="31"/>
      <c r="U193" s="16"/>
      <c r="V193" s="16"/>
      <c r="W193" s="16"/>
      <c r="X193" s="16"/>
      <c r="Y193" s="30"/>
      <c r="Z193" s="16" t="s">
        <v>174</v>
      </c>
    </row>
    <row r="194">
      <c r="A194" s="28" t="s">
        <v>174</v>
      </c>
      <c r="B194" s="16"/>
      <c r="F194" s="45"/>
      <c r="H194" s="21"/>
      <c r="J194" s="21"/>
      <c r="M194" s="21"/>
      <c r="N194" s="21"/>
      <c r="O194" s="42"/>
      <c r="P194" s="30"/>
      <c r="R194" s="21"/>
      <c r="S194" s="31"/>
      <c r="U194" s="16"/>
      <c r="V194" s="16"/>
      <c r="W194" s="16"/>
      <c r="X194" s="16"/>
      <c r="Y194" s="30"/>
      <c r="Z194" s="16" t="s">
        <v>174</v>
      </c>
    </row>
    <row r="195">
      <c r="A195" s="28" t="s">
        <v>174</v>
      </c>
      <c r="B195" s="16"/>
      <c r="F195" s="45"/>
      <c r="H195" s="21"/>
      <c r="J195" s="21"/>
      <c r="M195" s="21"/>
      <c r="N195" s="21"/>
      <c r="O195" s="42"/>
      <c r="P195" s="30"/>
      <c r="R195" s="21"/>
      <c r="S195" s="31"/>
      <c r="U195" s="16"/>
      <c r="V195" s="16"/>
      <c r="W195" s="16"/>
      <c r="X195" s="16"/>
      <c r="Y195" s="30"/>
      <c r="Z195" s="16" t="s">
        <v>174</v>
      </c>
    </row>
    <row r="196">
      <c r="A196" s="28" t="s">
        <v>174</v>
      </c>
      <c r="B196" s="16"/>
      <c r="F196" s="45"/>
      <c r="H196" s="21"/>
      <c r="J196" s="21"/>
      <c r="M196" s="21"/>
      <c r="N196" s="21"/>
      <c r="O196" s="42"/>
      <c r="P196" s="30"/>
      <c r="R196" s="21"/>
      <c r="S196" s="31"/>
      <c r="U196" s="16"/>
      <c r="V196" s="16"/>
      <c r="W196" s="16"/>
      <c r="X196" s="16"/>
      <c r="Y196" s="30"/>
      <c r="Z196" s="16" t="s">
        <v>174</v>
      </c>
    </row>
    <row r="197">
      <c r="A197" s="28" t="s">
        <v>174</v>
      </c>
      <c r="B197" s="16"/>
      <c r="F197" s="45"/>
      <c r="H197" s="21"/>
      <c r="J197" s="21"/>
      <c r="M197" s="21"/>
      <c r="N197" s="21"/>
      <c r="O197" s="42"/>
      <c r="P197" s="30"/>
      <c r="R197" s="21"/>
      <c r="S197" s="31"/>
      <c r="U197" s="16"/>
      <c r="V197" s="16"/>
      <c r="W197" s="16"/>
      <c r="X197" s="16"/>
      <c r="Y197" s="30"/>
      <c r="Z197" s="16" t="s">
        <v>174</v>
      </c>
    </row>
    <row r="198">
      <c r="A198" s="28" t="s">
        <v>174</v>
      </c>
      <c r="B198" s="16"/>
      <c r="F198" s="45"/>
      <c r="H198" s="21"/>
      <c r="J198" s="21"/>
      <c r="M198" s="21"/>
      <c r="N198" s="21"/>
      <c r="O198" s="42"/>
      <c r="P198" s="30"/>
      <c r="R198" s="21"/>
      <c r="S198" s="31"/>
      <c r="U198" s="16"/>
      <c r="V198" s="16"/>
      <c r="W198" s="16"/>
      <c r="X198" s="16"/>
      <c r="Y198" s="30"/>
      <c r="Z198" s="16" t="s">
        <v>174</v>
      </c>
    </row>
    <row r="199">
      <c r="A199" s="28" t="s">
        <v>174</v>
      </c>
      <c r="B199" s="16"/>
      <c r="F199" s="45"/>
      <c r="H199" s="21"/>
      <c r="J199" s="21"/>
      <c r="M199" s="21"/>
      <c r="N199" s="21"/>
      <c r="O199" s="42"/>
      <c r="P199" s="30"/>
      <c r="R199" s="21"/>
      <c r="S199" s="31"/>
      <c r="U199" s="16"/>
      <c r="V199" s="16"/>
      <c r="W199" s="16"/>
      <c r="X199" s="16"/>
      <c r="Y199" s="30"/>
      <c r="Z199" s="16" t="s">
        <v>174</v>
      </c>
    </row>
    <row r="200">
      <c r="A200" s="28" t="s">
        <v>174</v>
      </c>
      <c r="B200" s="16"/>
      <c r="F200" s="45"/>
      <c r="H200" s="21"/>
      <c r="J200" s="21"/>
      <c r="M200" s="21"/>
      <c r="N200" s="21"/>
      <c r="O200" s="42"/>
      <c r="P200" s="30"/>
      <c r="R200" s="21"/>
      <c r="S200" s="31"/>
      <c r="U200" s="16"/>
      <c r="V200" s="16"/>
      <c r="W200" s="16"/>
      <c r="X200" s="16"/>
      <c r="Y200" s="30"/>
      <c r="Z200" s="16" t="s">
        <v>174</v>
      </c>
    </row>
    <row r="201">
      <c r="A201" s="28" t="s">
        <v>174</v>
      </c>
      <c r="B201" s="16"/>
      <c r="F201" s="45"/>
      <c r="H201" s="21"/>
      <c r="J201" s="21"/>
      <c r="M201" s="21"/>
      <c r="N201" s="21"/>
      <c r="O201" s="42"/>
      <c r="P201" s="30"/>
      <c r="R201" s="21"/>
      <c r="S201" s="31"/>
      <c r="U201" s="16"/>
      <c r="V201" s="16"/>
      <c r="W201" s="16"/>
      <c r="X201" s="16"/>
      <c r="Y201" s="30"/>
      <c r="Z201" s="16" t="s">
        <v>174</v>
      </c>
    </row>
    <row r="202">
      <c r="A202" s="28" t="s">
        <v>174</v>
      </c>
      <c r="B202" s="16"/>
      <c r="F202" s="45"/>
      <c r="H202" s="21"/>
      <c r="J202" s="21"/>
      <c r="M202" s="21"/>
      <c r="N202" s="21"/>
      <c r="O202" s="42"/>
      <c r="P202" s="30"/>
      <c r="R202" s="21"/>
      <c r="S202" s="31"/>
      <c r="U202" s="16"/>
      <c r="V202" s="16"/>
      <c r="W202" s="16"/>
      <c r="X202" s="16"/>
      <c r="Y202" s="30"/>
      <c r="Z202" s="16" t="s">
        <v>174</v>
      </c>
    </row>
    <row r="203">
      <c r="A203" s="28" t="s">
        <v>174</v>
      </c>
      <c r="B203" s="16"/>
      <c r="F203" s="45"/>
      <c r="H203" s="21"/>
      <c r="J203" s="21"/>
      <c r="M203" s="21"/>
      <c r="N203" s="21"/>
      <c r="O203" s="42"/>
      <c r="P203" s="30"/>
      <c r="R203" s="21"/>
      <c r="S203" s="31"/>
      <c r="U203" s="16"/>
      <c r="V203" s="16"/>
      <c r="W203" s="16"/>
      <c r="X203" s="16"/>
      <c r="Y203" s="30"/>
      <c r="Z203" s="16" t="s">
        <v>174</v>
      </c>
    </row>
    <row r="204">
      <c r="A204" s="28" t="s">
        <v>174</v>
      </c>
      <c r="B204" s="16"/>
      <c r="F204" s="45"/>
      <c r="H204" s="21"/>
      <c r="J204" s="21"/>
      <c r="M204" s="21"/>
      <c r="N204" s="21"/>
      <c r="O204" s="42"/>
      <c r="P204" s="30"/>
      <c r="R204" s="21"/>
      <c r="S204" s="31"/>
      <c r="U204" s="16"/>
      <c r="V204" s="16"/>
      <c r="W204" s="16"/>
      <c r="X204" s="16"/>
      <c r="Y204" s="30"/>
      <c r="Z204" s="16" t="s">
        <v>174</v>
      </c>
    </row>
    <row r="205">
      <c r="A205" s="28" t="s">
        <v>174</v>
      </c>
      <c r="B205" s="16"/>
      <c r="F205" s="45"/>
      <c r="H205" s="21"/>
      <c r="J205" s="21"/>
      <c r="M205" s="21"/>
      <c r="N205" s="21"/>
      <c r="O205" s="42"/>
      <c r="P205" s="30"/>
      <c r="R205" s="21"/>
      <c r="S205" s="31"/>
      <c r="U205" s="16"/>
      <c r="V205" s="16"/>
      <c r="W205" s="16"/>
      <c r="X205" s="16"/>
      <c r="Y205" s="30"/>
      <c r="Z205" s="16" t="s">
        <v>174</v>
      </c>
    </row>
    <row r="206">
      <c r="A206" s="28" t="s">
        <v>174</v>
      </c>
      <c r="B206" s="16"/>
      <c r="F206" s="45"/>
      <c r="H206" s="21"/>
      <c r="J206" s="21"/>
      <c r="M206" s="21"/>
      <c r="N206" s="21"/>
      <c r="O206" s="42"/>
      <c r="P206" s="30"/>
      <c r="R206" s="21"/>
      <c r="S206" s="31"/>
      <c r="U206" s="16"/>
      <c r="V206" s="16"/>
      <c r="W206" s="16"/>
      <c r="X206" s="16"/>
      <c r="Y206" s="30"/>
      <c r="Z206" s="16" t="s">
        <v>174</v>
      </c>
    </row>
    <row r="207">
      <c r="A207" s="28" t="s">
        <v>174</v>
      </c>
      <c r="B207" s="16"/>
      <c r="F207" s="45"/>
      <c r="H207" s="21"/>
      <c r="J207" s="21"/>
      <c r="M207" s="21"/>
      <c r="N207" s="21"/>
      <c r="O207" s="42"/>
      <c r="P207" s="30"/>
      <c r="R207" s="21"/>
      <c r="S207" s="31"/>
      <c r="U207" s="16"/>
      <c r="V207" s="16"/>
      <c r="W207" s="16"/>
      <c r="X207" s="16"/>
      <c r="Y207" s="30"/>
      <c r="Z207" s="16" t="s">
        <v>174</v>
      </c>
    </row>
    <row r="208">
      <c r="A208" s="28" t="s">
        <v>174</v>
      </c>
      <c r="B208" s="16"/>
      <c r="F208" s="45"/>
      <c r="H208" s="21"/>
      <c r="J208" s="21"/>
      <c r="M208" s="21"/>
      <c r="N208" s="21"/>
      <c r="O208" s="42"/>
      <c r="P208" s="30"/>
      <c r="R208" s="21"/>
      <c r="S208" s="31"/>
      <c r="U208" s="16"/>
      <c r="V208" s="16"/>
      <c r="W208" s="16"/>
      <c r="X208" s="16"/>
      <c r="Y208" s="30"/>
      <c r="Z208" s="16" t="s">
        <v>174</v>
      </c>
    </row>
    <row r="209">
      <c r="A209" s="28" t="s">
        <v>174</v>
      </c>
      <c r="B209" s="16"/>
      <c r="F209" s="45"/>
      <c r="H209" s="21"/>
      <c r="J209" s="21"/>
      <c r="M209" s="21"/>
      <c r="N209" s="21"/>
      <c r="O209" s="42"/>
      <c r="P209" s="30"/>
      <c r="R209" s="21"/>
      <c r="S209" s="31"/>
      <c r="U209" s="16"/>
      <c r="V209" s="16"/>
      <c r="W209" s="16"/>
      <c r="X209" s="16"/>
      <c r="Y209" s="30"/>
      <c r="Z209" s="16" t="s">
        <v>174</v>
      </c>
    </row>
    <row r="210">
      <c r="A210" s="28" t="s">
        <v>174</v>
      </c>
      <c r="B210" s="16"/>
      <c r="F210" s="45"/>
      <c r="H210" s="21"/>
      <c r="J210" s="21"/>
      <c r="M210" s="21"/>
      <c r="N210" s="21"/>
      <c r="O210" s="42"/>
      <c r="P210" s="30"/>
      <c r="R210" s="21"/>
      <c r="S210" s="31"/>
      <c r="U210" s="16"/>
      <c r="V210" s="16"/>
      <c r="W210" s="16"/>
      <c r="X210" s="16"/>
      <c r="Y210" s="30"/>
      <c r="Z210" s="16" t="s">
        <v>174</v>
      </c>
    </row>
    <row r="211">
      <c r="A211" s="28" t="s">
        <v>174</v>
      </c>
      <c r="B211" s="16"/>
      <c r="F211" s="45"/>
      <c r="H211" s="21"/>
      <c r="J211" s="21"/>
      <c r="M211" s="21"/>
      <c r="N211" s="21"/>
      <c r="O211" s="42"/>
      <c r="P211" s="30"/>
      <c r="R211" s="21"/>
      <c r="S211" s="31"/>
      <c r="U211" s="16"/>
      <c r="V211" s="16"/>
      <c r="W211" s="16"/>
      <c r="X211" s="16"/>
      <c r="Y211" s="30"/>
      <c r="Z211" s="16" t="s">
        <v>174</v>
      </c>
    </row>
    <row r="212">
      <c r="A212" s="28" t="s">
        <v>174</v>
      </c>
      <c r="B212" s="16"/>
      <c r="F212" s="45"/>
      <c r="H212" s="21"/>
      <c r="J212" s="21"/>
      <c r="M212" s="21"/>
      <c r="N212" s="21"/>
      <c r="O212" s="42"/>
      <c r="P212" s="30"/>
      <c r="R212" s="21"/>
      <c r="S212" s="31"/>
      <c r="U212" s="16"/>
      <c r="V212" s="16"/>
      <c r="W212" s="16"/>
      <c r="X212" s="16"/>
      <c r="Y212" s="30"/>
      <c r="Z212" s="16" t="s">
        <v>174</v>
      </c>
    </row>
    <row r="213">
      <c r="A213" s="28" t="s">
        <v>174</v>
      </c>
      <c r="B213" s="16"/>
      <c r="F213" s="45"/>
      <c r="H213" s="21"/>
      <c r="J213" s="21"/>
      <c r="M213" s="21"/>
      <c r="N213" s="21"/>
      <c r="O213" s="42"/>
      <c r="P213" s="30"/>
      <c r="R213" s="21"/>
      <c r="S213" s="31"/>
      <c r="U213" s="16"/>
      <c r="V213" s="16"/>
      <c r="W213" s="16"/>
      <c r="X213" s="16"/>
      <c r="Y213" s="30"/>
      <c r="Z213" s="16" t="s">
        <v>174</v>
      </c>
    </row>
    <row r="214">
      <c r="A214" s="28" t="s">
        <v>174</v>
      </c>
      <c r="B214" s="16"/>
      <c r="F214" s="45"/>
      <c r="H214" s="21"/>
      <c r="J214" s="21"/>
      <c r="M214" s="21"/>
      <c r="N214" s="21"/>
      <c r="O214" s="42"/>
      <c r="P214" s="30"/>
      <c r="R214" s="21"/>
      <c r="S214" s="31"/>
      <c r="U214" s="16"/>
      <c r="V214" s="16"/>
      <c r="W214" s="16"/>
      <c r="X214" s="16"/>
      <c r="Y214" s="30"/>
      <c r="Z214" s="16" t="s">
        <v>174</v>
      </c>
    </row>
    <row r="215">
      <c r="A215" s="28" t="s">
        <v>174</v>
      </c>
      <c r="B215" s="16"/>
      <c r="F215" s="45"/>
      <c r="H215" s="21"/>
      <c r="J215" s="21"/>
      <c r="M215" s="21"/>
      <c r="N215" s="21"/>
      <c r="O215" s="42"/>
      <c r="P215" s="30"/>
      <c r="R215" s="21"/>
      <c r="S215" s="31"/>
      <c r="U215" s="16"/>
      <c r="V215" s="16"/>
      <c r="W215" s="16"/>
      <c r="X215" s="16"/>
      <c r="Y215" s="30"/>
      <c r="Z215" s="16" t="s">
        <v>174</v>
      </c>
    </row>
    <row r="216">
      <c r="A216" s="28" t="s">
        <v>174</v>
      </c>
      <c r="B216" s="16"/>
      <c r="F216" s="45"/>
      <c r="H216" s="21"/>
      <c r="J216" s="21"/>
      <c r="M216" s="21"/>
      <c r="N216" s="21"/>
      <c r="O216" s="42"/>
      <c r="P216" s="30"/>
      <c r="R216" s="21"/>
      <c r="S216" s="31"/>
      <c r="U216" s="16"/>
      <c r="V216" s="16"/>
      <c r="W216" s="16"/>
      <c r="X216" s="16"/>
      <c r="Y216" s="30"/>
      <c r="Z216" s="16" t="s">
        <v>174</v>
      </c>
    </row>
    <row r="217">
      <c r="A217" s="28" t="s">
        <v>174</v>
      </c>
      <c r="B217" s="16"/>
      <c r="F217" s="45"/>
      <c r="H217" s="21"/>
      <c r="J217" s="21"/>
      <c r="M217" s="21"/>
      <c r="N217" s="21"/>
      <c r="O217" s="42"/>
      <c r="P217" s="30"/>
      <c r="R217" s="21"/>
      <c r="S217" s="31"/>
      <c r="U217" s="16"/>
      <c r="V217" s="16"/>
      <c r="W217" s="16"/>
      <c r="X217" s="16"/>
      <c r="Y217" s="30"/>
      <c r="Z217" s="16" t="s">
        <v>174</v>
      </c>
    </row>
    <row r="218">
      <c r="A218" s="28" t="s">
        <v>174</v>
      </c>
      <c r="B218" s="16"/>
      <c r="F218" s="45"/>
      <c r="H218" s="21"/>
      <c r="J218" s="21"/>
      <c r="M218" s="21"/>
      <c r="N218" s="21"/>
      <c r="O218" s="42"/>
      <c r="P218" s="30"/>
      <c r="R218" s="21"/>
      <c r="S218" s="31"/>
      <c r="U218" s="16"/>
      <c r="V218" s="16"/>
      <c r="W218" s="16"/>
      <c r="X218" s="16"/>
      <c r="Y218" s="30"/>
      <c r="Z218" s="16" t="s">
        <v>174</v>
      </c>
    </row>
    <row r="219">
      <c r="A219" s="28" t="s">
        <v>174</v>
      </c>
      <c r="B219" s="16"/>
      <c r="F219" s="45"/>
      <c r="H219" s="21"/>
      <c r="J219" s="21"/>
      <c r="M219" s="21"/>
      <c r="N219" s="21"/>
      <c r="O219" s="42"/>
      <c r="P219" s="30"/>
      <c r="R219" s="21"/>
      <c r="S219" s="31"/>
      <c r="U219" s="16"/>
      <c r="V219" s="16"/>
      <c r="W219" s="16"/>
      <c r="X219" s="16"/>
      <c r="Y219" s="30"/>
      <c r="Z219" s="16" t="s">
        <v>174</v>
      </c>
    </row>
    <row r="220">
      <c r="A220" s="28" t="s">
        <v>174</v>
      </c>
      <c r="B220" s="16"/>
      <c r="F220" s="45"/>
      <c r="H220" s="21"/>
      <c r="J220" s="21"/>
      <c r="M220" s="21"/>
      <c r="N220" s="21"/>
      <c r="O220" s="42"/>
      <c r="P220" s="30"/>
      <c r="R220" s="21"/>
      <c r="S220" s="31"/>
      <c r="U220" s="16"/>
      <c r="V220" s="16"/>
      <c r="W220" s="16"/>
      <c r="X220" s="16"/>
      <c r="Y220" s="30"/>
      <c r="Z220" s="16" t="s">
        <v>174</v>
      </c>
    </row>
    <row r="221">
      <c r="A221" s="28" t="s">
        <v>174</v>
      </c>
      <c r="B221" s="16"/>
      <c r="F221" s="45"/>
      <c r="H221" s="21"/>
      <c r="J221" s="21"/>
      <c r="M221" s="21"/>
      <c r="N221" s="21"/>
      <c r="O221" s="42"/>
      <c r="P221" s="30"/>
      <c r="R221" s="21"/>
      <c r="S221" s="31"/>
      <c r="U221" s="16"/>
      <c r="V221" s="16"/>
      <c r="W221" s="16"/>
      <c r="X221" s="16"/>
      <c r="Y221" s="30"/>
      <c r="Z221" s="16" t="s">
        <v>174</v>
      </c>
    </row>
    <row r="222">
      <c r="A222" s="28" t="s">
        <v>174</v>
      </c>
      <c r="B222" s="16"/>
      <c r="F222" s="45"/>
      <c r="H222" s="21"/>
      <c r="J222" s="21"/>
      <c r="M222" s="21"/>
      <c r="N222" s="21"/>
      <c r="O222" s="42"/>
      <c r="P222" s="30"/>
      <c r="R222" s="21"/>
      <c r="S222" s="31"/>
      <c r="U222" s="16"/>
      <c r="V222" s="16"/>
      <c r="W222" s="16"/>
      <c r="X222" s="16"/>
      <c r="Y222" s="30"/>
      <c r="Z222" s="16" t="s">
        <v>174</v>
      </c>
    </row>
    <row r="223">
      <c r="A223" s="28" t="s">
        <v>174</v>
      </c>
      <c r="B223" s="16"/>
      <c r="F223" s="45"/>
      <c r="H223" s="21"/>
      <c r="J223" s="21"/>
      <c r="M223" s="21"/>
      <c r="N223" s="21"/>
      <c r="O223" s="42"/>
      <c r="P223" s="30"/>
      <c r="R223" s="21"/>
      <c r="S223" s="31"/>
      <c r="U223" s="16"/>
      <c r="V223" s="16"/>
      <c r="W223" s="16"/>
      <c r="X223" s="16"/>
      <c r="Y223" s="30"/>
      <c r="Z223" s="16" t="s">
        <v>174</v>
      </c>
    </row>
    <row r="224">
      <c r="A224" s="28" t="s">
        <v>174</v>
      </c>
      <c r="B224" s="16"/>
      <c r="F224" s="45"/>
      <c r="H224" s="21"/>
      <c r="J224" s="21"/>
      <c r="M224" s="21"/>
      <c r="N224" s="21"/>
      <c r="O224" s="42"/>
      <c r="P224" s="30"/>
      <c r="R224" s="21"/>
      <c r="S224" s="31"/>
      <c r="U224" s="16"/>
      <c r="V224" s="16"/>
      <c r="W224" s="16"/>
      <c r="X224" s="16"/>
      <c r="Y224" s="30"/>
      <c r="Z224" s="16" t="s">
        <v>174</v>
      </c>
    </row>
    <row r="225">
      <c r="A225" s="28" t="s">
        <v>174</v>
      </c>
      <c r="B225" s="16"/>
      <c r="F225" s="45"/>
      <c r="H225" s="21"/>
      <c r="J225" s="21"/>
      <c r="M225" s="21"/>
      <c r="N225" s="21"/>
      <c r="O225" s="42"/>
      <c r="P225" s="30"/>
      <c r="R225" s="21"/>
      <c r="S225" s="31"/>
      <c r="U225" s="16"/>
      <c r="V225" s="16"/>
      <c r="W225" s="16"/>
      <c r="X225" s="16"/>
      <c r="Y225" s="30"/>
      <c r="Z225" s="16" t="s">
        <v>174</v>
      </c>
    </row>
    <row r="226">
      <c r="A226" s="28" t="s">
        <v>174</v>
      </c>
      <c r="B226" s="16"/>
      <c r="F226" s="45"/>
      <c r="H226" s="21"/>
      <c r="J226" s="21"/>
      <c r="M226" s="21"/>
      <c r="N226" s="21"/>
      <c r="O226" s="42"/>
      <c r="P226" s="30"/>
      <c r="R226" s="21"/>
      <c r="S226" s="31"/>
      <c r="U226" s="16"/>
      <c r="V226" s="16"/>
      <c r="W226" s="16"/>
      <c r="X226" s="16"/>
      <c r="Y226" s="30"/>
      <c r="Z226" s="16" t="s">
        <v>174</v>
      </c>
    </row>
    <row r="227">
      <c r="A227" s="28" t="s">
        <v>174</v>
      </c>
      <c r="B227" s="16"/>
      <c r="F227" s="45"/>
      <c r="H227" s="21"/>
      <c r="J227" s="21"/>
      <c r="M227" s="21"/>
      <c r="N227" s="21"/>
      <c r="O227" s="42"/>
      <c r="P227" s="30"/>
      <c r="R227" s="21"/>
      <c r="S227" s="31"/>
      <c r="U227" s="16"/>
      <c r="V227" s="16"/>
      <c r="W227" s="16"/>
      <c r="X227" s="16"/>
      <c r="Y227" s="30"/>
      <c r="Z227" s="16" t="s">
        <v>174</v>
      </c>
    </row>
    <row r="228">
      <c r="A228" s="28" t="s">
        <v>174</v>
      </c>
      <c r="B228" s="16"/>
      <c r="F228" s="45"/>
      <c r="H228" s="21"/>
      <c r="J228" s="21"/>
      <c r="M228" s="21"/>
      <c r="N228" s="21"/>
      <c r="O228" s="42"/>
      <c r="P228" s="30"/>
      <c r="R228" s="21"/>
      <c r="S228" s="31"/>
      <c r="U228" s="16"/>
      <c r="V228" s="16"/>
      <c r="W228" s="16"/>
      <c r="X228" s="16"/>
      <c r="Y228" s="30"/>
      <c r="Z228" s="16" t="s">
        <v>174</v>
      </c>
    </row>
    <row r="229">
      <c r="A229" s="28" t="s">
        <v>174</v>
      </c>
      <c r="B229" s="16"/>
      <c r="F229" s="45"/>
      <c r="H229" s="21"/>
      <c r="J229" s="21"/>
      <c r="M229" s="21"/>
      <c r="N229" s="21"/>
      <c r="O229" s="42"/>
      <c r="P229" s="30"/>
      <c r="R229" s="21"/>
      <c r="S229" s="31"/>
      <c r="U229" s="16"/>
      <c r="V229" s="16"/>
      <c r="W229" s="16"/>
      <c r="X229" s="16"/>
      <c r="Y229" s="30"/>
      <c r="Z229" s="16" t="s">
        <v>174</v>
      </c>
    </row>
    <row r="230">
      <c r="A230" s="28" t="s">
        <v>174</v>
      </c>
      <c r="B230" s="16"/>
      <c r="F230" s="45"/>
      <c r="H230" s="21"/>
      <c r="J230" s="21"/>
      <c r="M230" s="21"/>
      <c r="N230" s="21"/>
      <c r="O230" s="42"/>
      <c r="P230" s="30"/>
      <c r="R230" s="21"/>
      <c r="S230" s="31"/>
      <c r="U230" s="16"/>
      <c r="V230" s="16"/>
      <c r="W230" s="16"/>
      <c r="X230" s="16"/>
      <c r="Y230" s="30"/>
      <c r="Z230" s="16" t="s">
        <v>174</v>
      </c>
    </row>
    <row r="231">
      <c r="A231" s="28" t="s">
        <v>174</v>
      </c>
      <c r="B231" s="16"/>
      <c r="F231" s="45"/>
      <c r="H231" s="21"/>
      <c r="J231" s="21"/>
      <c r="M231" s="21"/>
      <c r="N231" s="21"/>
      <c r="O231" s="42"/>
      <c r="P231" s="30"/>
      <c r="R231" s="21"/>
      <c r="S231" s="31"/>
      <c r="U231" s="16"/>
      <c r="V231" s="16"/>
      <c r="W231" s="16"/>
      <c r="X231" s="16"/>
      <c r="Y231" s="30"/>
      <c r="Z231" s="16" t="s">
        <v>174</v>
      </c>
    </row>
    <row r="232">
      <c r="A232" s="28" t="s">
        <v>174</v>
      </c>
      <c r="B232" s="16"/>
      <c r="F232" s="45"/>
      <c r="H232" s="21"/>
      <c r="J232" s="21"/>
      <c r="M232" s="21"/>
      <c r="N232" s="21"/>
      <c r="O232" s="42"/>
      <c r="P232" s="30"/>
      <c r="R232" s="21"/>
      <c r="S232" s="31"/>
      <c r="U232" s="16"/>
      <c r="V232" s="16"/>
      <c r="W232" s="16"/>
      <c r="X232" s="16"/>
      <c r="Y232" s="30"/>
      <c r="Z232" s="16" t="s">
        <v>174</v>
      </c>
    </row>
    <row r="233">
      <c r="A233" s="28" t="s">
        <v>174</v>
      </c>
      <c r="B233" s="16"/>
      <c r="F233" s="45"/>
      <c r="H233" s="21"/>
      <c r="J233" s="21"/>
      <c r="M233" s="21"/>
      <c r="N233" s="21"/>
      <c r="O233" s="42"/>
      <c r="P233" s="30"/>
      <c r="R233" s="21"/>
      <c r="S233" s="31"/>
      <c r="U233" s="16"/>
      <c r="V233" s="16"/>
      <c r="W233" s="16"/>
      <c r="X233" s="16"/>
      <c r="Y233" s="30"/>
      <c r="Z233" s="16" t="s">
        <v>174</v>
      </c>
    </row>
    <row r="234">
      <c r="A234" s="28" t="s">
        <v>174</v>
      </c>
      <c r="B234" s="16"/>
      <c r="F234" s="45"/>
      <c r="H234" s="21"/>
      <c r="J234" s="21"/>
      <c r="M234" s="21"/>
      <c r="N234" s="21"/>
      <c r="O234" s="42"/>
      <c r="P234" s="30"/>
      <c r="R234" s="21"/>
      <c r="S234" s="31"/>
      <c r="U234" s="16"/>
      <c r="V234" s="16"/>
      <c r="W234" s="16"/>
      <c r="X234" s="16"/>
      <c r="Y234" s="30"/>
      <c r="Z234" s="16" t="s">
        <v>174</v>
      </c>
    </row>
    <row r="235">
      <c r="A235" s="28" t="s">
        <v>174</v>
      </c>
      <c r="B235" s="16"/>
      <c r="F235" s="45"/>
      <c r="H235" s="21"/>
      <c r="J235" s="21"/>
      <c r="M235" s="21"/>
      <c r="N235" s="21"/>
      <c r="O235" s="42"/>
      <c r="P235" s="30"/>
      <c r="R235" s="21"/>
      <c r="S235" s="31"/>
      <c r="U235" s="16"/>
      <c r="V235" s="16"/>
      <c r="W235" s="16"/>
      <c r="X235" s="16"/>
      <c r="Y235" s="30"/>
      <c r="Z235" s="16" t="s">
        <v>174</v>
      </c>
    </row>
    <row r="236">
      <c r="A236" s="28" t="s">
        <v>174</v>
      </c>
      <c r="B236" s="16"/>
      <c r="F236" s="45"/>
      <c r="H236" s="21"/>
      <c r="J236" s="21"/>
      <c r="M236" s="21"/>
      <c r="N236" s="21"/>
      <c r="O236" s="42"/>
      <c r="P236" s="30"/>
      <c r="R236" s="21"/>
      <c r="S236" s="31"/>
      <c r="U236" s="16"/>
      <c r="V236" s="16"/>
      <c r="W236" s="16"/>
      <c r="X236" s="16"/>
      <c r="Y236" s="30"/>
      <c r="Z236" s="16" t="s">
        <v>174</v>
      </c>
    </row>
    <row r="237">
      <c r="A237" s="28" t="s">
        <v>174</v>
      </c>
      <c r="B237" s="16"/>
      <c r="F237" s="45"/>
      <c r="H237" s="21"/>
      <c r="J237" s="21"/>
      <c r="M237" s="21"/>
      <c r="N237" s="21"/>
      <c r="O237" s="42"/>
      <c r="P237" s="30"/>
      <c r="R237" s="21"/>
      <c r="S237" s="31"/>
      <c r="U237" s="16"/>
      <c r="V237" s="16"/>
      <c r="W237" s="16"/>
      <c r="X237" s="16"/>
      <c r="Y237" s="30"/>
      <c r="Z237" s="16" t="s">
        <v>174</v>
      </c>
    </row>
    <row r="238">
      <c r="A238" s="28" t="s">
        <v>174</v>
      </c>
      <c r="B238" s="16"/>
      <c r="F238" s="45"/>
      <c r="H238" s="21"/>
      <c r="J238" s="21"/>
      <c r="M238" s="21"/>
      <c r="N238" s="21"/>
      <c r="O238" s="42"/>
      <c r="P238" s="30"/>
      <c r="R238" s="21"/>
      <c r="S238" s="31"/>
      <c r="U238" s="16"/>
      <c r="V238" s="16"/>
      <c r="W238" s="16"/>
      <c r="X238" s="16"/>
      <c r="Y238" s="30"/>
      <c r="Z238" s="16" t="s">
        <v>174</v>
      </c>
    </row>
    <row r="239">
      <c r="A239" s="28" t="s">
        <v>174</v>
      </c>
      <c r="B239" s="16"/>
      <c r="F239" s="45"/>
      <c r="H239" s="21"/>
      <c r="J239" s="21"/>
      <c r="M239" s="21"/>
      <c r="N239" s="21"/>
      <c r="O239" s="42"/>
      <c r="P239" s="30"/>
      <c r="R239" s="21"/>
      <c r="S239" s="31"/>
      <c r="U239" s="16"/>
      <c r="V239" s="16"/>
      <c r="W239" s="16"/>
      <c r="X239" s="16"/>
      <c r="Y239" s="30"/>
      <c r="Z239" s="16" t="s">
        <v>174</v>
      </c>
    </row>
    <row r="240">
      <c r="A240" s="28" t="s">
        <v>174</v>
      </c>
      <c r="B240" s="16"/>
      <c r="F240" s="45"/>
      <c r="H240" s="21"/>
      <c r="J240" s="21"/>
      <c r="M240" s="21"/>
      <c r="N240" s="21"/>
      <c r="O240" s="42"/>
      <c r="P240" s="30"/>
      <c r="R240" s="21"/>
      <c r="S240" s="31"/>
      <c r="U240" s="16"/>
      <c r="V240" s="16"/>
      <c r="W240" s="16"/>
      <c r="X240" s="16"/>
      <c r="Y240" s="30"/>
      <c r="Z240" s="16" t="s">
        <v>174</v>
      </c>
    </row>
    <row r="241">
      <c r="A241" s="28" t="s">
        <v>174</v>
      </c>
      <c r="B241" s="16"/>
      <c r="F241" s="45"/>
      <c r="H241" s="21"/>
      <c r="J241" s="21"/>
      <c r="M241" s="21"/>
      <c r="N241" s="21"/>
      <c r="O241" s="42"/>
      <c r="P241" s="30"/>
      <c r="R241" s="21"/>
      <c r="S241" s="31"/>
      <c r="U241" s="16"/>
      <c r="V241" s="16"/>
      <c r="W241" s="16"/>
      <c r="X241" s="16"/>
      <c r="Y241" s="30"/>
      <c r="Z241" s="16" t="s">
        <v>174</v>
      </c>
    </row>
    <row r="242">
      <c r="A242" s="28" t="s">
        <v>174</v>
      </c>
      <c r="B242" s="16"/>
      <c r="F242" s="45"/>
      <c r="H242" s="21"/>
      <c r="J242" s="21"/>
      <c r="M242" s="21"/>
      <c r="N242" s="21"/>
      <c r="O242" s="42"/>
      <c r="P242" s="30"/>
      <c r="R242" s="21"/>
      <c r="S242" s="31"/>
      <c r="U242" s="16"/>
      <c r="V242" s="16"/>
      <c r="W242" s="16"/>
      <c r="X242" s="16"/>
      <c r="Y242" s="30"/>
      <c r="Z242" s="16" t="s">
        <v>174</v>
      </c>
    </row>
    <row r="243">
      <c r="A243" s="28" t="s">
        <v>174</v>
      </c>
      <c r="B243" s="16"/>
      <c r="F243" s="45"/>
      <c r="H243" s="21"/>
      <c r="J243" s="21"/>
      <c r="M243" s="21"/>
      <c r="N243" s="21"/>
      <c r="O243" s="42"/>
      <c r="P243" s="30"/>
      <c r="R243" s="21"/>
      <c r="S243" s="31"/>
      <c r="U243" s="16"/>
      <c r="V243" s="16"/>
      <c r="W243" s="16"/>
      <c r="X243" s="16"/>
      <c r="Y243" s="30"/>
      <c r="Z243" s="16" t="s">
        <v>174</v>
      </c>
    </row>
    <row r="244">
      <c r="A244" s="28" t="s">
        <v>174</v>
      </c>
      <c r="B244" s="16"/>
      <c r="F244" s="45"/>
      <c r="H244" s="21"/>
      <c r="J244" s="21"/>
      <c r="M244" s="21"/>
      <c r="N244" s="21"/>
      <c r="O244" s="42"/>
      <c r="P244" s="30"/>
      <c r="R244" s="21"/>
      <c r="S244" s="31"/>
      <c r="U244" s="16"/>
      <c r="V244" s="16"/>
      <c r="W244" s="16"/>
      <c r="X244" s="16"/>
      <c r="Y244" s="30"/>
      <c r="Z244" s="16" t="s">
        <v>174</v>
      </c>
    </row>
    <row r="245">
      <c r="A245" s="28" t="s">
        <v>174</v>
      </c>
      <c r="B245" s="16"/>
      <c r="F245" s="45"/>
      <c r="H245" s="21"/>
      <c r="J245" s="21"/>
      <c r="M245" s="21"/>
      <c r="N245" s="21"/>
      <c r="O245" s="42"/>
      <c r="P245" s="30"/>
      <c r="R245" s="21"/>
      <c r="S245" s="31"/>
      <c r="U245" s="16"/>
      <c r="V245" s="16"/>
      <c r="W245" s="16"/>
      <c r="X245" s="16"/>
      <c r="Y245" s="30"/>
      <c r="Z245" s="16" t="s">
        <v>174</v>
      </c>
    </row>
    <row r="246">
      <c r="A246" s="28" t="s">
        <v>174</v>
      </c>
      <c r="B246" s="16"/>
      <c r="F246" s="45"/>
      <c r="H246" s="21"/>
      <c r="J246" s="21"/>
      <c r="M246" s="21"/>
      <c r="N246" s="21"/>
      <c r="O246" s="42"/>
      <c r="P246" s="30"/>
      <c r="R246" s="21"/>
      <c r="S246" s="31"/>
      <c r="U246" s="16"/>
      <c r="V246" s="16"/>
      <c r="W246" s="16"/>
      <c r="X246" s="16"/>
      <c r="Y246" s="30"/>
      <c r="Z246" s="16" t="s">
        <v>174</v>
      </c>
    </row>
    <row r="247">
      <c r="A247" s="28" t="s">
        <v>174</v>
      </c>
      <c r="B247" s="16"/>
      <c r="F247" s="45"/>
      <c r="H247" s="21"/>
      <c r="J247" s="21"/>
      <c r="M247" s="21"/>
      <c r="N247" s="21"/>
      <c r="O247" s="42"/>
      <c r="P247" s="30"/>
      <c r="R247" s="21"/>
      <c r="S247" s="31"/>
      <c r="U247" s="16"/>
      <c r="V247" s="16"/>
      <c r="W247" s="16"/>
      <c r="X247" s="16"/>
      <c r="Y247" s="30"/>
      <c r="Z247" s="16" t="s">
        <v>174</v>
      </c>
    </row>
    <row r="248">
      <c r="A248" s="28" t="s">
        <v>174</v>
      </c>
      <c r="B248" s="16"/>
      <c r="F248" s="45"/>
      <c r="H248" s="21"/>
      <c r="J248" s="21"/>
      <c r="M248" s="21"/>
      <c r="N248" s="21"/>
      <c r="O248" s="42"/>
      <c r="P248" s="30"/>
      <c r="R248" s="21"/>
      <c r="S248" s="31"/>
      <c r="U248" s="16"/>
      <c r="V248" s="16"/>
      <c r="W248" s="16"/>
      <c r="X248" s="16"/>
      <c r="Y248" s="30"/>
      <c r="Z248" s="16" t="s">
        <v>174</v>
      </c>
    </row>
    <row r="249">
      <c r="A249" s="28" t="s">
        <v>174</v>
      </c>
      <c r="B249" s="16"/>
      <c r="F249" s="45"/>
      <c r="H249" s="21"/>
      <c r="J249" s="21"/>
      <c r="M249" s="21"/>
      <c r="N249" s="21"/>
      <c r="O249" s="42"/>
      <c r="P249" s="30"/>
      <c r="R249" s="21"/>
      <c r="S249" s="31"/>
      <c r="U249" s="16"/>
      <c r="V249" s="16"/>
      <c r="W249" s="16"/>
      <c r="X249" s="16"/>
      <c r="Y249" s="30"/>
      <c r="Z249" s="16" t="s">
        <v>174</v>
      </c>
    </row>
    <row r="250">
      <c r="A250" s="28" t="s">
        <v>174</v>
      </c>
      <c r="B250" s="16"/>
      <c r="F250" s="45"/>
      <c r="H250" s="21"/>
      <c r="J250" s="21"/>
      <c r="M250" s="21"/>
      <c r="N250" s="21"/>
      <c r="O250" s="42"/>
      <c r="P250" s="30"/>
      <c r="R250" s="21"/>
      <c r="S250" s="31"/>
      <c r="U250" s="16"/>
      <c r="V250" s="16"/>
      <c r="W250" s="16"/>
      <c r="X250" s="16"/>
      <c r="Y250" s="30"/>
      <c r="Z250" s="16" t="s">
        <v>174</v>
      </c>
    </row>
    <row r="251">
      <c r="A251" s="28" t="s">
        <v>174</v>
      </c>
      <c r="B251" s="16"/>
      <c r="F251" s="45"/>
      <c r="H251" s="21"/>
      <c r="J251" s="21"/>
      <c r="M251" s="21"/>
      <c r="N251" s="21"/>
      <c r="O251" s="42"/>
      <c r="P251" s="30"/>
      <c r="R251" s="21"/>
      <c r="S251" s="31"/>
      <c r="U251" s="16"/>
      <c r="V251" s="16"/>
      <c r="W251" s="16"/>
      <c r="X251" s="16"/>
      <c r="Y251" s="30"/>
      <c r="Z251" s="16" t="s">
        <v>174</v>
      </c>
    </row>
    <row r="252">
      <c r="A252" s="28" t="s">
        <v>174</v>
      </c>
      <c r="B252" s="16"/>
      <c r="F252" s="45"/>
      <c r="H252" s="21"/>
      <c r="J252" s="21"/>
      <c r="M252" s="21"/>
      <c r="N252" s="21"/>
      <c r="O252" s="42"/>
      <c r="P252" s="30"/>
      <c r="R252" s="21"/>
      <c r="S252" s="31"/>
      <c r="U252" s="16"/>
      <c r="V252" s="16"/>
      <c r="W252" s="16"/>
      <c r="X252" s="16"/>
      <c r="Y252" s="30"/>
      <c r="Z252" s="16" t="s">
        <v>174</v>
      </c>
    </row>
    <row r="253">
      <c r="A253" s="28" t="s">
        <v>174</v>
      </c>
      <c r="B253" s="16"/>
      <c r="F253" s="45"/>
      <c r="H253" s="21"/>
      <c r="J253" s="21"/>
      <c r="M253" s="21"/>
      <c r="N253" s="21"/>
      <c r="O253" s="42"/>
      <c r="P253" s="30"/>
      <c r="R253" s="21"/>
      <c r="S253" s="31"/>
      <c r="U253" s="16"/>
      <c r="V253" s="16"/>
      <c r="W253" s="16"/>
      <c r="X253" s="16"/>
      <c r="Y253" s="30"/>
      <c r="Z253" s="16" t="s">
        <v>174</v>
      </c>
    </row>
    <row r="254">
      <c r="A254" s="28" t="s">
        <v>174</v>
      </c>
      <c r="B254" s="16"/>
      <c r="F254" s="45"/>
      <c r="H254" s="21"/>
      <c r="J254" s="21"/>
      <c r="M254" s="21"/>
      <c r="N254" s="21"/>
      <c r="O254" s="42"/>
      <c r="P254" s="30"/>
      <c r="R254" s="21"/>
      <c r="S254" s="31"/>
      <c r="U254" s="16"/>
      <c r="V254" s="16"/>
      <c r="W254" s="16"/>
      <c r="X254" s="16"/>
      <c r="Y254" s="30"/>
      <c r="Z254" s="16" t="s">
        <v>174</v>
      </c>
    </row>
    <row r="255">
      <c r="A255" s="28" t="s">
        <v>174</v>
      </c>
      <c r="B255" s="16"/>
      <c r="F255" s="45"/>
      <c r="H255" s="21"/>
      <c r="J255" s="21"/>
      <c r="M255" s="21"/>
      <c r="N255" s="21"/>
      <c r="O255" s="42"/>
      <c r="P255" s="30"/>
      <c r="R255" s="21"/>
      <c r="S255" s="31"/>
      <c r="U255" s="16"/>
      <c r="V255" s="16"/>
      <c r="W255" s="16"/>
      <c r="X255" s="16"/>
      <c r="Y255" s="30"/>
      <c r="Z255" s="16" t="s">
        <v>174</v>
      </c>
    </row>
    <row r="256">
      <c r="A256" s="28" t="s">
        <v>174</v>
      </c>
      <c r="B256" s="16"/>
      <c r="F256" s="45"/>
      <c r="H256" s="21"/>
      <c r="J256" s="21"/>
      <c r="M256" s="21"/>
      <c r="N256" s="21"/>
      <c r="O256" s="42"/>
      <c r="P256" s="30"/>
      <c r="R256" s="21"/>
      <c r="S256" s="31"/>
      <c r="U256" s="16"/>
      <c r="V256" s="16"/>
      <c r="W256" s="16"/>
      <c r="X256" s="16"/>
      <c r="Y256" s="30"/>
      <c r="Z256" s="16" t="s">
        <v>174</v>
      </c>
    </row>
    <row r="257">
      <c r="A257" s="28" t="s">
        <v>174</v>
      </c>
      <c r="B257" s="16"/>
      <c r="F257" s="45"/>
      <c r="H257" s="21"/>
      <c r="J257" s="21"/>
      <c r="M257" s="21"/>
      <c r="N257" s="21"/>
      <c r="O257" s="42"/>
      <c r="P257" s="30"/>
      <c r="R257" s="21"/>
      <c r="S257" s="31"/>
      <c r="U257" s="16"/>
      <c r="V257" s="16"/>
      <c r="W257" s="16"/>
      <c r="X257" s="16"/>
      <c r="Y257" s="30"/>
      <c r="Z257" s="16" t="s">
        <v>174</v>
      </c>
    </row>
    <row r="258">
      <c r="A258" s="28" t="s">
        <v>174</v>
      </c>
      <c r="B258" s="16"/>
      <c r="F258" s="45"/>
      <c r="H258" s="21"/>
      <c r="J258" s="21"/>
      <c r="M258" s="21"/>
      <c r="N258" s="21"/>
      <c r="O258" s="42"/>
      <c r="P258" s="30"/>
      <c r="R258" s="21"/>
      <c r="S258" s="31"/>
      <c r="U258" s="16"/>
      <c r="V258" s="16"/>
      <c r="W258" s="16"/>
      <c r="X258" s="16"/>
      <c r="Y258" s="30"/>
      <c r="Z258" s="16" t="s">
        <v>174</v>
      </c>
    </row>
    <row r="259">
      <c r="A259" s="28" t="s">
        <v>174</v>
      </c>
      <c r="B259" s="16"/>
      <c r="F259" s="45"/>
      <c r="H259" s="21"/>
      <c r="J259" s="21"/>
      <c r="M259" s="21"/>
      <c r="N259" s="21"/>
      <c r="O259" s="42"/>
      <c r="P259" s="30"/>
      <c r="R259" s="21"/>
      <c r="S259" s="31"/>
      <c r="U259" s="16"/>
      <c r="V259" s="16"/>
      <c r="W259" s="16"/>
      <c r="X259" s="16"/>
      <c r="Y259" s="30"/>
      <c r="Z259" s="16" t="s">
        <v>174</v>
      </c>
    </row>
    <row r="260">
      <c r="A260" s="28" t="s">
        <v>174</v>
      </c>
      <c r="B260" s="16"/>
      <c r="F260" s="45"/>
      <c r="H260" s="21"/>
      <c r="J260" s="21"/>
      <c r="M260" s="21"/>
      <c r="N260" s="21"/>
      <c r="O260" s="42"/>
      <c r="P260" s="30"/>
      <c r="R260" s="21"/>
      <c r="S260" s="31"/>
      <c r="U260" s="16"/>
      <c r="V260" s="16"/>
      <c r="W260" s="16"/>
      <c r="X260" s="16"/>
      <c r="Y260" s="30"/>
      <c r="Z260" s="16" t="s">
        <v>174</v>
      </c>
    </row>
    <row r="261">
      <c r="A261" s="28" t="s">
        <v>174</v>
      </c>
      <c r="B261" s="16"/>
      <c r="F261" s="45"/>
      <c r="H261" s="21"/>
      <c r="J261" s="21"/>
      <c r="M261" s="21"/>
      <c r="N261" s="21"/>
      <c r="O261" s="42"/>
      <c r="P261" s="30"/>
      <c r="R261" s="21"/>
      <c r="S261" s="31"/>
      <c r="U261" s="16"/>
      <c r="V261" s="16"/>
      <c r="W261" s="16"/>
      <c r="X261" s="16"/>
      <c r="Y261" s="30"/>
      <c r="Z261" s="16" t="s">
        <v>174</v>
      </c>
    </row>
    <row r="262">
      <c r="A262" s="28" t="s">
        <v>174</v>
      </c>
      <c r="B262" s="16"/>
      <c r="F262" s="45"/>
      <c r="H262" s="21"/>
      <c r="J262" s="21"/>
      <c r="M262" s="21"/>
      <c r="N262" s="21"/>
      <c r="O262" s="42"/>
      <c r="P262" s="30"/>
      <c r="R262" s="21"/>
      <c r="S262" s="31"/>
      <c r="U262" s="16"/>
      <c r="V262" s="16"/>
      <c r="W262" s="16"/>
      <c r="X262" s="16"/>
      <c r="Y262" s="30"/>
      <c r="Z262" s="16" t="s">
        <v>174</v>
      </c>
    </row>
    <row r="263">
      <c r="A263" s="28" t="s">
        <v>174</v>
      </c>
      <c r="B263" s="16"/>
      <c r="F263" s="45"/>
      <c r="H263" s="21"/>
      <c r="J263" s="21"/>
      <c r="M263" s="21"/>
      <c r="N263" s="21"/>
      <c r="O263" s="42"/>
      <c r="P263" s="30"/>
      <c r="R263" s="21"/>
      <c r="S263" s="31"/>
      <c r="U263" s="16"/>
      <c r="V263" s="16"/>
      <c r="W263" s="16"/>
      <c r="X263" s="16"/>
      <c r="Y263" s="30"/>
      <c r="Z263" s="16" t="s">
        <v>174</v>
      </c>
    </row>
    <row r="264">
      <c r="A264" s="28" t="s">
        <v>174</v>
      </c>
      <c r="B264" s="16"/>
      <c r="F264" s="45"/>
      <c r="H264" s="21"/>
      <c r="J264" s="21"/>
      <c r="M264" s="21"/>
      <c r="N264" s="21"/>
      <c r="O264" s="42"/>
      <c r="P264" s="30"/>
      <c r="R264" s="21"/>
      <c r="S264" s="31"/>
      <c r="U264" s="16"/>
      <c r="V264" s="16"/>
      <c r="W264" s="16"/>
      <c r="X264" s="16"/>
      <c r="Y264" s="30"/>
      <c r="Z264" s="16" t="s">
        <v>174</v>
      </c>
    </row>
    <row r="265">
      <c r="A265" s="28" t="s">
        <v>174</v>
      </c>
      <c r="B265" s="16"/>
      <c r="F265" s="45"/>
      <c r="H265" s="21"/>
      <c r="J265" s="21"/>
      <c r="M265" s="21"/>
      <c r="N265" s="21"/>
      <c r="O265" s="42"/>
      <c r="P265" s="30"/>
      <c r="R265" s="21"/>
      <c r="S265" s="31"/>
      <c r="U265" s="16"/>
      <c r="V265" s="16"/>
      <c r="W265" s="16"/>
      <c r="X265" s="16"/>
      <c r="Y265" s="30"/>
      <c r="Z265" s="16" t="s">
        <v>174</v>
      </c>
    </row>
    <row r="266">
      <c r="A266" s="28" t="s">
        <v>174</v>
      </c>
      <c r="B266" s="16"/>
      <c r="F266" s="45"/>
      <c r="H266" s="21"/>
      <c r="J266" s="21"/>
      <c r="M266" s="21"/>
      <c r="N266" s="21"/>
      <c r="O266" s="42"/>
      <c r="P266" s="30"/>
      <c r="R266" s="21"/>
      <c r="S266" s="31"/>
      <c r="U266" s="16"/>
      <c r="V266" s="16"/>
      <c r="W266" s="16"/>
      <c r="X266" s="16"/>
      <c r="Y266" s="30"/>
      <c r="Z266" s="16" t="s">
        <v>174</v>
      </c>
    </row>
    <row r="267">
      <c r="A267" s="28" t="s">
        <v>174</v>
      </c>
      <c r="B267" s="16"/>
      <c r="F267" s="45"/>
      <c r="H267" s="21"/>
      <c r="J267" s="21"/>
      <c r="M267" s="21"/>
      <c r="N267" s="21"/>
      <c r="O267" s="42"/>
      <c r="P267" s="30"/>
      <c r="R267" s="21"/>
      <c r="S267" s="31"/>
      <c r="U267" s="16"/>
      <c r="V267" s="16"/>
      <c r="W267" s="16"/>
      <c r="X267" s="16"/>
      <c r="Y267" s="30"/>
      <c r="Z267" s="16" t="s">
        <v>174</v>
      </c>
    </row>
    <row r="268">
      <c r="A268" s="28" t="s">
        <v>174</v>
      </c>
      <c r="B268" s="16"/>
      <c r="F268" s="45"/>
      <c r="H268" s="21"/>
      <c r="J268" s="21"/>
      <c r="M268" s="21"/>
      <c r="N268" s="21"/>
      <c r="O268" s="42"/>
      <c r="P268" s="30"/>
      <c r="R268" s="21"/>
      <c r="S268" s="31"/>
      <c r="U268" s="16"/>
      <c r="V268" s="16"/>
      <c r="W268" s="16"/>
      <c r="X268" s="16"/>
      <c r="Y268" s="30"/>
      <c r="Z268" s="16" t="s">
        <v>174</v>
      </c>
    </row>
    <row r="269">
      <c r="A269" s="28" t="s">
        <v>174</v>
      </c>
      <c r="B269" s="16"/>
      <c r="F269" s="45"/>
      <c r="H269" s="21"/>
      <c r="J269" s="21"/>
      <c r="M269" s="21"/>
      <c r="N269" s="21"/>
      <c r="O269" s="42"/>
      <c r="P269" s="30"/>
      <c r="R269" s="21"/>
      <c r="S269" s="31"/>
      <c r="U269" s="16"/>
      <c r="V269" s="16"/>
      <c r="W269" s="16"/>
      <c r="X269" s="16"/>
      <c r="Y269" s="30"/>
      <c r="Z269" s="16" t="s">
        <v>174</v>
      </c>
    </row>
    <row r="270">
      <c r="A270" s="28" t="s">
        <v>174</v>
      </c>
      <c r="B270" s="16"/>
      <c r="F270" s="45"/>
      <c r="H270" s="21"/>
      <c r="J270" s="21"/>
      <c r="M270" s="21"/>
      <c r="N270" s="21"/>
      <c r="O270" s="42"/>
      <c r="P270" s="30"/>
      <c r="R270" s="21"/>
      <c r="S270" s="31"/>
      <c r="U270" s="16"/>
      <c r="V270" s="16"/>
      <c r="W270" s="16"/>
      <c r="X270" s="16"/>
      <c r="Y270" s="30"/>
      <c r="Z270" s="16" t="s">
        <v>174</v>
      </c>
    </row>
    <row r="271">
      <c r="A271" s="28" t="s">
        <v>174</v>
      </c>
      <c r="B271" s="16"/>
      <c r="F271" s="45"/>
      <c r="H271" s="21"/>
      <c r="J271" s="21"/>
      <c r="M271" s="21"/>
      <c r="N271" s="21"/>
      <c r="O271" s="42"/>
      <c r="P271" s="30"/>
      <c r="R271" s="21"/>
      <c r="S271" s="31"/>
      <c r="U271" s="16"/>
      <c r="V271" s="16"/>
      <c r="W271" s="16"/>
      <c r="X271" s="16"/>
      <c r="Y271" s="30"/>
      <c r="Z271" s="16" t="s">
        <v>174</v>
      </c>
    </row>
    <row r="272">
      <c r="A272" s="28" t="s">
        <v>174</v>
      </c>
      <c r="B272" s="16"/>
      <c r="F272" s="45"/>
      <c r="H272" s="21"/>
      <c r="J272" s="21"/>
      <c r="M272" s="21"/>
      <c r="N272" s="21"/>
      <c r="O272" s="42"/>
      <c r="P272" s="30"/>
      <c r="R272" s="21"/>
      <c r="S272" s="31"/>
      <c r="U272" s="16"/>
      <c r="V272" s="16"/>
      <c r="W272" s="16"/>
      <c r="X272" s="16"/>
      <c r="Y272" s="30"/>
      <c r="Z272" s="16" t="s">
        <v>174</v>
      </c>
    </row>
    <row r="273">
      <c r="A273" s="28" t="s">
        <v>174</v>
      </c>
      <c r="B273" s="16"/>
      <c r="F273" s="45"/>
      <c r="H273" s="21"/>
      <c r="J273" s="21"/>
      <c r="M273" s="21"/>
      <c r="N273" s="21"/>
      <c r="O273" s="42"/>
      <c r="P273" s="30"/>
      <c r="R273" s="21"/>
      <c r="S273" s="31"/>
      <c r="U273" s="16"/>
      <c r="V273" s="16"/>
      <c r="W273" s="16"/>
      <c r="X273" s="16"/>
      <c r="Y273" s="30"/>
      <c r="Z273" s="16" t="s">
        <v>174</v>
      </c>
    </row>
    <row r="274">
      <c r="A274" s="28" t="s">
        <v>174</v>
      </c>
      <c r="B274" s="16"/>
      <c r="F274" s="45"/>
      <c r="H274" s="21"/>
      <c r="J274" s="21"/>
      <c r="M274" s="21"/>
      <c r="N274" s="21"/>
      <c r="O274" s="42"/>
      <c r="P274" s="30"/>
      <c r="R274" s="21"/>
      <c r="S274" s="31"/>
      <c r="U274" s="16"/>
      <c r="V274" s="16"/>
      <c r="W274" s="16"/>
      <c r="X274" s="16"/>
      <c r="Y274" s="30"/>
      <c r="Z274" s="16" t="s">
        <v>174</v>
      </c>
    </row>
    <row r="275">
      <c r="A275" s="28" t="s">
        <v>174</v>
      </c>
      <c r="B275" s="16"/>
      <c r="F275" s="45"/>
      <c r="H275" s="21"/>
      <c r="J275" s="21"/>
      <c r="M275" s="21"/>
      <c r="N275" s="21"/>
      <c r="O275" s="42"/>
      <c r="P275" s="30"/>
      <c r="R275" s="21"/>
      <c r="S275" s="31"/>
      <c r="U275" s="16"/>
      <c r="V275" s="16"/>
      <c r="W275" s="16"/>
      <c r="X275" s="16"/>
      <c r="Y275" s="30"/>
      <c r="Z275" s="16" t="s">
        <v>174</v>
      </c>
    </row>
    <row r="276">
      <c r="A276" s="28" t="s">
        <v>174</v>
      </c>
      <c r="B276" s="16"/>
      <c r="F276" s="45"/>
      <c r="H276" s="21"/>
      <c r="J276" s="21"/>
      <c r="M276" s="21"/>
      <c r="N276" s="21"/>
      <c r="O276" s="42"/>
      <c r="P276" s="30"/>
      <c r="R276" s="21"/>
      <c r="S276" s="31"/>
      <c r="U276" s="16"/>
      <c r="V276" s="16"/>
      <c r="W276" s="16"/>
      <c r="X276" s="16"/>
      <c r="Y276" s="30"/>
      <c r="Z276" s="16" t="s">
        <v>174</v>
      </c>
    </row>
    <row r="277">
      <c r="A277" s="28" t="s">
        <v>174</v>
      </c>
      <c r="B277" s="16"/>
      <c r="F277" s="45"/>
      <c r="H277" s="21"/>
      <c r="J277" s="21"/>
      <c r="M277" s="21"/>
      <c r="N277" s="21"/>
      <c r="O277" s="42"/>
      <c r="P277" s="30"/>
      <c r="R277" s="21"/>
      <c r="S277" s="31"/>
      <c r="U277" s="16"/>
      <c r="V277" s="16"/>
      <c r="W277" s="16"/>
      <c r="X277" s="16"/>
      <c r="Y277" s="30"/>
      <c r="Z277" s="16" t="s">
        <v>174</v>
      </c>
    </row>
    <row r="278">
      <c r="A278" s="28" t="s">
        <v>174</v>
      </c>
      <c r="B278" s="16"/>
      <c r="F278" s="45"/>
      <c r="H278" s="21"/>
      <c r="J278" s="21"/>
      <c r="M278" s="21"/>
      <c r="N278" s="21"/>
      <c r="O278" s="42"/>
      <c r="P278" s="30"/>
      <c r="R278" s="21"/>
      <c r="S278" s="31"/>
      <c r="U278" s="16"/>
      <c r="V278" s="16"/>
      <c r="W278" s="16"/>
      <c r="X278" s="16"/>
      <c r="Y278" s="30"/>
      <c r="Z278" s="16" t="s">
        <v>174</v>
      </c>
    </row>
    <row r="279">
      <c r="A279" s="28" t="s">
        <v>174</v>
      </c>
      <c r="B279" s="16"/>
      <c r="F279" s="45"/>
      <c r="H279" s="21"/>
      <c r="J279" s="21"/>
      <c r="M279" s="21"/>
      <c r="N279" s="21"/>
      <c r="O279" s="42"/>
      <c r="P279" s="30"/>
      <c r="R279" s="21"/>
      <c r="S279" s="31"/>
      <c r="U279" s="16"/>
      <c r="V279" s="16"/>
      <c r="W279" s="16"/>
      <c r="X279" s="16"/>
      <c r="Y279" s="30"/>
      <c r="Z279" s="16" t="s">
        <v>174</v>
      </c>
    </row>
    <row r="280">
      <c r="A280" s="28" t="s">
        <v>174</v>
      </c>
      <c r="B280" s="16"/>
      <c r="F280" s="45"/>
      <c r="H280" s="21"/>
      <c r="J280" s="21"/>
      <c r="M280" s="21"/>
      <c r="N280" s="21"/>
      <c r="O280" s="42"/>
      <c r="P280" s="30"/>
      <c r="R280" s="21"/>
      <c r="S280" s="31"/>
      <c r="U280" s="16"/>
      <c r="V280" s="16"/>
      <c r="W280" s="16"/>
      <c r="X280" s="16"/>
      <c r="Y280" s="30"/>
      <c r="Z280" s="16" t="s">
        <v>174</v>
      </c>
    </row>
    <row r="281">
      <c r="A281" s="28" t="s">
        <v>174</v>
      </c>
      <c r="B281" s="16"/>
      <c r="F281" s="45"/>
      <c r="H281" s="21"/>
      <c r="J281" s="21"/>
      <c r="M281" s="21"/>
      <c r="N281" s="21"/>
      <c r="O281" s="42"/>
      <c r="P281" s="30"/>
      <c r="R281" s="21"/>
      <c r="S281" s="31"/>
      <c r="U281" s="16"/>
      <c r="V281" s="16"/>
      <c r="W281" s="16"/>
      <c r="X281" s="16"/>
      <c r="Y281" s="30"/>
      <c r="Z281" s="16" t="s">
        <v>174</v>
      </c>
    </row>
    <row r="282">
      <c r="A282" s="28" t="s">
        <v>174</v>
      </c>
      <c r="B282" s="16"/>
      <c r="F282" s="45"/>
      <c r="H282" s="21"/>
      <c r="J282" s="21"/>
      <c r="M282" s="21"/>
      <c r="N282" s="21"/>
      <c r="O282" s="42"/>
      <c r="P282" s="30"/>
      <c r="R282" s="21"/>
      <c r="S282" s="31"/>
      <c r="U282" s="16"/>
      <c r="V282" s="16"/>
      <c r="W282" s="16"/>
      <c r="X282" s="16"/>
      <c r="Y282" s="30"/>
      <c r="Z282" s="16" t="s">
        <v>174</v>
      </c>
    </row>
    <row r="283">
      <c r="A283" s="28" t="s">
        <v>174</v>
      </c>
      <c r="B283" s="16"/>
      <c r="F283" s="45"/>
      <c r="H283" s="21"/>
      <c r="J283" s="21"/>
      <c r="M283" s="21"/>
      <c r="N283" s="21"/>
      <c r="O283" s="42"/>
      <c r="P283" s="30"/>
      <c r="R283" s="21"/>
      <c r="S283" s="31"/>
      <c r="U283" s="16"/>
      <c r="V283" s="16"/>
      <c r="W283" s="16"/>
      <c r="X283" s="16"/>
      <c r="Y283" s="30"/>
      <c r="Z283" s="16" t="s">
        <v>174</v>
      </c>
    </row>
    <row r="284">
      <c r="A284" s="28" t="s">
        <v>174</v>
      </c>
      <c r="B284" s="16"/>
      <c r="F284" s="45"/>
      <c r="H284" s="21"/>
      <c r="J284" s="21"/>
      <c r="M284" s="21"/>
      <c r="N284" s="21"/>
      <c r="O284" s="42"/>
      <c r="P284" s="30"/>
      <c r="R284" s="21"/>
      <c r="S284" s="31"/>
      <c r="U284" s="16"/>
      <c r="V284" s="16"/>
      <c r="W284" s="16"/>
      <c r="X284" s="16"/>
      <c r="Y284" s="30"/>
      <c r="Z284" s="16" t="s">
        <v>174</v>
      </c>
    </row>
    <row r="285">
      <c r="A285" s="28" t="s">
        <v>174</v>
      </c>
      <c r="B285" s="16"/>
      <c r="F285" s="45"/>
      <c r="H285" s="21"/>
      <c r="J285" s="21"/>
      <c r="M285" s="21"/>
      <c r="N285" s="21"/>
      <c r="O285" s="42"/>
      <c r="P285" s="30"/>
      <c r="R285" s="21"/>
      <c r="S285" s="31"/>
      <c r="U285" s="16"/>
      <c r="V285" s="16"/>
      <c r="W285" s="16"/>
      <c r="X285" s="16"/>
      <c r="Y285" s="30"/>
      <c r="Z285" s="16" t="s">
        <v>174</v>
      </c>
    </row>
    <row r="286">
      <c r="A286" s="28" t="s">
        <v>174</v>
      </c>
      <c r="B286" s="16"/>
      <c r="F286" s="45"/>
      <c r="H286" s="21"/>
      <c r="J286" s="21"/>
      <c r="M286" s="21"/>
      <c r="N286" s="21"/>
      <c r="O286" s="42"/>
      <c r="P286" s="30"/>
      <c r="R286" s="21"/>
      <c r="S286" s="31"/>
      <c r="U286" s="16"/>
      <c r="V286" s="16"/>
      <c r="W286" s="16"/>
      <c r="X286" s="16"/>
      <c r="Y286" s="30"/>
      <c r="Z286" s="16" t="s">
        <v>174</v>
      </c>
    </row>
    <row r="287">
      <c r="A287" s="28" t="s">
        <v>174</v>
      </c>
      <c r="B287" s="16"/>
      <c r="F287" s="45"/>
      <c r="H287" s="21"/>
      <c r="J287" s="21"/>
      <c r="M287" s="21"/>
      <c r="N287" s="21"/>
      <c r="O287" s="42"/>
      <c r="P287" s="30"/>
      <c r="R287" s="21"/>
      <c r="S287" s="31"/>
      <c r="U287" s="16"/>
      <c r="V287" s="16"/>
      <c r="W287" s="16"/>
      <c r="X287" s="16"/>
      <c r="Y287" s="30"/>
      <c r="Z287" s="16" t="s">
        <v>174</v>
      </c>
    </row>
    <row r="288">
      <c r="A288" s="28" t="s">
        <v>174</v>
      </c>
      <c r="B288" s="16"/>
      <c r="F288" s="45"/>
      <c r="H288" s="21"/>
      <c r="J288" s="21"/>
      <c r="M288" s="21"/>
      <c r="N288" s="21"/>
      <c r="O288" s="42"/>
      <c r="P288" s="30"/>
      <c r="R288" s="21"/>
      <c r="S288" s="31"/>
      <c r="U288" s="16"/>
      <c r="V288" s="16"/>
      <c r="W288" s="16"/>
      <c r="X288" s="16"/>
      <c r="Y288" s="30"/>
      <c r="Z288" s="16" t="s">
        <v>174</v>
      </c>
    </row>
    <row r="289">
      <c r="A289" s="28" t="s">
        <v>174</v>
      </c>
      <c r="B289" s="16"/>
      <c r="F289" s="45"/>
      <c r="H289" s="21"/>
      <c r="J289" s="21"/>
      <c r="M289" s="21"/>
      <c r="N289" s="21"/>
      <c r="O289" s="42"/>
      <c r="P289" s="30"/>
      <c r="R289" s="21"/>
      <c r="S289" s="31"/>
      <c r="U289" s="16"/>
      <c r="V289" s="16"/>
      <c r="W289" s="16"/>
      <c r="X289" s="16"/>
      <c r="Y289" s="30"/>
      <c r="Z289" s="16" t="s">
        <v>174</v>
      </c>
    </row>
    <row r="290">
      <c r="A290" s="28" t="s">
        <v>174</v>
      </c>
      <c r="B290" s="16"/>
      <c r="F290" s="45"/>
      <c r="H290" s="21"/>
      <c r="J290" s="21"/>
      <c r="M290" s="21"/>
      <c r="N290" s="21"/>
      <c r="O290" s="42"/>
      <c r="P290" s="30"/>
      <c r="R290" s="21"/>
      <c r="S290" s="31"/>
      <c r="U290" s="16"/>
      <c r="V290" s="16"/>
      <c r="W290" s="16"/>
      <c r="X290" s="16"/>
      <c r="Y290" s="30"/>
      <c r="Z290" s="16" t="s">
        <v>174</v>
      </c>
    </row>
    <row r="291">
      <c r="A291" s="28" t="s">
        <v>174</v>
      </c>
      <c r="B291" s="16"/>
      <c r="F291" s="45"/>
      <c r="H291" s="21"/>
      <c r="J291" s="21"/>
      <c r="M291" s="21"/>
      <c r="N291" s="21"/>
      <c r="O291" s="42"/>
      <c r="P291" s="30"/>
      <c r="R291" s="21"/>
      <c r="S291" s="31"/>
      <c r="U291" s="16"/>
      <c r="V291" s="16"/>
      <c r="W291" s="16"/>
      <c r="X291" s="16"/>
      <c r="Y291" s="30"/>
      <c r="Z291" s="16" t="s">
        <v>174</v>
      </c>
    </row>
    <row r="292">
      <c r="A292" s="28" t="s">
        <v>174</v>
      </c>
      <c r="B292" s="16"/>
      <c r="F292" s="45"/>
      <c r="H292" s="21"/>
      <c r="J292" s="21"/>
      <c r="M292" s="21"/>
      <c r="N292" s="21"/>
      <c r="O292" s="42"/>
      <c r="P292" s="30"/>
      <c r="R292" s="21"/>
      <c r="S292" s="31"/>
      <c r="U292" s="16"/>
      <c r="V292" s="16"/>
      <c r="W292" s="16"/>
      <c r="X292" s="16"/>
      <c r="Y292" s="30"/>
      <c r="Z292" s="16" t="s">
        <v>174</v>
      </c>
    </row>
    <row r="293">
      <c r="A293" s="28" t="s">
        <v>174</v>
      </c>
      <c r="B293" s="16"/>
      <c r="F293" s="45"/>
      <c r="H293" s="21"/>
      <c r="J293" s="21"/>
      <c r="M293" s="21"/>
      <c r="N293" s="21"/>
      <c r="O293" s="42"/>
      <c r="P293" s="30"/>
      <c r="R293" s="21"/>
      <c r="S293" s="31"/>
      <c r="U293" s="16"/>
      <c r="V293" s="16"/>
      <c r="W293" s="16"/>
      <c r="X293" s="16"/>
      <c r="Y293" s="30"/>
      <c r="Z293" s="16" t="s">
        <v>174</v>
      </c>
    </row>
    <row r="294">
      <c r="A294" s="28" t="s">
        <v>174</v>
      </c>
      <c r="B294" s="16"/>
      <c r="F294" s="45"/>
      <c r="H294" s="21"/>
      <c r="J294" s="21"/>
      <c r="M294" s="21"/>
      <c r="N294" s="21"/>
      <c r="O294" s="42"/>
      <c r="P294" s="30"/>
      <c r="R294" s="21"/>
      <c r="S294" s="31"/>
      <c r="U294" s="16"/>
      <c r="V294" s="16"/>
      <c r="W294" s="16"/>
      <c r="X294" s="16"/>
      <c r="Y294" s="30"/>
      <c r="Z294" s="16" t="s">
        <v>174</v>
      </c>
    </row>
    <row r="295">
      <c r="A295" s="28" t="s">
        <v>174</v>
      </c>
      <c r="B295" s="16"/>
      <c r="F295" s="45"/>
      <c r="H295" s="21"/>
      <c r="J295" s="21"/>
      <c r="M295" s="21"/>
      <c r="N295" s="21"/>
      <c r="O295" s="42"/>
      <c r="P295" s="30"/>
      <c r="R295" s="21"/>
      <c r="S295" s="31"/>
      <c r="U295" s="16"/>
      <c r="V295" s="16"/>
      <c r="W295" s="16"/>
      <c r="X295" s="16"/>
      <c r="Y295" s="30"/>
      <c r="Z295" s="16" t="s">
        <v>174</v>
      </c>
    </row>
    <row r="296">
      <c r="A296" s="28" t="s">
        <v>174</v>
      </c>
      <c r="B296" s="16"/>
      <c r="F296" s="45"/>
      <c r="H296" s="21"/>
      <c r="J296" s="21"/>
      <c r="M296" s="21"/>
      <c r="N296" s="21"/>
      <c r="O296" s="42"/>
      <c r="P296" s="30"/>
      <c r="R296" s="21"/>
      <c r="S296" s="31"/>
      <c r="U296" s="16"/>
      <c r="V296" s="16"/>
      <c r="W296" s="16"/>
      <c r="X296" s="16"/>
      <c r="Y296" s="30"/>
      <c r="Z296" s="16" t="s">
        <v>174</v>
      </c>
    </row>
    <row r="297">
      <c r="A297" s="28" t="s">
        <v>174</v>
      </c>
      <c r="B297" s="16"/>
      <c r="F297" s="45"/>
      <c r="H297" s="21"/>
      <c r="J297" s="21"/>
      <c r="M297" s="21"/>
      <c r="N297" s="21"/>
      <c r="O297" s="42"/>
      <c r="P297" s="30"/>
      <c r="R297" s="21"/>
      <c r="S297" s="31"/>
      <c r="U297" s="16"/>
      <c r="V297" s="16"/>
      <c r="W297" s="16"/>
      <c r="X297" s="16"/>
      <c r="Y297" s="30"/>
      <c r="Z297" s="16" t="s">
        <v>174</v>
      </c>
    </row>
    <row r="298">
      <c r="A298" s="28" t="s">
        <v>174</v>
      </c>
      <c r="B298" s="16"/>
      <c r="F298" s="45"/>
      <c r="H298" s="21"/>
      <c r="J298" s="21"/>
      <c r="M298" s="21"/>
      <c r="N298" s="21"/>
      <c r="O298" s="42"/>
      <c r="P298" s="30"/>
      <c r="R298" s="21"/>
      <c r="S298" s="31"/>
      <c r="U298" s="16"/>
      <c r="V298" s="16"/>
      <c r="W298" s="16"/>
      <c r="X298" s="16"/>
      <c r="Y298" s="30"/>
      <c r="Z298" s="16" t="s">
        <v>174</v>
      </c>
    </row>
    <row r="299">
      <c r="A299" s="28" t="s">
        <v>174</v>
      </c>
      <c r="B299" s="16"/>
      <c r="F299" s="45"/>
      <c r="H299" s="21"/>
      <c r="J299" s="21"/>
      <c r="M299" s="21"/>
      <c r="N299" s="21"/>
      <c r="O299" s="42"/>
      <c r="P299" s="30"/>
      <c r="R299" s="21"/>
      <c r="S299" s="31"/>
      <c r="U299" s="16"/>
      <c r="V299" s="16"/>
      <c r="W299" s="16"/>
      <c r="X299" s="16"/>
      <c r="Y299" s="30"/>
      <c r="Z299" s="16" t="s">
        <v>174</v>
      </c>
    </row>
    <row r="300">
      <c r="A300" s="28" t="s">
        <v>174</v>
      </c>
      <c r="B300" s="16"/>
      <c r="F300" s="45"/>
      <c r="H300" s="21"/>
      <c r="J300" s="21"/>
      <c r="M300" s="21"/>
      <c r="N300" s="21"/>
      <c r="O300" s="42"/>
      <c r="P300" s="30"/>
      <c r="R300" s="21"/>
      <c r="S300" s="31"/>
      <c r="U300" s="16"/>
      <c r="V300" s="16"/>
      <c r="W300" s="16"/>
      <c r="X300" s="16"/>
      <c r="Y300" s="30"/>
      <c r="Z300" s="16" t="s">
        <v>174</v>
      </c>
    </row>
    <row r="301">
      <c r="A301" s="28" t="s">
        <v>174</v>
      </c>
      <c r="B301" s="16"/>
      <c r="F301" s="45"/>
      <c r="H301" s="21"/>
      <c r="J301" s="21"/>
      <c r="M301" s="21"/>
      <c r="N301" s="21"/>
      <c r="O301" s="42"/>
      <c r="P301" s="30"/>
      <c r="R301" s="21"/>
      <c r="S301" s="31"/>
      <c r="U301" s="16"/>
      <c r="V301" s="16"/>
      <c r="W301" s="16"/>
      <c r="X301" s="16"/>
      <c r="Y301" s="30"/>
      <c r="Z301" s="16" t="s">
        <v>174</v>
      </c>
    </row>
    <row r="302">
      <c r="A302" s="28" t="s">
        <v>174</v>
      </c>
      <c r="B302" s="16"/>
      <c r="F302" s="45"/>
      <c r="H302" s="21"/>
      <c r="J302" s="21"/>
      <c r="M302" s="21"/>
      <c r="N302" s="21"/>
      <c r="O302" s="42"/>
      <c r="P302" s="30"/>
      <c r="R302" s="21"/>
      <c r="S302" s="31"/>
      <c r="U302" s="16"/>
      <c r="V302" s="16"/>
      <c r="W302" s="16"/>
      <c r="X302" s="16"/>
      <c r="Y302" s="30"/>
      <c r="Z302" s="16" t="s">
        <v>174</v>
      </c>
    </row>
    <row r="303">
      <c r="A303" s="28" t="s">
        <v>174</v>
      </c>
      <c r="B303" s="16"/>
      <c r="F303" s="45"/>
      <c r="H303" s="21"/>
      <c r="J303" s="21"/>
      <c r="M303" s="21"/>
      <c r="N303" s="21"/>
      <c r="O303" s="42"/>
      <c r="P303" s="30"/>
      <c r="R303" s="21"/>
      <c r="S303" s="31"/>
      <c r="U303" s="16"/>
      <c r="V303" s="16"/>
      <c r="W303" s="16"/>
      <c r="X303" s="16"/>
      <c r="Y303" s="30"/>
      <c r="Z303" s="16" t="s">
        <v>174</v>
      </c>
    </row>
    <row r="304">
      <c r="A304" s="28" t="s">
        <v>174</v>
      </c>
      <c r="B304" s="16"/>
      <c r="F304" s="45"/>
      <c r="H304" s="21"/>
      <c r="J304" s="21"/>
      <c r="M304" s="21"/>
      <c r="N304" s="21"/>
      <c r="O304" s="42"/>
      <c r="P304" s="30"/>
      <c r="R304" s="21"/>
      <c r="S304" s="31"/>
      <c r="U304" s="16"/>
      <c r="V304" s="16"/>
      <c r="W304" s="16"/>
      <c r="X304" s="16"/>
      <c r="Y304" s="30"/>
      <c r="Z304" s="16" t="s">
        <v>174</v>
      </c>
    </row>
    <row r="305">
      <c r="A305" s="28" t="s">
        <v>174</v>
      </c>
      <c r="B305" s="16"/>
      <c r="F305" s="45"/>
      <c r="H305" s="21"/>
      <c r="J305" s="21"/>
      <c r="M305" s="21"/>
      <c r="N305" s="21"/>
      <c r="O305" s="42"/>
      <c r="P305" s="30"/>
      <c r="R305" s="21"/>
      <c r="S305" s="31"/>
      <c r="U305" s="16"/>
      <c r="V305" s="16"/>
      <c r="W305" s="16"/>
      <c r="X305" s="16"/>
      <c r="Y305" s="30"/>
      <c r="Z305" s="16" t="s">
        <v>174</v>
      </c>
    </row>
    <row r="306">
      <c r="A306" s="28" t="s">
        <v>174</v>
      </c>
      <c r="B306" s="16"/>
      <c r="F306" s="45"/>
      <c r="H306" s="21"/>
      <c r="J306" s="21"/>
      <c r="M306" s="21"/>
      <c r="N306" s="21"/>
      <c r="O306" s="42"/>
      <c r="P306" s="30"/>
      <c r="R306" s="21"/>
      <c r="S306" s="31"/>
      <c r="U306" s="16"/>
      <c r="V306" s="16"/>
      <c r="W306" s="16"/>
      <c r="X306" s="16"/>
      <c r="Y306" s="30"/>
      <c r="Z306" s="16" t="s">
        <v>174</v>
      </c>
    </row>
    <row r="307">
      <c r="A307" s="28" t="s">
        <v>174</v>
      </c>
      <c r="B307" s="16"/>
      <c r="F307" s="45"/>
      <c r="H307" s="21"/>
      <c r="J307" s="21"/>
      <c r="M307" s="21"/>
      <c r="N307" s="21"/>
      <c r="O307" s="42"/>
      <c r="P307" s="30"/>
      <c r="R307" s="21"/>
      <c r="S307" s="31"/>
      <c r="U307" s="16"/>
      <c r="V307" s="16"/>
      <c r="W307" s="16"/>
      <c r="X307" s="16"/>
      <c r="Y307" s="30"/>
      <c r="Z307" s="16" t="s">
        <v>174</v>
      </c>
    </row>
    <row r="308">
      <c r="A308" s="28" t="s">
        <v>174</v>
      </c>
      <c r="B308" s="16"/>
      <c r="F308" s="45"/>
      <c r="H308" s="21"/>
      <c r="J308" s="21"/>
      <c r="M308" s="21"/>
      <c r="N308" s="21"/>
      <c r="O308" s="42"/>
      <c r="P308" s="30"/>
      <c r="R308" s="21"/>
      <c r="S308" s="31"/>
      <c r="U308" s="16"/>
      <c r="V308" s="16"/>
      <c r="W308" s="16"/>
      <c r="X308" s="16"/>
      <c r="Y308" s="30"/>
      <c r="Z308" s="16" t="s">
        <v>174</v>
      </c>
    </row>
    <row r="309">
      <c r="A309" s="28" t="s">
        <v>174</v>
      </c>
      <c r="B309" s="16"/>
      <c r="F309" s="45"/>
      <c r="H309" s="21"/>
      <c r="J309" s="21"/>
      <c r="M309" s="21"/>
      <c r="N309" s="21"/>
      <c r="O309" s="42"/>
      <c r="P309" s="30"/>
      <c r="R309" s="21"/>
      <c r="S309" s="31"/>
      <c r="U309" s="16"/>
      <c r="V309" s="16"/>
      <c r="W309" s="16"/>
      <c r="X309" s="16"/>
      <c r="Y309" s="30"/>
      <c r="Z309" s="16" t="s">
        <v>174</v>
      </c>
    </row>
    <row r="310">
      <c r="A310" s="28" t="s">
        <v>174</v>
      </c>
      <c r="B310" s="16"/>
      <c r="F310" s="45"/>
      <c r="H310" s="21"/>
      <c r="J310" s="21"/>
      <c r="M310" s="21"/>
      <c r="N310" s="21"/>
      <c r="O310" s="42"/>
      <c r="P310" s="30"/>
      <c r="R310" s="21"/>
      <c r="S310" s="31"/>
      <c r="U310" s="16"/>
      <c r="V310" s="16"/>
      <c r="W310" s="16"/>
      <c r="X310" s="16"/>
      <c r="Y310" s="30"/>
      <c r="Z310" s="16" t="s">
        <v>174</v>
      </c>
    </row>
    <row r="311">
      <c r="A311" s="28" t="s">
        <v>174</v>
      </c>
      <c r="B311" s="16"/>
      <c r="F311" s="45"/>
      <c r="H311" s="21"/>
      <c r="J311" s="21"/>
      <c r="M311" s="21"/>
      <c r="N311" s="21"/>
      <c r="O311" s="42"/>
      <c r="P311" s="30"/>
      <c r="R311" s="21"/>
      <c r="S311" s="31"/>
      <c r="U311" s="16"/>
      <c r="V311" s="16"/>
      <c r="W311" s="16"/>
      <c r="X311" s="16"/>
      <c r="Y311" s="30"/>
      <c r="Z311" s="16" t="s">
        <v>174</v>
      </c>
    </row>
    <row r="312">
      <c r="A312" s="28" t="s">
        <v>174</v>
      </c>
      <c r="B312" s="16"/>
      <c r="F312" s="45"/>
      <c r="H312" s="21"/>
      <c r="J312" s="21"/>
      <c r="M312" s="21"/>
      <c r="N312" s="21"/>
      <c r="O312" s="42"/>
      <c r="P312" s="30"/>
      <c r="R312" s="21"/>
      <c r="S312" s="31"/>
      <c r="U312" s="16"/>
      <c r="V312" s="16"/>
      <c r="W312" s="16"/>
      <c r="X312" s="16"/>
      <c r="Y312" s="30"/>
      <c r="Z312" s="16" t="s">
        <v>174</v>
      </c>
    </row>
    <row r="313">
      <c r="A313" s="28" t="s">
        <v>174</v>
      </c>
      <c r="B313" s="16"/>
      <c r="F313" s="45"/>
      <c r="H313" s="21"/>
      <c r="J313" s="21"/>
      <c r="M313" s="21"/>
      <c r="N313" s="21"/>
      <c r="O313" s="42"/>
      <c r="P313" s="30"/>
      <c r="R313" s="21"/>
      <c r="S313" s="31"/>
      <c r="U313" s="16"/>
      <c r="V313" s="16"/>
      <c r="W313" s="16"/>
      <c r="X313" s="16"/>
      <c r="Y313" s="30"/>
      <c r="Z313" s="16" t="s">
        <v>174</v>
      </c>
    </row>
    <row r="314">
      <c r="A314" s="28" t="s">
        <v>174</v>
      </c>
      <c r="B314" s="16"/>
      <c r="F314" s="45"/>
      <c r="H314" s="21"/>
      <c r="J314" s="21"/>
      <c r="M314" s="21"/>
      <c r="N314" s="21"/>
      <c r="O314" s="42"/>
      <c r="P314" s="30"/>
      <c r="R314" s="21"/>
      <c r="S314" s="31"/>
      <c r="U314" s="16"/>
      <c r="V314" s="16"/>
      <c r="W314" s="16"/>
      <c r="X314" s="16"/>
      <c r="Y314" s="30"/>
      <c r="Z314" s="16" t="s">
        <v>174</v>
      </c>
    </row>
    <row r="315">
      <c r="A315" s="28" t="s">
        <v>174</v>
      </c>
      <c r="B315" s="16"/>
      <c r="F315" s="45"/>
      <c r="H315" s="21"/>
      <c r="J315" s="21"/>
      <c r="M315" s="21"/>
      <c r="N315" s="21"/>
      <c r="O315" s="42"/>
      <c r="P315" s="30"/>
      <c r="R315" s="21"/>
      <c r="S315" s="31"/>
      <c r="U315" s="16"/>
      <c r="V315" s="16"/>
      <c r="W315" s="16"/>
      <c r="X315" s="16"/>
      <c r="Y315" s="30"/>
      <c r="Z315" s="16" t="s">
        <v>174</v>
      </c>
    </row>
    <row r="316">
      <c r="A316" s="28" t="s">
        <v>174</v>
      </c>
      <c r="B316" s="16"/>
      <c r="F316" s="45"/>
      <c r="H316" s="21"/>
      <c r="J316" s="21"/>
      <c r="M316" s="21"/>
      <c r="N316" s="21"/>
      <c r="O316" s="42"/>
      <c r="P316" s="30"/>
      <c r="R316" s="21"/>
      <c r="S316" s="31"/>
      <c r="U316" s="16"/>
      <c r="V316" s="16"/>
      <c r="W316" s="16"/>
      <c r="X316" s="16"/>
      <c r="Y316" s="30"/>
      <c r="Z316" s="16" t="s">
        <v>174</v>
      </c>
    </row>
    <row r="317">
      <c r="A317" s="28" t="s">
        <v>174</v>
      </c>
      <c r="B317" s="16"/>
      <c r="F317" s="45"/>
      <c r="H317" s="21"/>
      <c r="J317" s="21"/>
      <c r="M317" s="21"/>
      <c r="N317" s="21"/>
      <c r="O317" s="42"/>
      <c r="P317" s="30"/>
      <c r="R317" s="21"/>
      <c r="S317" s="31"/>
      <c r="U317" s="16"/>
      <c r="V317" s="16"/>
      <c r="W317" s="16"/>
      <c r="X317" s="16"/>
      <c r="Y317" s="30"/>
      <c r="Z317" s="16" t="s">
        <v>174</v>
      </c>
    </row>
    <row r="318">
      <c r="A318" s="28" t="s">
        <v>174</v>
      </c>
      <c r="B318" s="16"/>
      <c r="F318" s="45"/>
      <c r="H318" s="21"/>
      <c r="J318" s="21"/>
      <c r="M318" s="21"/>
      <c r="N318" s="21"/>
      <c r="O318" s="42"/>
      <c r="P318" s="30"/>
      <c r="R318" s="21"/>
      <c r="S318" s="31"/>
      <c r="U318" s="16"/>
      <c r="V318" s="16"/>
      <c r="W318" s="16"/>
      <c r="X318" s="16"/>
      <c r="Y318" s="30"/>
      <c r="Z318" s="16" t="s">
        <v>174</v>
      </c>
    </row>
    <row r="319">
      <c r="A319" s="28" t="s">
        <v>174</v>
      </c>
      <c r="B319" s="16"/>
      <c r="F319" s="45"/>
      <c r="H319" s="21"/>
      <c r="J319" s="21"/>
      <c r="M319" s="21"/>
      <c r="N319" s="21"/>
      <c r="O319" s="42"/>
      <c r="P319" s="30"/>
      <c r="R319" s="21"/>
      <c r="S319" s="31"/>
      <c r="U319" s="16"/>
      <c r="V319" s="16"/>
      <c r="W319" s="16"/>
      <c r="X319" s="16"/>
      <c r="Y319" s="30"/>
      <c r="Z319" s="16" t="s">
        <v>174</v>
      </c>
    </row>
    <row r="320">
      <c r="A320" s="28" t="s">
        <v>174</v>
      </c>
      <c r="B320" s="16"/>
      <c r="F320" s="45"/>
      <c r="H320" s="21"/>
      <c r="J320" s="21"/>
      <c r="M320" s="21"/>
      <c r="N320" s="21"/>
      <c r="O320" s="42"/>
      <c r="P320" s="30"/>
      <c r="R320" s="21"/>
      <c r="S320" s="31"/>
      <c r="U320" s="16"/>
      <c r="V320" s="16"/>
      <c r="W320" s="16"/>
      <c r="X320" s="16"/>
      <c r="Y320" s="30"/>
      <c r="Z320" s="16" t="s">
        <v>174</v>
      </c>
    </row>
    <row r="321">
      <c r="A321" s="28" t="s">
        <v>174</v>
      </c>
      <c r="B321" s="16"/>
      <c r="F321" s="45"/>
      <c r="H321" s="21"/>
      <c r="J321" s="21"/>
      <c r="M321" s="21"/>
      <c r="N321" s="21"/>
      <c r="O321" s="42"/>
      <c r="P321" s="30"/>
      <c r="R321" s="21"/>
      <c r="S321" s="31"/>
      <c r="U321" s="16"/>
      <c r="V321" s="16"/>
      <c r="W321" s="16"/>
      <c r="X321" s="16"/>
      <c r="Y321" s="30"/>
      <c r="Z321" s="16" t="s">
        <v>174</v>
      </c>
    </row>
    <row r="322">
      <c r="A322" s="28" t="s">
        <v>174</v>
      </c>
      <c r="B322" s="16"/>
      <c r="F322" s="45"/>
      <c r="H322" s="21"/>
      <c r="J322" s="21"/>
      <c r="M322" s="21"/>
      <c r="N322" s="21"/>
      <c r="O322" s="42"/>
      <c r="P322" s="30"/>
      <c r="R322" s="21"/>
      <c r="S322" s="31"/>
      <c r="U322" s="16"/>
      <c r="V322" s="16"/>
      <c r="W322" s="16"/>
      <c r="X322" s="16"/>
      <c r="Y322" s="30"/>
      <c r="Z322" s="16" t="s">
        <v>174</v>
      </c>
    </row>
    <row r="323">
      <c r="A323" s="28" t="s">
        <v>174</v>
      </c>
      <c r="B323" s="16"/>
      <c r="F323" s="45"/>
      <c r="H323" s="21"/>
      <c r="J323" s="21"/>
      <c r="M323" s="21"/>
      <c r="N323" s="21"/>
      <c r="O323" s="42"/>
      <c r="P323" s="30"/>
      <c r="R323" s="21"/>
      <c r="S323" s="31"/>
      <c r="U323" s="16"/>
      <c r="V323" s="16"/>
      <c r="W323" s="16"/>
      <c r="X323" s="16"/>
      <c r="Y323" s="30"/>
      <c r="Z323" s="16" t="s">
        <v>174</v>
      </c>
    </row>
    <row r="324">
      <c r="A324" s="28" t="s">
        <v>174</v>
      </c>
      <c r="B324" s="16"/>
      <c r="F324" s="45"/>
      <c r="H324" s="21"/>
      <c r="J324" s="21"/>
      <c r="M324" s="21"/>
      <c r="N324" s="21"/>
      <c r="O324" s="42"/>
      <c r="P324" s="30"/>
      <c r="R324" s="21"/>
      <c r="S324" s="31"/>
      <c r="U324" s="16"/>
      <c r="V324" s="16"/>
      <c r="W324" s="16"/>
      <c r="X324" s="16"/>
      <c r="Y324" s="30"/>
      <c r="Z324" s="16" t="s">
        <v>174</v>
      </c>
    </row>
    <row r="325">
      <c r="A325" s="28" t="s">
        <v>174</v>
      </c>
      <c r="B325" s="16"/>
      <c r="F325" s="45"/>
      <c r="H325" s="21"/>
      <c r="J325" s="21"/>
      <c r="M325" s="21"/>
      <c r="N325" s="21"/>
      <c r="O325" s="42"/>
      <c r="P325" s="30"/>
      <c r="R325" s="21"/>
      <c r="S325" s="31"/>
      <c r="U325" s="16"/>
      <c r="V325" s="16"/>
      <c r="W325" s="16"/>
      <c r="X325" s="16"/>
      <c r="Y325" s="30"/>
      <c r="Z325" s="16" t="s">
        <v>174</v>
      </c>
    </row>
    <row r="326">
      <c r="A326" s="28" t="s">
        <v>174</v>
      </c>
      <c r="B326" s="16"/>
      <c r="F326" s="45"/>
      <c r="H326" s="21"/>
      <c r="J326" s="21"/>
      <c r="M326" s="21"/>
      <c r="N326" s="21"/>
      <c r="O326" s="42"/>
      <c r="P326" s="30"/>
      <c r="R326" s="21"/>
      <c r="S326" s="31"/>
      <c r="U326" s="16"/>
      <c r="V326" s="16"/>
      <c r="W326" s="16"/>
      <c r="X326" s="16"/>
      <c r="Y326" s="30"/>
      <c r="Z326" s="16" t="s">
        <v>174</v>
      </c>
    </row>
    <row r="327">
      <c r="A327" s="28" t="s">
        <v>174</v>
      </c>
      <c r="B327" s="16"/>
      <c r="F327" s="45"/>
      <c r="H327" s="21"/>
      <c r="J327" s="21"/>
      <c r="M327" s="21"/>
      <c r="N327" s="21"/>
      <c r="O327" s="42"/>
      <c r="P327" s="30"/>
      <c r="R327" s="21"/>
      <c r="S327" s="31"/>
      <c r="U327" s="16"/>
      <c r="V327" s="16"/>
      <c r="W327" s="16"/>
      <c r="X327" s="16"/>
      <c r="Y327" s="30"/>
      <c r="Z327" s="16" t="s">
        <v>174</v>
      </c>
    </row>
    <row r="328">
      <c r="A328" s="28" t="s">
        <v>174</v>
      </c>
      <c r="B328" s="16"/>
      <c r="F328" s="45"/>
      <c r="H328" s="21"/>
      <c r="J328" s="21"/>
      <c r="M328" s="21"/>
      <c r="N328" s="21"/>
      <c r="O328" s="42"/>
      <c r="P328" s="30"/>
      <c r="R328" s="21"/>
      <c r="S328" s="31"/>
      <c r="U328" s="16"/>
      <c r="V328" s="16"/>
      <c r="W328" s="16"/>
      <c r="X328" s="16"/>
      <c r="Y328" s="30"/>
      <c r="Z328" s="16" t="s">
        <v>174</v>
      </c>
    </row>
    <row r="329">
      <c r="A329" s="28" t="s">
        <v>174</v>
      </c>
      <c r="B329" s="16"/>
      <c r="F329" s="45"/>
      <c r="H329" s="21"/>
      <c r="J329" s="21"/>
      <c r="M329" s="21"/>
      <c r="N329" s="21"/>
      <c r="O329" s="42"/>
      <c r="P329" s="30"/>
      <c r="R329" s="21"/>
      <c r="S329" s="31"/>
      <c r="U329" s="16"/>
      <c r="V329" s="16"/>
      <c r="W329" s="16"/>
      <c r="X329" s="16"/>
      <c r="Y329" s="30"/>
      <c r="Z329" s="16" t="s">
        <v>174</v>
      </c>
    </row>
    <row r="330">
      <c r="A330" s="28" t="s">
        <v>174</v>
      </c>
      <c r="B330" s="16"/>
      <c r="F330" s="45"/>
      <c r="H330" s="21"/>
      <c r="J330" s="21"/>
      <c r="M330" s="21"/>
      <c r="N330" s="21"/>
      <c r="O330" s="42"/>
      <c r="P330" s="30"/>
      <c r="R330" s="21"/>
      <c r="S330" s="31"/>
      <c r="U330" s="16"/>
      <c r="V330" s="16"/>
      <c r="W330" s="16"/>
      <c r="X330" s="16"/>
      <c r="Y330" s="30"/>
      <c r="Z330" s="16" t="s">
        <v>174</v>
      </c>
    </row>
    <row r="331">
      <c r="A331" s="28" t="s">
        <v>174</v>
      </c>
      <c r="B331" s="16"/>
      <c r="F331" s="45"/>
      <c r="H331" s="21"/>
      <c r="J331" s="21"/>
      <c r="M331" s="21"/>
      <c r="N331" s="21"/>
      <c r="O331" s="42"/>
      <c r="P331" s="30"/>
      <c r="R331" s="21"/>
      <c r="S331" s="31"/>
      <c r="U331" s="16"/>
      <c r="V331" s="16"/>
      <c r="W331" s="16"/>
      <c r="X331" s="16"/>
      <c r="Y331" s="30"/>
      <c r="Z331" s="16" t="s">
        <v>174</v>
      </c>
    </row>
    <row r="332">
      <c r="A332" s="28" t="s">
        <v>174</v>
      </c>
      <c r="B332" s="16"/>
      <c r="F332" s="45"/>
      <c r="H332" s="21"/>
      <c r="J332" s="21"/>
      <c r="M332" s="21"/>
      <c r="N332" s="21"/>
      <c r="O332" s="42"/>
      <c r="P332" s="30"/>
      <c r="R332" s="21"/>
      <c r="S332" s="31"/>
      <c r="U332" s="16"/>
      <c r="V332" s="16"/>
      <c r="W332" s="16"/>
      <c r="X332" s="16"/>
      <c r="Y332" s="30"/>
      <c r="Z332" s="16" t="s">
        <v>174</v>
      </c>
    </row>
    <row r="333">
      <c r="A333" s="28" t="s">
        <v>174</v>
      </c>
      <c r="B333" s="16"/>
      <c r="F333" s="45"/>
      <c r="H333" s="21"/>
      <c r="J333" s="21"/>
      <c r="M333" s="21"/>
      <c r="N333" s="21"/>
      <c r="O333" s="42"/>
      <c r="P333" s="30"/>
      <c r="R333" s="21"/>
      <c r="S333" s="31"/>
      <c r="U333" s="16"/>
      <c r="V333" s="16"/>
      <c r="W333" s="16"/>
      <c r="X333" s="16"/>
      <c r="Y333" s="30"/>
      <c r="Z333" s="16" t="s">
        <v>174</v>
      </c>
    </row>
    <row r="334">
      <c r="A334" s="28" t="s">
        <v>174</v>
      </c>
      <c r="B334" s="16"/>
      <c r="F334" s="45"/>
      <c r="H334" s="21"/>
      <c r="J334" s="21"/>
      <c r="M334" s="21"/>
      <c r="N334" s="21"/>
      <c r="O334" s="42"/>
      <c r="P334" s="30"/>
      <c r="R334" s="21"/>
      <c r="S334" s="31"/>
      <c r="U334" s="16"/>
      <c r="V334" s="16"/>
      <c r="W334" s="16"/>
      <c r="X334" s="16"/>
      <c r="Y334" s="30"/>
      <c r="Z334" s="16" t="s">
        <v>174</v>
      </c>
    </row>
    <row r="335">
      <c r="A335" s="28" t="s">
        <v>174</v>
      </c>
      <c r="B335" s="16"/>
      <c r="F335" s="45"/>
      <c r="H335" s="21"/>
      <c r="J335" s="21"/>
      <c r="M335" s="21"/>
      <c r="N335" s="21"/>
      <c r="O335" s="42"/>
      <c r="P335" s="30"/>
      <c r="R335" s="21"/>
      <c r="S335" s="31"/>
      <c r="U335" s="16"/>
      <c r="V335" s="16"/>
      <c r="W335" s="16"/>
      <c r="X335" s="16"/>
      <c r="Y335" s="30"/>
      <c r="Z335" s="16" t="s">
        <v>174</v>
      </c>
    </row>
    <row r="336">
      <c r="A336" s="28" t="s">
        <v>174</v>
      </c>
      <c r="B336" s="16"/>
      <c r="F336" s="45"/>
      <c r="H336" s="21"/>
      <c r="J336" s="21"/>
      <c r="M336" s="21"/>
      <c r="N336" s="21"/>
      <c r="O336" s="42"/>
      <c r="P336" s="30"/>
      <c r="R336" s="21"/>
      <c r="S336" s="31"/>
      <c r="U336" s="16"/>
      <c r="V336" s="16"/>
      <c r="W336" s="16"/>
      <c r="X336" s="16"/>
      <c r="Y336" s="30"/>
      <c r="Z336" s="16" t="s">
        <v>174</v>
      </c>
    </row>
    <row r="337">
      <c r="A337" s="28" t="s">
        <v>174</v>
      </c>
      <c r="B337" s="16"/>
      <c r="F337" s="45"/>
      <c r="H337" s="21"/>
      <c r="J337" s="21"/>
      <c r="M337" s="21"/>
      <c r="N337" s="21"/>
      <c r="O337" s="42"/>
      <c r="P337" s="30"/>
      <c r="R337" s="21"/>
      <c r="S337" s="31"/>
      <c r="U337" s="16"/>
      <c r="V337" s="16"/>
      <c r="W337" s="16"/>
      <c r="X337" s="16"/>
      <c r="Y337" s="30"/>
      <c r="Z337" s="16" t="s">
        <v>174</v>
      </c>
    </row>
    <row r="338">
      <c r="A338" s="28" t="s">
        <v>174</v>
      </c>
      <c r="B338" s="16"/>
      <c r="F338" s="45"/>
      <c r="H338" s="21"/>
      <c r="J338" s="21"/>
      <c r="M338" s="21"/>
      <c r="N338" s="21"/>
      <c r="O338" s="42"/>
      <c r="P338" s="30"/>
      <c r="R338" s="21"/>
      <c r="S338" s="31"/>
      <c r="U338" s="16"/>
      <c r="V338" s="16"/>
      <c r="W338" s="16"/>
      <c r="X338" s="16"/>
      <c r="Y338" s="30"/>
      <c r="Z338" s="16" t="s">
        <v>174</v>
      </c>
    </row>
    <row r="339">
      <c r="A339" s="28" t="s">
        <v>174</v>
      </c>
      <c r="B339" s="16"/>
      <c r="F339" s="45"/>
      <c r="H339" s="21"/>
      <c r="J339" s="21"/>
      <c r="M339" s="21"/>
      <c r="N339" s="21"/>
      <c r="O339" s="42"/>
      <c r="P339" s="30"/>
      <c r="R339" s="21"/>
      <c r="S339" s="31"/>
      <c r="U339" s="16"/>
      <c r="V339" s="16"/>
      <c r="W339" s="16"/>
      <c r="X339" s="16"/>
      <c r="Y339" s="30"/>
      <c r="Z339" s="16" t="s">
        <v>174</v>
      </c>
    </row>
    <row r="340">
      <c r="A340" s="28" t="s">
        <v>174</v>
      </c>
      <c r="B340" s="16"/>
      <c r="F340" s="45"/>
      <c r="H340" s="21"/>
      <c r="J340" s="21"/>
      <c r="M340" s="21"/>
      <c r="N340" s="21"/>
      <c r="O340" s="42"/>
      <c r="P340" s="30"/>
      <c r="R340" s="21"/>
      <c r="S340" s="31"/>
      <c r="U340" s="16"/>
      <c r="V340" s="16"/>
      <c r="W340" s="16"/>
      <c r="X340" s="16"/>
      <c r="Y340" s="30"/>
      <c r="Z340" s="16" t="s">
        <v>174</v>
      </c>
    </row>
    <row r="341">
      <c r="A341" s="28" t="s">
        <v>174</v>
      </c>
      <c r="B341" s="16"/>
      <c r="F341" s="45"/>
      <c r="H341" s="21"/>
      <c r="J341" s="21"/>
      <c r="M341" s="21"/>
      <c r="N341" s="21"/>
      <c r="O341" s="42"/>
      <c r="P341" s="30"/>
      <c r="R341" s="21"/>
      <c r="S341" s="31"/>
      <c r="U341" s="16"/>
      <c r="V341" s="16"/>
      <c r="W341" s="16"/>
      <c r="X341" s="16"/>
      <c r="Y341" s="30"/>
      <c r="Z341" s="16" t="s">
        <v>174</v>
      </c>
    </row>
    <row r="342">
      <c r="A342" s="28" t="s">
        <v>174</v>
      </c>
      <c r="B342" s="16"/>
      <c r="F342" s="45"/>
      <c r="H342" s="21"/>
      <c r="J342" s="21"/>
      <c r="M342" s="21"/>
      <c r="N342" s="21"/>
      <c r="O342" s="42"/>
      <c r="P342" s="30"/>
      <c r="R342" s="21"/>
      <c r="S342" s="31"/>
      <c r="U342" s="16"/>
      <c r="V342" s="16"/>
      <c r="W342" s="16"/>
      <c r="X342" s="16"/>
      <c r="Y342" s="30"/>
      <c r="Z342" s="16" t="s">
        <v>174</v>
      </c>
    </row>
    <row r="343">
      <c r="A343" s="28" t="s">
        <v>174</v>
      </c>
      <c r="B343" s="16"/>
      <c r="F343" s="45"/>
      <c r="H343" s="21"/>
      <c r="J343" s="21"/>
      <c r="M343" s="21"/>
      <c r="N343" s="21"/>
      <c r="O343" s="42"/>
      <c r="P343" s="30"/>
      <c r="R343" s="21"/>
      <c r="S343" s="31"/>
      <c r="U343" s="16"/>
      <c r="V343" s="16"/>
      <c r="W343" s="16"/>
      <c r="X343" s="16"/>
      <c r="Y343" s="30"/>
      <c r="Z343" s="16" t="s">
        <v>174</v>
      </c>
    </row>
    <row r="344">
      <c r="A344" s="28" t="s">
        <v>174</v>
      </c>
      <c r="B344" s="16"/>
      <c r="F344" s="45"/>
      <c r="H344" s="21"/>
      <c r="J344" s="21"/>
      <c r="M344" s="21"/>
      <c r="N344" s="21"/>
      <c r="O344" s="42"/>
      <c r="P344" s="30"/>
      <c r="R344" s="21"/>
      <c r="S344" s="31"/>
      <c r="U344" s="16"/>
      <c r="V344" s="16"/>
      <c r="W344" s="16"/>
      <c r="X344" s="16"/>
      <c r="Y344" s="30"/>
      <c r="Z344" s="16" t="s">
        <v>174</v>
      </c>
    </row>
    <row r="345">
      <c r="A345" s="28" t="s">
        <v>174</v>
      </c>
      <c r="B345" s="16"/>
      <c r="F345" s="45"/>
      <c r="H345" s="21"/>
      <c r="J345" s="21"/>
      <c r="M345" s="21"/>
      <c r="N345" s="21"/>
      <c r="O345" s="42"/>
      <c r="P345" s="30"/>
      <c r="R345" s="21"/>
      <c r="S345" s="31"/>
      <c r="U345" s="16"/>
      <c r="V345" s="16"/>
      <c r="W345" s="16"/>
      <c r="X345" s="16"/>
      <c r="Y345" s="30"/>
      <c r="Z345" s="16" t="s">
        <v>174</v>
      </c>
    </row>
    <row r="346">
      <c r="A346" s="28" t="s">
        <v>174</v>
      </c>
      <c r="B346" s="16"/>
      <c r="F346" s="45"/>
      <c r="H346" s="21"/>
      <c r="J346" s="21"/>
      <c r="M346" s="21"/>
      <c r="N346" s="21"/>
      <c r="O346" s="42"/>
      <c r="P346" s="30"/>
      <c r="R346" s="21"/>
      <c r="S346" s="31"/>
      <c r="U346" s="16"/>
      <c r="V346" s="16"/>
      <c r="W346" s="16"/>
      <c r="X346" s="16"/>
      <c r="Y346" s="30"/>
      <c r="Z346" s="16" t="s">
        <v>174</v>
      </c>
    </row>
    <row r="347">
      <c r="A347" s="28" t="s">
        <v>174</v>
      </c>
      <c r="B347" s="16"/>
      <c r="F347" s="45"/>
      <c r="H347" s="21"/>
      <c r="J347" s="21"/>
      <c r="M347" s="21"/>
      <c r="N347" s="21"/>
      <c r="O347" s="42"/>
      <c r="P347" s="30"/>
      <c r="R347" s="21"/>
      <c r="S347" s="31"/>
      <c r="U347" s="16"/>
      <c r="V347" s="16"/>
      <c r="W347" s="16"/>
      <c r="X347" s="16"/>
      <c r="Y347" s="30"/>
      <c r="Z347" s="16" t="s">
        <v>174</v>
      </c>
    </row>
    <row r="348">
      <c r="A348" s="28" t="s">
        <v>174</v>
      </c>
      <c r="B348" s="16"/>
      <c r="F348" s="45"/>
      <c r="H348" s="21"/>
      <c r="J348" s="21"/>
      <c r="M348" s="21"/>
      <c r="N348" s="21"/>
      <c r="O348" s="42"/>
      <c r="P348" s="30"/>
      <c r="R348" s="21"/>
      <c r="S348" s="31"/>
      <c r="U348" s="16"/>
      <c r="V348" s="16"/>
      <c r="W348" s="16"/>
      <c r="X348" s="16"/>
      <c r="Y348" s="30"/>
      <c r="Z348" s="16" t="s">
        <v>174</v>
      </c>
    </row>
    <row r="349">
      <c r="A349" s="28" t="s">
        <v>174</v>
      </c>
      <c r="B349" s="16"/>
      <c r="F349" s="45"/>
      <c r="H349" s="21"/>
      <c r="J349" s="21"/>
      <c r="M349" s="21"/>
      <c r="N349" s="21"/>
      <c r="O349" s="42"/>
      <c r="P349" s="30"/>
      <c r="R349" s="21"/>
      <c r="S349" s="31"/>
      <c r="U349" s="16"/>
      <c r="V349" s="16"/>
      <c r="W349" s="16"/>
      <c r="X349" s="16"/>
      <c r="Y349" s="30"/>
      <c r="Z349" s="16" t="s">
        <v>174</v>
      </c>
    </row>
    <row r="350">
      <c r="A350" s="28" t="s">
        <v>174</v>
      </c>
      <c r="B350" s="16"/>
      <c r="F350" s="45"/>
      <c r="H350" s="21"/>
      <c r="J350" s="21"/>
      <c r="M350" s="21"/>
      <c r="N350" s="21"/>
      <c r="O350" s="42"/>
      <c r="P350" s="30"/>
      <c r="R350" s="21"/>
      <c r="S350" s="31"/>
      <c r="U350" s="16"/>
      <c r="V350" s="16"/>
      <c r="W350" s="16"/>
      <c r="X350" s="16"/>
      <c r="Y350" s="30"/>
      <c r="Z350" s="16" t="s">
        <v>174</v>
      </c>
    </row>
    <row r="351">
      <c r="A351" s="28" t="s">
        <v>174</v>
      </c>
      <c r="B351" s="16"/>
      <c r="F351" s="45"/>
      <c r="H351" s="21"/>
      <c r="J351" s="21"/>
      <c r="M351" s="21"/>
      <c r="N351" s="21"/>
      <c r="O351" s="42"/>
      <c r="P351" s="30"/>
      <c r="R351" s="21"/>
      <c r="S351" s="31"/>
      <c r="U351" s="16"/>
      <c r="V351" s="16"/>
      <c r="W351" s="16"/>
      <c r="X351" s="16"/>
      <c r="Y351" s="30"/>
      <c r="Z351" s="16" t="s">
        <v>174</v>
      </c>
    </row>
    <row r="352">
      <c r="A352" s="28" t="s">
        <v>174</v>
      </c>
      <c r="B352" s="16"/>
      <c r="F352" s="45"/>
      <c r="H352" s="21"/>
      <c r="J352" s="21"/>
      <c r="M352" s="21"/>
      <c r="N352" s="21"/>
      <c r="O352" s="42"/>
      <c r="P352" s="30"/>
      <c r="R352" s="21"/>
      <c r="S352" s="31"/>
      <c r="U352" s="16"/>
      <c r="V352" s="16"/>
      <c r="W352" s="16"/>
      <c r="X352" s="16"/>
      <c r="Y352" s="30"/>
      <c r="Z352" s="16" t="s">
        <v>174</v>
      </c>
    </row>
    <row r="353">
      <c r="A353" s="28" t="s">
        <v>174</v>
      </c>
      <c r="B353" s="16"/>
      <c r="F353" s="45"/>
      <c r="H353" s="21"/>
      <c r="J353" s="21"/>
      <c r="M353" s="21"/>
      <c r="N353" s="21"/>
      <c r="O353" s="42"/>
      <c r="P353" s="30"/>
      <c r="R353" s="21"/>
      <c r="S353" s="31"/>
      <c r="U353" s="16"/>
      <c r="V353" s="16"/>
      <c r="W353" s="16"/>
      <c r="X353" s="16"/>
      <c r="Y353" s="30"/>
      <c r="Z353" s="16" t="s">
        <v>174</v>
      </c>
    </row>
    <row r="354">
      <c r="A354" s="28" t="s">
        <v>174</v>
      </c>
      <c r="B354" s="16"/>
      <c r="F354" s="45"/>
      <c r="H354" s="21"/>
      <c r="J354" s="21"/>
      <c r="M354" s="21"/>
      <c r="N354" s="21"/>
      <c r="O354" s="42"/>
      <c r="P354" s="30"/>
      <c r="R354" s="21"/>
      <c r="S354" s="31"/>
      <c r="U354" s="16"/>
      <c r="V354" s="16"/>
      <c r="W354" s="16"/>
      <c r="X354" s="16"/>
      <c r="Y354" s="30"/>
      <c r="Z354" s="16" t="s">
        <v>174</v>
      </c>
    </row>
    <row r="355">
      <c r="A355" s="28" t="s">
        <v>174</v>
      </c>
      <c r="B355" s="16"/>
      <c r="F355" s="45"/>
      <c r="H355" s="21"/>
      <c r="J355" s="21"/>
      <c r="M355" s="21"/>
      <c r="N355" s="21"/>
      <c r="O355" s="42"/>
      <c r="P355" s="30"/>
      <c r="R355" s="21"/>
      <c r="S355" s="31"/>
      <c r="U355" s="16"/>
      <c r="V355" s="16"/>
      <c r="W355" s="16"/>
      <c r="X355" s="16"/>
      <c r="Y355" s="30"/>
      <c r="Z355" s="16" t="s">
        <v>174</v>
      </c>
    </row>
    <row r="356">
      <c r="A356" s="28" t="s">
        <v>174</v>
      </c>
      <c r="B356" s="16"/>
      <c r="F356" s="45"/>
      <c r="H356" s="21"/>
      <c r="J356" s="21"/>
      <c r="M356" s="21"/>
      <c r="N356" s="21"/>
      <c r="O356" s="42"/>
      <c r="P356" s="30"/>
      <c r="R356" s="21"/>
      <c r="S356" s="31"/>
      <c r="U356" s="16"/>
      <c r="V356" s="16"/>
      <c r="W356" s="16"/>
      <c r="X356" s="16"/>
      <c r="Y356" s="30"/>
      <c r="Z356" s="16" t="s">
        <v>174</v>
      </c>
    </row>
    <row r="357">
      <c r="A357" s="28" t="s">
        <v>174</v>
      </c>
      <c r="B357" s="16"/>
      <c r="F357" s="45"/>
      <c r="H357" s="21"/>
      <c r="J357" s="21"/>
      <c r="M357" s="21"/>
      <c r="N357" s="21"/>
      <c r="O357" s="42"/>
      <c r="P357" s="30"/>
      <c r="R357" s="21"/>
      <c r="S357" s="31"/>
      <c r="U357" s="16"/>
      <c r="V357" s="16"/>
      <c r="W357" s="16"/>
      <c r="X357" s="16"/>
      <c r="Y357" s="30"/>
      <c r="Z357" s="16" t="s">
        <v>174</v>
      </c>
    </row>
    <row r="358">
      <c r="A358" s="28" t="s">
        <v>174</v>
      </c>
      <c r="B358" s="16"/>
      <c r="F358" s="45"/>
      <c r="H358" s="21"/>
      <c r="J358" s="21"/>
      <c r="M358" s="21"/>
      <c r="N358" s="21"/>
      <c r="O358" s="42"/>
      <c r="P358" s="30"/>
      <c r="R358" s="21"/>
      <c r="S358" s="31"/>
      <c r="U358" s="16"/>
      <c r="V358" s="16"/>
      <c r="W358" s="16"/>
      <c r="X358" s="16"/>
      <c r="Y358" s="30"/>
      <c r="Z358" s="16" t="s">
        <v>174</v>
      </c>
    </row>
    <row r="359">
      <c r="A359" s="28" t="s">
        <v>174</v>
      </c>
      <c r="B359" s="16"/>
      <c r="F359" s="45"/>
      <c r="H359" s="21"/>
      <c r="J359" s="21"/>
      <c r="M359" s="21"/>
      <c r="N359" s="21"/>
      <c r="O359" s="42"/>
      <c r="P359" s="30"/>
      <c r="R359" s="21"/>
      <c r="S359" s="31"/>
      <c r="U359" s="16"/>
      <c r="V359" s="16"/>
      <c r="W359" s="16"/>
      <c r="X359" s="16"/>
      <c r="Y359" s="30"/>
      <c r="Z359" s="16" t="s">
        <v>174</v>
      </c>
    </row>
    <row r="360">
      <c r="A360" s="28" t="s">
        <v>174</v>
      </c>
      <c r="B360" s="16"/>
      <c r="F360" s="45"/>
      <c r="H360" s="21"/>
      <c r="J360" s="21"/>
      <c r="M360" s="21"/>
      <c r="N360" s="21"/>
      <c r="O360" s="42"/>
      <c r="P360" s="30"/>
      <c r="R360" s="21"/>
      <c r="S360" s="31"/>
      <c r="U360" s="16"/>
      <c r="V360" s="16"/>
      <c r="W360" s="16"/>
      <c r="X360" s="16"/>
      <c r="Y360" s="30"/>
      <c r="Z360" s="16" t="s">
        <v>174</v>
      </c>
    </row>
    <row r="361">
      <c r="A361" s="28" t="s">
        <v>174</v>
      </c>
      <c r="B361" s="16"/>
      <c r="F361" s="45"/>
      <c r="H361" s="21"/>
      <c r="J361" s="21"/>
      <c r="M361" s="21"/>
      <c r="N361" s="21"/>
      <c r="O361" s="42"/>
      <c r="P361" s="30"/>
      <c r="R361" s="21"/>
      <c r="S361" s="31"/>
      <c r="U361" s="16"/>
      <c r="V361" s="16"/>
      <c r="W361" s="16"/>
      <c r="X361" s="16"/>
      <c r="Y361" s="30"/>
      <c r="Z361" s="16" t="s">
        <v>174</v>
      </c>
    </row>
    <row r="362">
      <c r="A362" s="28" t="s">
        <v>174</v>
      </c>
      <c r="B362" s="16"/>
      <c r="F362" s="45"/>
      <c r="H362" s="21"/>
      <c r="J362" s="21"/>
      <c r="M362" s="21"/>
      <c r="N362" s="21"/>
      <c r="O362" s="42"/>
      <c r="P362" s="30"/>
      <c r="R362" s="21"/>
      <c r="S362" s="31"/>
      <c r="U362" s="16"/>
      <c r="V362" s="16"/>
      <c r="W362" s="16"/>
      <c r="X362" s="16"/>
      <c r="Y362" s="30"/>
      <c r="Z362" s="16" t="s">
        <v>174</v>
      </c>
    </row>
    <row r="363">
      <c r="A363" s="28" t="s">
        <v>174</v>
      </c>
      <c r="B363" s="16"/>
      <c r="F363" s="45"/>
      <c r="H363" s="21"/>
      <c r="J363" s="21"/>
      <c r="M363" s="21"/>
      <c r="N363" s="21"/>
      <c r="O363" s="42"/>
      <c r="P363" s="30"/>
      <c r="R363" s="21"/>
      <c r="S363" s="31"/>
      <c r="U363" s="16"/>
      <c r="V363" s="16"/>
      <c r="W363" s="16"/>
      <c r="X363" s="16"/>
      <c r="Y363" s="30"/>
      <c r="Z363" s="16" t="s">
        <v>174</v>
      </c>
    </row>
    <row r="364">
      <c r="A364" s="28" t="s">
        <v>174</v>
      </c>
      <c r="B364" s="16"/>
      <c r="F364" s="45"/>
      <c r="H364" s="21"/>
      <c r="J364" s="21"/>
      <c r="M364" s="21"/>
      <c r="N364" s="21"/>
      <c r="O364" s="42"/>
      <c r="P364" s="30"/>
      <c r="R364" s="21"/>
      <c r="S364" s="31"/>
      <c r="U364" s="16"/>
      <c r="V364" s="16"/>
      <c r="W364" s="16"/>
      <c r="X364" s="16"/>
      <c r="Y364" s="30"/>
      <c r="Z364" s="16" t="s">
        <v>174</v>
      </c>
    </row>
    <row r="365">
      <c r="A365" s="28" t="s">
        <v>174</v>
      </c>
      <c r="B365" s="16"/>
      <c r="F365" s="45"/>
      <c r="H365" s="21"/>
      <c r="J365" s="21"/>
      <c r="M365" s="21"/>
      <c r="N365" s="21"/>
      <c r="O365" s="42"/>
      <c r="P365" s="30"/>
      <c r="R365" s="21"/>
      <c r="S365" s="31"/>
      <c r="U365" s="16"/>
      <c r="V365" s="16"/>
      <c r="W365" s="16"/>
      <c r="X365" s="16"/>
      <c r="Y365" s="30"/>
      <c r="Z365" s="16" t="s">
        <v>174</v>
      </c>
    </row>
    <row r="366">
      <c r="A366" s="28" t="s">
        <v>174</v>
      </c>
      <c r="B366" s="16"/>
      <c r="F366" s="45"/>
      <c r="H366" s="21"/>
      <c r="J366" s="21"/>
      <c r="M366" s="21"/>
      <c r="N366" s="21"/>
      <c r="O366" s="42"/>
      <c r="P366" s="30"/>
      <c r="R366" s="21"/>
      <c r="S366" s="31"/>
      <c r="U366" s="16"/>
      <c r="V366" s="16"/>
      <c r="W366" s="16"/>
      <c r="X366" s="16"/>
      <c r="Y366" s="30"/>
      <c r="Z366" s="16" t="s">
        <v>174</v>
      </c>
    </row>
    <row r="367">
      <c r="A367" s="28" t="s">
        <v>174</v>
      </c>
      <c r="B367" s="16"/>
      <c r="F367" s="45"/>
      <c r="H367" s="21"/>
      <c r="J367" s="21"/>
      <c r="M367" s="21"/>
      <c r="N367" s="21"/>
      <c r="O367" s="42"/>
      <c r="P367" s="30"/>
      <c r="R367" s="21"/>
      <c r="S367" s="31"/>
      <c r="U367" s="16"/>
      <c r="V367" s="16"/>
      <c r="W367" s="16"/>
      <c r="X367" s="16"/>
      <c r="Y367" s="30"/>
      <c r="Z367" s="16" t="s">
        <v>174</v>
      </c>
    </row>
    <row r="368">
      <c r="A368" s="28" t="s">
        <v>174</v>
      </c>
      <c r="B368" s="16"/>
      <c r="F368" s="45"/>
      <c r="H368" s="21"/>
      <c r="J368" s="21"/>
      <c r="M368" s="21"/>
      <c r="N368" s="21"/>
      <c r="O368" s="42"/>
      <c r="P368" s="30"/>
      <c r="R368" s="21"/>
      <c r="S368" s="31"/>
      <c r="U368" s="16"/>
      <c r="V368" s="16"/>
      <c r="W368" s="16"/>
      <c r="X368" s="16"/>
      <c r="Y368" s="30"/>
      <c r="Z368" s="16" t="s">
        <v>174</v>
      </c>
    </row>
    <row r="369">
      <c r="A369" s="28" t="s">
        <v>174</v>
      </c>
      <c r="B369" s="16"/>
      <c r="F369" s="45"/>
      <c r="H369" s="21"/>
      <c r="J369" s="21"/>
      <c r="M369" s="21"/>
      <c r="N369" s="21"/>
      <c r="O369" s="42"/>
      <c r="P369" s="30"/>
      <c r="R369" s="21"/>
      <c r="S369" s="31"/>
      <c r="U369" s="16"/>
      <c r="V369" s="16"/>
      <c r="W369" s="16"/>
      <c r="X369" s="16"/>
      <c r="Y369" s="30"/>
      <c r="Z369" s="16" t="s">
        <v>174</v>
      </c>
    </row>
    <row r="370">
      <c r="A370" s="28" t="s">
        <v>174</v>
      </c>
      <c r="B370" s="16"/>
      <c r="F370" s="45"/>
      <c r="H370" s="21"/>
      <c r="J370" s="21"/>
      <c r="M370" s="21"/>
      <c r="N370" s="21"/>
      <c r="O370" s="42"/>
      <c r="P370" s="30"/>
      <c r="R370" s="21"/>
      <c r="S370" s="31"/>
      <c r="U370" s="16"/>
      <c r="V370" s="16"/>
      <c r="W370" s="16"/>
      <c r="X370" s="16"/>
      <c r="Y370" s="30"/>
      <c r="Z370" s="16" t="s">
        <v>174</v>
      </c>
    </row>
    <row r="371">
      <c r="A371" s="28" t="s">
        <v>174</v>
      </c>
      <c r="B371" s="16"/>
      <c r="F371" s="45"/>
      <c r="H371" s="21"/>
      <c r="J371" s="21"/>
      <c r="M371" s="21"/>
      <c r="N371" s="21"/>
      <c r="O371" s="42"/>
      <c r="P371" s="30"/>
      <c r="R371" s="21"/>
      <c r="S371" s="31"/>
      <c r="U371" s="16"/>
      <c r="V371" s="16"/>
      <c r="W371" s="16"/>
      <c r="X371" s="16"/>
      <c r="Y371" s="30"/>
      <c r="Z371" s="16" t="s">
        <v>174</v>
      </c>
    </row>
    <row r="372">
      <c r="A372" s="28" t="s">
        <v>174</v>
      </c>
      <c r="B372" s="16"/>
      <c r="F372" s="45"/>
      <c r="H372" s="21"/>
      <c r="J372" s="21"/>
      <c r="M372" s="21"/>
      <c r="N372" s="21"/>
      <c r="O372" s="42"/>
      <c r="P372" s="30"/>
      <c r="R372" s="21"/>
      <c r="S372" s="31"/>
      <c r="U372" s="16"/>
      <c r="V372" s="16"/>
      <c r="W372" s="16"/>
      <c r="X372" s="16"/>
      <c r="Y372" s="30"/>
      <c r="Z372" s="16" t="s">
        <v>174</v>
      </c>
    </row>
    <row r="373">
      <c r="A373" s="28" t="s">
        <v>174</v>
      </c>
      <c r="B373" s="16"/>
      <c r="F373" s="45"/>
      <c r="H373" s="21"/>
      <c r="J373" s="21"/>
      <c r="M373" s="21"/>
      <c r="N373" s="21"/>
      <c r="O373" s="42"/>
      <c r="P373" s="30"/>
      <c r="R373" s="21"/>
      <c r="S373" s="31"/>
      <c r="U373" s="16"/>
      <c r="V373" s="16"/>
      <c r="W373" s="16"/>
      <c r="X373" s="16"/>
      <c r="Y373" s="30"/>
      <c r="Z373" s="16" t="s">
        <v>174</v>
      </c>
    </row>
    <row r="374">
      <c r="A374" s="28" t="s">
        <v>174</v>
      </c>
      <c r="B374" s="16"/>
      <c r="F374" s="45"/>
      <c r="H374" s="21"/>
      <c r="J374" s="21"/>
      <c r="M374" s="21"/>
      <c r="N374" s="21"/>
      <c r="O374" s="42"/>
      <c r="P374" s="30"/>
      <c r="R374" s="21"/>
      <c r="S374" s="31"/>
      <c r="U374" s="16"/>
      <c r="V374" s="16"/>
      <c r="W374" s="16"/>
      <c r="X374" s="16"/>
      <c r="Y374" s="30"/>
      <c r="Z374" s="16" t="s">
        <v>174</v>
      </c>
    </row>
    <row r="375">
      <c r="A375" s="28" t="s">
        <v>174</v>
      </c>
      <c r="B375" s="16"/>
      <c r="F375" s="45"/>
      <c r="H375" s="21"/>
      <c r="J375" s="21"/>
      <c r="M375" s="21"/>
      <c r="N375" s="21"/>
      <c r="O375" s="42"/>
      <c r="P375" s="30"/>
      <c r="R375" s="21"/>
      <c r="S375" s="31"/>
      <c r="U375" s="16"/>
      <c r="V375" s="16"/>
      <c r="W375" s="16"/>
      <c r="X375" s="16"/>
      <c r="Y375" s="30"/>
      <c r="Z375" s="16" t="s">
        <v>174</v>
      </c>
    </row>
    <row r="376">
      <c r="A376" s="28" t="s">
        <v>174</v>
      </c>
      <c r="B376" s="16"/>
      <c r="F376" s="45"/>
      <c r="H376" s="21"/>
      <c r="J376" s="21"/>
      <c r="M376" s="21"/>
      <c r="N376" s="21"/>
      <c r="O376" s="42"/>
      <c r="P376" s="30"/>
      <c r="R376" s="21"/>
      <c r="S376" s="31"/>
      <c r="U376" s="16"/>
      <c r="V376" s="16"/>
      <c r="W376" s="16"/>
      <c r="X376" s="16"/>
      <c r="Y376" s="30"/>
      <c r="Z376" s="16" t="s">
        <v>174</v>
      </c>
    </row>
    <row r="377">
      <c r="A377" s="28" t="s">
        <v>174</v>
      </c>
      <c r="B377" s="16"/>
      <c r="F377" s="45"/>
      <c r="H377" s="21"/>
      <c r="J377" s="21"/>
      <c r="M377" s="21"/>
      <c r="N377" s="21"/>
      <c r="O377" s="42"/>
      <c r="P377" s="30"/>
      <c r="R377" s="21"/>
      <c r="S377" s="31"/>
      <c r="U377" s="16"/>
      <c r="V377" s="16"/>
      <c r="W377" s="16"/>
      <c r="X377" s="16"/>
      <c r="Y377" s="30"/>
      <c r="Z377" s="16" t="s">
        <v>174</v>
      </c>
    </row>
    <row r="378">
      <c r="A378" s="28" t="s">
        <v>174</v>
      </c>
      <c r="B378" s="16"/>
      <c r="F378" s="45"/>
      <c r="H378" s="21"/>
      <c r="J378" s="21"/>
      <c r="M378" s="21"/>
      <c r="N378" s="21"/>
      <c r="O378" s="42"/>
      <c r="P378" s="30"/>
      <c r="R378" s="21"/>
      <c r="S378" s="31"/>
      <c r="U378" s="16"/>
      <c r="V378" s="16"/>
      <c r="W378" s="16"/>
      <c r="X378" s="16"/>
      <c r="Y378" s="30"/>
      <c r="Z378" s="16" t="s">
        <v>174</v>
      </c>
    </row>
    <row r="379">
      <c r="A379" s="28" t="s">
        <v>174</v>
      </c>
      <c r="B379" s="16"/>
      <c r="F379" s="45"/>
      <c r="H379" s="21"/>
      <c r="J379" s="21"/>
      <c r="M379" s="21"/>
      <c r="N379" s="21"/>
      <c r="O379" s="42"/>
      <c r="P379" s="30"/>
      <c r="R379" s="21"/>
      <c r="S379" s="31"/>
      <c r="U379" s="16"/>
      <c r="V379" s="16"/>
      <c r="W379" s="16"/>
      <c r="X379" s="16"/>
      <c r="Y379" s="30"/>
      <c r="Z379" s="16" t="s">
        <v>174</v>
      </c>
    </row>
    <row r="380">
      <c r="A380" s="28" t="s">
        <v>174</v>
      </c>
      <c r="B380" s="16"/>
      <c r="F380" s="45"/>
      <c r="H380" s="21"/>
      <c r="J380" s="21"/>
      <c r="M380" s="21"/>
      <c r="N380" s="21"/>
      <c r="O380" s="42"/>
      <c r="P380" s="30"/>
      <c r="R380" s="21"/>
      <c r="S380" s="31"/>
      <c r="U380" s="16"/>
      <c r="V380" s="16"/>
      <c r="W380" s="16"/>
      <c r="X380" s="16"/>
      <c r="Y380" s="30"/>
      <c r="Z380" s="16" t="s">
        <v>174</v>
      </c>
    </row>
    <row r="381">
      <c r="A381" s="28" t="s">
        <v>174</v>
      </c>
      <c r="B381" s="16"/>
      <c r="F381" s="45"/>
      <c r="H381" s="21"/>
      <c r="J381" s="21"/>
      <c r="M381" s="21"/>
      <c r="N381" s="21"/>
      <c r="O381" s="42"/>
      <c r="P381" s="30"/>
      <c r="R381" s="21"/>
      <c r="S381" s="31"/>
      <c r="U381" s="16"/>
      <c r="V381" s="16"/>
      <c r="W381" s="16"/>
      <c r="X381" s="16"/>
      <c r="Y381" s="30"/>
      <c r="Z381" s="16" t="s">
        <v>174</v>
      </c>
    </row>
    <row r="382">
      <c r="A382" s="28" t="s">
        <v>174</v>
      </c>
      <c r="B382" s="16"/>
      <c r="F382" s="45"/>
      <c r="H382" s="21"/>
      <c r="J382" s="21"/>
      <c r="M382" s="21"/>
      <c r="N382" s="21"/>
      <c r="O382" s="42"/>
      <c r="P382" s="30"/>
      <c r="R382" s="21"/>
      <c r="S382" s="31"/>
      <c r="U382" s="16"/>
      <c r="V382" s="16"/>
      <c r="W382" s="16"/>
      <c r="X382" s="16"/>
      <c r="Y382" s="30"/>
      <c r="Z382" s="16" t="s">
        <v>174</v>
      </c>
    </row>
    <row r="383">
      <c r="A383" s="28" t="s">
        <v>174</v>
      </c>
      <c r="B383" s="16"/>
      <c r="F383" s="45"/>
      <c r="H383" s="21"/>
      <c r="J383" s="21"/>
      <c r="M383" s="21"/>
      <c r="N383" s="21"/>
      <c r="O383" s="42"/>
      <c r="P383" s="30"/>
      <c r="R383" s="21"/>
      <c r="S383" s="31"/>
      <c r="U383" s="16"/>
      <c r="V383" s="16"/>
      <c r="W383" s="16"/>
      <c r="X383" s="16"/>
      <c r="Y383" s="30"/>
      <c r="Z383" s="16" t="s">
        <v>174</v>
      </c>
    </row>
    <row r="384">
      <c r="A384" s="28" t="s">
        <v>174</v>
      </c>
      <c r="B384" s="16"/>
      <c r="F384" s="45"/>
      <c r="H384" s="21"/>
      <c r="J384" s="21"/>
      <c r="M384" s="21"/>
      <c r="N384" s="21"/>
      <c r="O384" s="42"/>
      <c r="P384" s="30"/>
      <c r="R384" s="21"/>
      <c r="S384" s="31"/>
      <c r="U384" s="16"/>
      <c r="V384" s="16"/>
      <c r="W384" s="16"/>
      <c r="X384" s="16"/>
      <c r="Y384" s="30"/>
      <c r="Z384" s="16" t="s">
        <v>174</v>
      </c>
    </row>
    <row r="385">
      <c r="A385" s="28" t="s">
        <v>174</v>
      </c>
      <c r="B385" s="16"/>
      <c r="F385" s="45"/>
      <c r="H385" s="21"/>
      <c r="J385" s="21"/>
      <c r="M385" s="21"/>
      <c r="N385" s="21"/>
      <c r="O385" s="42"/>
      <c r="P385" s="30"/>
      <c r="R385" s="21"/>
      <c r="S385" s="31"/>
      <c r="U385" s="16"/>
      <c r="V385" s="16"/>
      <c r="W385" s="16"/>
      <c r="X385" s="16"/>
      <c r="Y385" s="30"/>
      <c r="Z385" s="16" t="s">
        <v>174</v>
      </c>
    </row>
    <row r="386">
      <c r="A386" s="28" t="s">
        <v>174</v>
      </c>
      <c r="B386" s="16"/>
      <c r="F386" s="45"/>
      <c r="H386" s="21"/>
      <c r="J386" s="21"/>
      <c r="M386" s="21"/>
      <c r="N386" s="21"/>
      <c r="O386" s="42"/>
      <c r="P386" s="30"/>
      <c r="R386" s="21"/>
      <c r="S386" s="31"/>
      <c r="U386" s="16"/>
      <c r="V386" s="16"/>
      <c r="W386" s="16"/>
      <c r="X386" s="16"/>
      <c r="Y386" s="30"/>
      <c r="Z386" s="16" t="s">
        <v>174</v>
      </c>
    </row>
    <row r="387">
      <c r="A387" s="28" t="s">
        <v>174</v>
      </c>
      <c r="B387" s="16"/>
      <c r="F387" s="45"/>
      <c r="H387" s="21"/>
      <c r="J387" s="21"/>
      <c r="M387" s="21"/>
      <c r="N387" s="21"/>
      <c r="O387" s="42"/>
      <c r="P387" s="30"/>
      <c r="R387" s="21"/>
      <c r="S387" s="31"/>
      <c r="U387" s="16"/>
      <c r="V387" s="16"/>
      <c r="W387" s="16"/>
      <c r="X387" s="16"/>
      <c r="Y387" s="30"/>
      <c r="Z387" s="16" t="s">
        <v>174</v>
      </c>
    </row>
    <row r="388">
      <c r="A388" s="28" t="s">
        <v>174</v>
      </c>
      <c r="B388" s="16"/>
      <c r="F388" s="45"/>
      <c r="H388" s="21"/>
      <c r="J388" s="21"/>
      <c r="M388" s="21"/>
      <c r="N388" s="21"/>
      <c r="O388" s="42"/>
      <c r="P388" s="30"/>
      <c r="R388" s="21"/>
      <c r="S388" s="31"/>
      <c r="U388" s="16"/>
      <c r="V388" s="16"/>
      <c r="W388" s="16"/>
      <c r="X388" s="16"/>
      <c r="Y388" s="30"/>
      <c r="Z388" s="16" t="s">
        <v>174</v>
      </c>
    </row>
    <row r="389">
      <c r="A389" s="28" t="s">
        <v>174</v>
      </c>
      <c r="B389" s="16"/>
      <c r="F389" s="45"/>
      <c r="H389" s="21"/>
      <c r="J389" s="21"/>
      <c r="M389" s="21"/>
      <c r="N389" s="21"/>
      <c r="O389" s="42"/>
      <c r="P389" s="30"/>
      <c r="R389" s="21"/>
      <c r="S389" s="31"/>
      <c r="U389" s="16"/>
      <c r="V389" s="16"/>
      <c r="W389" s="16"/>
      <c r="X389" s="16"/>
      <c r="Y389" s="30"/>
      <c r="Z389" s="16" t="s">
        <v>174</v>
      </c>
    </row>
    <row r="390">
      <c r="A390" s="28" t="s">
        <v>174</v>
      </c>
      <c r="B390" s="16"/>
      <c r="F390" s="45"/>
      <c r="H390" s="21"/>
      <c r="J390" s="21"/>
      <c r="M390" s="21"/>
      <c r="N390" s="21"/>
      <c r="O390" s="42"/>
      <c r="P390" s="30"/>
      <c r="R390" s="21"/>
      <c r="S390" s="31"/>
      <c r="U390" s="16"/>
      <c r="V390" s="16"/>
      <c r="W390" s="16"/>
      <c r="X390" s="16"/>
      <c r="Y390" s="30"/>
      <c r="Z390" s="16" t="s">
        <v>174</v>
      </c>
    </row>
    <row r="391">
      <c r="A391" s="28" t="s">
        <v>174</v>
      </c>
      <c r="B391" s="16"/>
      <c r="F391" s="45"/>
      <c r="H391" s="21"/>
      <c r="J391" s="21"/>
      <c r="M391" s="21"/>
      <c r="N391" s="21"/>
      <c r="O391" s="42"/>
      <c r="P391" s="30"/>
      <c r="R391" s="21"/>
      <c r="S391" s="31"/>
      <c r="U391" s="16"/>
      <c r="V391" s="16"/>
      <c r="W391" s="16"/>
      <c r="X391" s="16"/>
      <c r="Y391" s="30"/>
      <c r="Z391" s="16" t="s">
        <v>174</v>
      </c>
    </row>
    <row r="392">
      <c r="A392" s="28" t="s">
        <v>174</v>
      </c>
      <c r="B392" s="16"/>
      <c r="F392" s="45"/>
      <c r="H392" s="21"/>
      <c r="J392" s="21"/>
      <c r="M392" s="21"/>
      <c r="N392" s="21"/>
      <c r="O392" s="42"/>
      <c r="P392" s="30"/>
      <c r="R392" s="21"/>
      <c r="S392" s="31"/>
      <c r="U392" s="16"/>
      <c r="V392" s="16"/>
      <c r="W392" s="16"/>
      <c r="X392" s="16"/>
      <c r="Y392" s="30"/>
      <c r="Z392" s="16" t="s">
        <v>174</v>
      </c>
    </row>
    <row r="393">
      <c r="A393" s="28" t="s">
        <v>174</v>
      </c>
      <c r="B393" s="16"/>
      <c r="F393" s="45"/>
      <c r="H393" s="21"/>
      <c r="J393" s="21"/>
      <c r="M393" s="21"/>
      <c r="N393" s="21"/>
      <c r="O393" s="42"/>
      <c r="P393" s="30"/>
      <c r="R393" s="21"/>
      <c r="S393" s="31"/>
      <c r="U393" s="16"/>
      <c r="V393" s="16"/>
      <c r="W393" s="16"/>
      <c r="X393" s="16"/>
      <c r="Y393" s="30"/>
      <c r="Z393" s="16" t="s">
        <v>174</v>
      </c>
    </row>
    <row r="394">
      <c r="A394" s="28" t="s">
        <v>174</v>
      </c>
      <c r="B394" s="16"/>
      <c r="F394" s="45"/>
      <c r="H394" s="21"/>
      <c r="J394" s="21"/>
      <c r="M394" s="21"/>
      <c r="N394" s="21"/>
      <c r="O394" s="42"/>
      <c r="P394" s="30"/>
      <c r="R394" s="21"/>
      <c r="S394" s="31"/>
      <c r="U394" s="16"/>
      <c r="V394" s="16"/>
      <c r="W394" s="16"/>
      <c r="X394" s="16"/>
      <c r="Y394" s="30"/>
      <c r="Z394" s="16" t="s">
        <v>174</v>
      </c>
    </row>
    <row r="395">
      <c r="A395" s="28" t="s">
        <v>174</v>
      </c>
      <c r="B395" s="16"/>
      <c r="F395" s="45"/>
      <c r="H395" s="21"/>
      <c r="J395" s="21"/>
      <c r="M395" s="21"/>
      <c r="N395" s="21"/>
      <c r="O395" s="42"/>
      <c r="P395" s="30"/>
      <c r="R395" s="21"/>
      <c r="S395" s="31"/>
      <c r="U395" s="16"/>
      <c r="V395" s="16"/>
      <c r="W395" s="16"/>
      <c r="X395" s="16"/>
      <c r="Y395" s="30"/>
      <c r="Z395" s="16" t="s">
        <v>174</v>
      </c>
    </row>
    <row r="396">
      <c r="A396" s="28" t="s">
        <v>174</v>
      </c>
      <c r="B396" s="16"/>
      <c r="F396" s="45"/>
      <c r="H396" s="21"/>
      <c r="J396" s="21"/>
      <c r="M396" s="21"/>
      <c r="N396" s="21"/>
      <c r="O396" s="42"/>
      <c r="P396" s="30"/>
      <c r="R396" s="21"/>
      <c r="S396" s="31"/>
      <c r="U396" s="16"/>
      <c r="V396" s="16"/>
      <c r="W396" s="16"/>
      <c r="X396" s="16"/>
      <c r="Y396" s="30"/>
      <c r="Z396" s="16" t="s">
        <v>174</v>
      </c>
    </row>
    <row r="397">
      <c r="A397" s="28" t="s">
        <v>174</v>
      </c>
      <c r="B397" s="16"/>
      <c r="F397" s="45"/>
      <c r="H397" s="21"/>
      <c r="J397" s="21"/>
      <c r="M397" s="21"/>
      <c r="N397" s="21"/>
      <c r="O397" s="42"/>
      <c r="P397" s="30"/>
      <c r="R397" s="21"/>
      <c r="S397" s="31"/>
      <c r="U397" s="16"/>
      <c r="V397" s="16"/>
      <c r="W397" s="16"/>
      <c r="X397" s="16"/>
      <c r="Y397" s="30"/>
      <c r="Z397" s="16" t="s">
        <v>174</v>
      </c>
    </row>
    <row r="398">
      <c r="A398" s="28" t="s">
        <v>174</v>
      </c>
      <c r="B398" s="16"/>
      <c r="F398" s="45"/>
      <c r="H398" s="21"/>
      <c r="J398" s="21"/>
      <c r="M398" s="21"/>
      <c r="N398" s="21"/>
      <c r="O398" s="42"/>
      <c r="P398" s="30"/>
      <c r="R398" s="21"/>
      <c r="S398" s="31"/>
      <c r="U398" s="16"/>
      <c r="V398" s="16"/>
      <c r="W398" s="16"/>
      <c r="X398" s="16"/>
      <c r="Y398" s="30"/>
      <c r="Z398" s="16" t="s">
        <v>174</v>
      </c>
    </row>
    <row r="399">
      <c r="A399" s="28" t="s">
        <v>174</v>
      </c>
      <c r="B399" s="16"/>
      <c r="F399" s="45"/>
      <c r="H399" s="21"/>
      <c r="J399" s="21"/>
      <c r="M399" s="21"/>
      <c r="N399" s="21"/>
      <c r="O399" s="42"/>
      <c r="P399" s="30"/>
      <c r="R399" s="21"/>
      <c r="S399" s="31"/>
      <c r="U399" s="16"/>
      <c r="V399" s="16"/>
      <c r="W399" s="16"/>
      <c r="X399" s="16"/>
      <c r="Y399" s="30"/>
      <c r="Z399" s="16" t="s">
        <v>174</v>
      </c>
    </row>
    <row r="400">
      <c r="A400" s="28" t="s">
        <v>174</v>
      </c>
      <c r="B400" s="16"/>
      <c r="F400" s="45"/>
      <c r="H400" s="21"/>
      <c r="J400" s="21"/>
      <c r="M400" s="21"/>
      <c r="N400" s="21"/>
      <c r="O400" s="42"/>
      <c r="P400" s="30"/>
      <c r="R400" s="21"/>
      <c r="S400" s="31"/>
      <c r="U400" s="16"/>
      <c r="V400" s="16"/>
      <c r="W400" s="16"/>
      <c r="X400" s="16"/>
      <c r="Y400" s="30"/>
      <c r="Z400" s="16" t="s">
        <v>174</v>
      </c>
    </row>
    <row r="401">
      <c r="A401" s="28" t="s">
        <v>174</v>
      </c>
      <c r="B401" s="16"/>
      <c r="F401" s="45"/>
      <c r="H401" s="21"/>
      <c r="J401" s="21"/>
      <c r="M401" s="21"/>
      <c r="N401" s="21"/>
      <c r="O401" s="42"/>
      <c r="P401" s="30"/>
      <c r="R401" s="21"/>
      <c r="S401" s="31"/>
      <c r="U401" s="16"/>
      <c r="V401" s="16"/>
      <c r="W401" s="16"/>
      <c r="X401" s="16"/>
      <c r="Y401" s="30"/>
      <c r="Z401" s="16" t="s">
        <v>174</v>
      </c>
    </row>
    <row r="402">
      <c r="A402" s="28" t="s">
        <v>174</v>
      </c>
      <c r="B402" s="16"/>
      <c r="F402" s="45"/>
      <c r="H402" s="21"/>
      <c r="J402" s="21"/>
      <c r="M402" s="21"/>
      <c r="N402" s="21"/>
      <c r="O402" s="42"/>
      <c r="P402" s="30"/>
      <c r="R402" s="21"/>
      <c r="S402" s="31"/>
      <c r="U402" s="16"/>
      <c r="V402" s="16"/>
      <c r="W402" s="16"/>
      <c r="X402" s="16"/>
      <c r="Y402" s="30"/>
      <c r="Z402" s="16" t="s">
        <v>174</v>
      </c>
    </row>
    <row r="403">
      <c r="A403" s="28" t="s">
        <v>174</v>
      </c>
      <c r="B403" s="16"/>
      <c r="F403" s="45"/>
      <c r="H403" s="21"/>
      <c r="J403" s="21"/>
      <c r="M403" s="21"/>
      <c r="N403" s="21"/>
      <c r="O403" s="42"/>
      <c r="P403" s="30"/>
      <c r="R403" s="21"/>
      <c r="S403" s="31"/>
      <c r="U403" s="16"/>
      <c r="V403" s="16"/>
      <c r="W403" s="16"/>
      <c r="X403" s="16"/>
      <c r="Y403" s="30"/>
      <c r="Z403" s="16" t="s">
        <v>174</v>
      </c>
    </row>
    <row r="404">
      <c r="A404" s="28" t="s">
        <v>174</v>
      </c>
      <c r="B404" s="16"/>
      <c r="F404" s="45"/>
      <c r="H404" s="21"/>
      <c r="J404" s="21"/>
      <c r="M404" s="21"/>
      <c r="N404" s="21"/>
      <c r="O404" s="42"/>
      <c r="P404" s="30"/>
      <c r="R404" s="21"/>
      <c r="S404" s="31"/>
      <c r="U404" s="16"/>
      <c r="V404" s="16"/>
      <c r="W404" s="16"/>
      <c r="X404" s="16"/>
      <c r="Y404" s="30"/>
      <c r="Z404" s="16" t="s">
        <v>174</v>
      </c>
    </row>
    <row r="405">
      <c r="A405" s="28" t="s">
        <v>174</v>
      </c>
      <c r="B405" s="16"/>
      <c r="F405" s="45"/>
      <c r="H405" s="21"/>
      <c r="J405" s="21"/>
      <c r="M405" s="21"/>
      <c r="N405" s="21"/>
      <c r="O405" s="42"/>
      <c r="P405" s="30"/>
      <c r="R405" s="21"/>
      <c r="S405" s="31"/>
      <c r="U405" s="16"/>
      <c r="V405" s="16"/>
      <c r="W405" s="16"/>
      <c r="X405" s="16"/>
      <c r="Y405" s="30"/>
      <c r="Z405" s="16" t="s">
        <v>174</v>
      </c>
    </row>
    <row r="406">
      <c r="A406" s="28" t="s">
        <v>174</v>
      </c>
      <c r="B406" s="16"/>
      <c r="F406" s="45"/>
      <c r="H406" s="21"/>
      <c r="J406" s="21"/>
      <c r="M406" s="21"/>
      <c r="N406" s="21"/>
      <c r="O406" s="42"/>
      <c r="P406" s="30"/>
      <c r="R406" s="21"/>
      <c r="S406" s="31"/>
      <c r="U406" s="16"/>
      <c r="V406" s="16"/>
      <c r="W406" s="16"/>
      <c r="X406" s="16"/>
      <c r="Y406" s="30"/>
      <c r="Z406" s="16" t="s">
        <v>174</v>
      </c>
    </row>
    <row r="407">
      <c r="A407" s="28" t="s">
        <v>174</v>
      </c>
      <c r="B407" s="16"/>
      <c r="F407" s="45"/>
      <c r="H407" s="21"/>
      <c r="J407" s="21"/>
      <c r="M407" s="21"/>
      <c r="N407" s="21"/>
      <c r="O407" s="42"/>
      <c r="P407" s="30"/>
      <c r="R407" s="21"/>
      <c r="S407" s="31"/>
      <c r="U407" s="16"/>
      <c r="V407" s="16"/>
      <c r="W407" s="16"/>
      <c r="X407" s="16"/>
      <c r="Y407" s="30"/>
      <c r="Z407" s="16" t="s">
        <v>174</v>
      </c>
    </row>
    <row r="408">
      <c r="A408" s="28" t="s">
        <v>174</v>
      </c>
      <c r="B408" s="16"/>
      <c r="F408" s="45"/>
      <c r="H408" s="21"/>
      <c r="J408" s="21"/>
      <c r="M408" s="21"/>
      <c r="N408" s="21"/>
      <c r="O408" s="42"/>
      <c r="P408" s="30"/>
      <c r="R408" s="21"/>
      <c r="S408" s="31"/>
      <c r="U408" s="16"/>
      <c r="V408" s="16"/>
      <c r="W408" s="16"/>
      <c r="X408" s="16"/>
      <c r="Y408" s="30"/>
      <c r="Z408" s="16" t="s">
        <v>174</v>
      </c>
    </row>
    <row r="409">
      <c r="A409" s="28" t="s">
        <v>174</v>
      </c>
      <c r="B409" s="16"/>
      <c r="F409" s="45"/>
      <c r="H409" s="21"/>
      <c r="J409" s="21"/>
      <c r="M409" s="21"/>
      <c r="N409" s="21"/>
      <c r="O409" s="42"/>
      <c r="P409" s="30"/>
      <c r="R409" s="21"/>
      <c r="S409" s="31"/>
      <c r="U409" s="16"/>
      <c r="V409" s="16"/>
      <c r="W409" s="16"/>
      <c r="X409" s="16"/>
      <c r="Y409" s="30"/>
      <c r="Z409" s="16" t="s">
        <v>174</v>
      </c>
    </row>
    <row r="410">
      <c r="A410" s="28" t="s">
        <v>174</v>
      </c>
      <c r="B410" s="16"/>
      <c r="F410" s="45"/>
      <c r="H410" s="21"/>
      <c r="J410" s="21"/>
      <c r="M410" s="21"/>
      <c r="N410" s="21"/>
      <c r="O410" s="42"/>
      <c r="P410" s="30"/>
      <c r="R410" s="21"/>
      <c r="S410" s="31"/>
      <c r="U410" s="16"/>
      <c r="V410" s="16"/>
      <c r="W410" s="16"/>
      <c r="X410" s="16"/>
      <c r="Y410" s="30"/>
      <c r="Z410" s="16" t="s">
        <v>174</v>
      </c>
    </row>
    <row r="411">
      <c r="A411" s="28" t="s">
        <v>174</v>
      </c>
      <c r="B411" s="16"/>
      <c r="F411" s="45"/>
      <c r="H411" s="21"/>
      <c r="J411" s="21"/>
      <c r="M411" s="21"/>
      <c r="N411" s="21"/>
      <c r="O411" s="42"/>
      <c r="P411" s="30"/>
      <c r="R411" s="21"/>
      <c r="S411" s="31"/>
      <c r="U411" s="16"/>
      <c r="V411" s="16"/>
      <c r="W411" s="16"/>
      <c r="X411" s="16"/>
      <c r="Y411" s="30"/>
      <c r="Z411" s="16" t="s">
        <v>174</v>
      </c>
    </row>
    <row r="412">
      <c r="A412" s="28" t="s">
        <v>174</v>
      </c>
      <c r="B412" s="16"/>
      <c r="F412" s="45"/>
      <c r="H412" s="21"/>
      <c r="J412" s="21"/>
      <c r="M412" s="21"/>
      <c r="N412" s="21"/>
      <c r="O412" s="42"/>
      <c r="P412" s="30"/>
      <c r="R412" s="21"/>
      <c r="S412" s="31"/>
      <c r="U412" s="16"/>
      <c r="V412" s="16"/>
      <c r="W412" s="16"/>
      <c r="X412" s="16"/>
      <c r="Y412" s="30"/>
      <c r="Z412" s="16" t="s">
        <v>174</v>
      </c>
    </row>
    <row r="413">
      <c r="A413" s="28" t="s">
        <v>174</v>
      </c>
      <c r="B413" s="16"/>
      <c r="F413" s="45"/>
      <c r="H413" s="21"/>
      <c r="J413" s="21"/>
      <c r="M413" s="21"/>
      <c r="N413" s="21"/>
      <c r="O413" s="42"/>
      <c r="P413" s="30"/>
      <c r="R413" s="21"/>
      <c r="S413" s="31"/>
      <c r="U413" s="16"/>
      <c r="V413" s="16"/>
      <c r="W413" s="16"/>
      <c r="X413" s="16"/>
      <c r="Y413" s="30"/>
      <c r="Z413" s="16" t="s">
        <v>174</v>
      </c>
    </row>
    <row r="414">
      <c r="A414" s="28" t="s">
        <v>174</v>
      </c>
      <c r="B414" s="16"/>
      <c r="F414" s="45"/>
      <c r="H414" s="21"/>
      <c r="J414" s="21"/>
      <c r="M414" s="21"/>
      <c r="N414" s="21"/>
      <c r="O414" s="42"/>
      <c r="P414" s="30"/>
      <c r="R414" s="21"/>
      <c r="S414" s="31"/>
      <c r="U414" s="16"/>
      <c r="V414" s="16"/>
      <c r="W414" s="16"/>
      <c r="X414" s="16"/>
      <c r="Y414" s="30"/>
      <c r="Z414" s="16" t="s">
        <v>174</v>
      </c>
    </row>
    <row r="415">
      <c r="A415" s="28" t="s">
        <v>174</v>
      </c>
      <c r="B415" s="16"/>
      <c r="F415" s="45"/>
      <c r="H415" s="21"/>
      <c r="J415" s="21"/>
      <c r="M415" s="21"/>
      <c r="N415" s="21"/>
      <c r="O415" s="42"/>
      <c r="P415" s="30"/>
      <c r="R415" s="21"/>
      <c r="S415" s="31"/>
      <c r="U415" s="16"/>
      <c r="V415" s="16"/>
      <c r="W415" s="16"/>
      <c r="X415" s="16"/>
      <c r="Y415" s="30"/>
      <c r="Z415" s="16" t="s">
        <v>174</v>
      </c>
    </row>
    <row r="416">
      <c r="A416" s="28" t="s">
        <v>174</v>
      </c>
      <c r="B416" s="16"/>
      <c r="F416" s="45"/>
      <c r="H416" s="21"/>
      <c r="J416" s="21"/>
      <c r="M416" s="21"/>
      <c r="N416" s="21"/>
      <c r="O416" s="42"/>
      <c r="P416" s="30"/>
      <c r="R416" s="21"/>
      <c r="S416" s="31"/>
      <c r="U416" s="16"/>
      <c r="V416" s="16"/>
      <c r="W416" s="16"/>
      <c r="X416" s="16"/>
      <c r="Y416" s="30"/>
      <c r="Z416" s="16" t="s">
        <v>174</v>
      </c>
    </row>
    <row r="417">
      <c r="A417" s="28" t="s">
        <v>174</v>
      </c>
      <c r="B417" s="16"/>
      <c r="F417" s="45"/>
      <c r="H417" s="21"/>
      <c r="J417" s="21"/>
      <c r="M417" s="21"/>
      <c r="N417" s="21"/>
      <c r="O417" s="42"/>
      <c r="P417" s="30"/>
      <c r="R417" s="21"/>
      <c r="S417" s="31"/>
      <c r="U417" s="16"/>
      <c r="V417" s="16"/>
      <c r="W417" s="16"/>
      <c r="X417" s="16"/>
      <c r="Y417" s="30"/>
      <c r="Z417" s="16" t="s">
        <v>174</v>
      </c>
    </row>
    <row r="418">
      <c r="A418" s="28" t="s">
        <v>174</v>
      </c>
      <c r="B418" s="16"/>
      <c r="F418" s="45"/>
      <c r="H418" s="21"/>
      <c r="J418" s="21"/>
      <c r="M418" s="21"/>
      <c r="N418" s="21"/>
      <c r="O418" s="42"/>
      <c r="P418" s="30"/>
      <c r="R418" s="21"/>
      <c r="S418" s="31"/>
      <c r="U418" s="16"/>
      <c r="V418" s="16"/>
      <c r="W418" s="16"/>
      <c r="X418" s="16"/>
      <c r="Y418" s="30"/>
      <c r="Z418" s="16" t="s">
        <v>174</v>
      </c>
    </row>
    <row r="419">
      <c r="A419" s="28" t="s">
        <v>174</v>
      </c>
      <c r="B419" s="16"/>
      <c r="F419" s="45"/>
      <c r="H419" s="21"/>
      <c r="J419" s="21"/>
      <c r="M419" s="21"/>
      <c r="N419" s="21"/>
      <c r="O419" s="42"/>
      <c r="P419" s="30"/>
      <c r="R419" s="21"/>
      <c r="S419" s="31"/>
      <c r="U419" s="16"/>
      <c r="V419" s="16"/>
      <c r="W419" s="16"/>
      <c r="X419" s="16"/>
      <c r="Y419" s="30"/>
      <c r="Z419" s="16" t="s">
        <v>174</v>
      </c>
    </row>
    <row r="420">
      <c r="A420" s="28" t="s">
        <v>174</v>
      </c>
      <c r="B420" s="16"/>
      <c r="F420" s="45"/>
      <c r="H420" s="21"/>
      <c r="J420" s="21"/>
      <c r="M420" s="21"/>
      <c r="N420" s="21"/>
      <c r="O420" s="42"/>
      <c r="P420" s="30"/>
      <c r="R420" s="21"/>
      <c r="S420" s="31"/>
      <c r="U420" s="16"/>
      <c r="V420" s="16"/>
      <c r="W420" s="16"/>
      <c r="X420" s="16"/>
      <c r="Y420" s="30"/>
      <c r="Z420" s="16" t="s">
        <v>174</v>
      </c>
    </row>
    <row r="421">
      <c r="A421" s="28" t="s">
        <v>174</v>
      </c>
      <c r="B421" s="16"/>
      <c r="F421" s="45"/>
      <c r="H421" s="21"/>
      <c r="J421" s="21"/>
      <c r="M421" s="21"/>
      <c r="N421" s="21"/>
      <c r="O421" s="42"/>
      <c r="P421" s="30"/>
      <c r="R421" s="21"/>
      <c r="S421" s="31"/>
      <c r="U421" s="16"/>
      <c r="V421" s="16"/>
      <c r="W421" s="16"/>
      <c r="X421" s="16"/>
      <c r="Y421" s="30"/>
      <c r="Z421" s="16" t="s">
        <v>174</v>
      </c>
    </row>
    <row r="422">
      <c r="A422" s="28" t="s">
        <v>174</v>
      </c>
      <c r="B422" s="16"/>
      <c r="F422" s="45"/>
      <c r="H422" s="21"/>
      <c r="J422" s="21"/>
      <c r="M422" s="21"/>
      <c r="N422" s="21"/>
      <c r="O422" s="42"/>
      <c r="P422" s="30"/>
      <c r="R422" s="21"/>
      <c r="S422" s="31"/>
      <c r="U422" s="16"/>
      <c r="V422" s="16"/>
      <c r="W422" s="16"/>
      <c r="X422" s="16"/>
      <c r="Y422" s="30"/>
      <c r="Z422" s="16" t="s">
        <v>174</v>
      </c>
    </row>
    <row r="423">
      <c r="A423" s="28" t="s">
        <v>174</v>
      </c>
      <c r="B423" s="16"/>
      <c r="F423" s="45"/>
      <c r="H423" s="21"/>
      <c r="J423" s="21"/>
      <c r="M423" s="21"/>
      <c r="N423" s="21"/>
      <c r="O423" s="42"/>
      <c r="P423" s="30"/>
      <c r="R423" s="21"/>
      <c r="S423" s="31"/>
      <c r="U423" s="16"/>
      <c r="V423" s="16"/>
      <c r="W423" s="16"/>
      <c r="X423" s="16"/>
      <c r="Y423" s="30"/>
      <c r="Z423" s="16" t="s">
        <v>174</v>
      </c>
    </row>
    <row r="424">
      <c r="A424" s="28" t="s">
        <v>174</v>
      </c>
      <c r="B424" s="16"/>
      <c r="F424" s="45"/>
      <c r="H424" s="21"/>
      <c r="J424" s="21"/>
      <c r="M424" s="21"/>
      <c r="N424" s="21"/>
      <c r="O424" s="42"/>
      <c r="P424" s="30"/>
      <c r="R424" s="21"/>
      <c r="S424" s="31"/>
      <c r="U424" s="16"/>
      <c r="V424" s="16"/>
      <c r="W424" s="16"/>
      <c r="X424" s="16"/>
      <c r="Y424" s="30"/>
      <c r="Z424" s="16" t="s">
        <v>174</v>
      </c>
    </row>
    <row r="425">
      <c r="A425" s="28" t="s">
        <v>174</v>
      </c>
      <c r="B425" s="16"/>
      <c r="F425" s="45"/>
      <c r="H425" s="21"/>
      <c r="J425" s="21"/>
      <c r="M425" s="21"/>
      <c r="N425" s="21"/>
      <c r="O425" s="42"/>
      <c r="P425" s="30"/>
      <c r="R425" s="21"/>
      <c r="S425" s="31"/>
      <c r="U425" s="16"/>
      <c r="V425" s="16"/>
      <c r="W425" s="16"/>
      <c r="X425" s="16"/>
      <c r="Y425" s="30"/>
      <c r="Z425" s="16" t="s">
        <v>174</v>
      </c>
    </row>
    <row r="426">
      <c r="A426" s="28" t="s">
        <v>174</v>
      </c>
      <c r="B426" s="16"/>
      <c r="F426" s="45"/>
      <c r="H426" s="21"/>
      <c r="J426" s="21"/>
      <c r="M426" s="21"/>
      <c r="N426" s="21"/>
      <c r="O426" s="42"/>
      <c r="P426" s="30"/>
      <c r="R426" s="21"/>
      <c r="S426" s="31"/>
      <c r="U426" s="16"/>
      <c r="V426" s="16"/>
      <c r="W426" s="16"/>
      <c r="X426" s="16"/>
      <c r="Y426" s="30"/>
      <c r="Z426" s="16" t="s">
        <v>174</v>
      </c>
    </row>
    <row r="427">
      <c r="A427" s="28" t="s">
        <v>174</v>
      </c>
      <c r="B427" s="16"/>
      <c r="F427" s="45"/>
      <c r="H427" s="21"/>
      <c r="J427" s="21"/>
      <c r="M427" s="21"/>
      <c r="N427" s="21"/>
      <c r="O427" s="42"/>
      <c r="P427" s="30"/>
      <c r="R427" s="21"/>
      <c r="S427" s="31"/>
      <c r="U427" s="16"/>
      <c r="V427" s="16"/>
      <c r="W427" s="16"/>
      <c r="X427" s="16"/>
      <c r="Y427" s="30"/>
      <c r="Z427" s="16" t="s">
        <v>174</v>
      </c>
    </row>
    <row r="428">
      <c r="A428" s="28" t="s">
        <v>174</v>
      </c>
      <c r="B428" s="16"/>
      <c r="F428" s="45"/>
      <c r="H428" s="21"/>
      <c r="J428" s="21"/>
      <c r="M428" s="21"/>
      <c r="N428" s="21"/>
      <c r="O428" s="42"/>
      <c r="P428" s="30"/>
      <c r="R428" s="21"/>
      <c r="S428" s="31"/>
      <c r="U428" s="16"/>
      <c r="V428" s="16"/>
      <c r="W428" s="16"/>
      <c r="X428" s="16"/>
      <c r="Y428" s="30"/>
      <c r="Z428" s="16" t="s">
        <v>174</v>
      </c>
    </row>
    <row r="429">
      <c r="A429" s="28" t="s">
        <v>174</v>
      </c>
      <c r="B429" s="16"/>
      <c r="F429" s="45"/>
      <c r="H429" s="21"/>
      <c r="J429" s="21"/>
      <c r="M429" s="21"/>
      <c r="N429" s="21"/>
      <c r="O429" s="42"/>
      <c r="P429" s="30"/>
      <c r="R429" s="21"/>
      <c r="S429" s="31"/>
      <c r="U429" s="16"/>
      <c r="V429" s="16"/>
      <c r="W429" s="16"/>
      <c r="X429" s="16"/>
      <c r="Y429" s="30"/>
      <c r="Z429" s="16" t="s">
        <v>174</v>
      </c>
    </row>
    <row r="430">
      <c r="A430" s="28" t="s">
        <v>174</v>
      </c>
      <c r="B430" s="16"/>
      <c r="F430" s="45"/>
      <c r="H430" s="21"/>
      <c r="J430" s="21"/>
      <c r="M430" s="21"/>
      <c r="N430" s="21"/>
      <c r="O430" s="42"/>
      <c r="P430" s="30"/>
      <c r="R430" s="21"/>
      <c r="S430" s="31"/>
      <c r="U430" s="16"/>
      <c r="V430" s="16"/>
      <c r="W430" s="16"/>
      <c r="X430" s="16"/>
      <c r="Y430" s="30"/>
      <c r="Z430" s="16" t="s">
        <v>174</v>
      </c>
    </row>
    <row r="431">
      <c r="A431" s="28" t="s">
        <v>174</v>
      </c>
      <c r="B431" s="16"/>
      <c r="F431" s="45"/>
      <c r="H431" s="21"/>
      <c r="J431" s="21"/>
      <c r="M431" s="21"/>
      <c r="N431" s="21"/>
      <c r="O431" s="42"/>
      <c r="P431" s="30"/>
      <c r="R431" s="21"/>
      <c r="S431" s="31"/>
      <c r="U431" s="16"/>
      <c r="V431" s="16"/>
      <c r="W431" s="16"/>
      <c r="X431" s="16"/>
      <c r="Y431" s="30"/>
      <c r="Z431" s="16" t="s">
        <v>174</v>
      </c>
    </row>
    <row r="432">
      <c r="A432" s="28" t="s">
        <v>174</v>
      </c>
      <c r="B432" s="16"/>
      <c r="F432" s="45"/>
      <c r="H432" s="21"/>
      <c r="J432" s="21"/>
      <c r="M432" s="21"/>
      <c r="N432" s="21"/>
      <c r="O432" s="42"/>
      <c r="P432" s="30"/>
      <c r="R432" s="21"/>
      <c r="S432" s="31"/>
      <c r="U432" s="16"/>
      <c r="V432" s="16"/>
      <c r="W432" s="16"/>
      <c r="X432" s="16"/>
      <c r="Y432" s="30"/>
      <c r="Z432" s="16" t="s">
        <v>174</v>
      </c>
    </row>
    <row r="433">
      <c r="A433" s="28" t="s">
        <v>174</v>
      </c>
      <c r="B433" s="16"/>
      <c r="F433" s="45"/>
      <c r="H433" s="21"/>
      <c r="J433" s="21"/>
      <c r="M433" s="21"/>
      <c r="N433" s="21"/>
      <c r="O433" s="42"/>
      <c r="P433" s="30"/>
      <c r="R433" s="21"/>
      <c r="S433" s="31"/>
      <c r="U433" s="16"/>
      <c r="V433" s="16"/>
      <c r="W433" s="16"/>
      <c r="X433" s="16"/>
      <c r="Y433" s="30"/>
      <c r="Z433" s="16" t="s">
        <v>174</v>
      </c>
    </row>
    <row r="434">
      <c r="A434" s="28" t="s">
        <v>174</v>
      </c>
      <c r="B434" s="16"/>
      <c r="F434" s="45"/>
      <c r="H434" s="21"/>
      <c r="J434" s="21"/>
      <c r="M434" s="21"/>
      <c r="N434" s="21"/>
      <c r="O434" s="42"/>
      <c r="P434" s="30"/>
      <c r="R434" s="21"/>
      <c r="S434" s="31"/>
      <c r="U434" s="16"/>
      <c r="V434" s="16"/>
      <c r="W434" s="16"/>
      <c r="X434" s="16"/>
      <c r="Y434" s="30"/>
      <c r="Z434" s="16" t="s">
        <v>174</v>
      </c>
    </row>
    <row r="435">
      <c r="A435" s="28" t="s">
        <v>174</v>
      </c>
      <c r="B435" s="16"/>
      <c r="F435" s="45"/>
      <c r="H435" s="21"/>
      <c r="J435" s="21"/>
      <c r="M435" s="21"/>
      <c r="N435" s="21"/>
      <c r="O435" s="42"/>
      <c r="P435" s="30"/>
      <c r="R435" s="21"/>
      <c r="S435" s="31"/>
      <c r="U435" s="16"/>
      <c r="V435" s="16"/>
      <c r="W435" s="16"/>
      <c r="X435" s="16"/>
      <c r="Y435" s="30"/>
      <c r="Z435" s="16" t="s">
        <v>174</v>
      </c>
    </row>
    <row r="436">
      <c r="A436" s="28" t="s">
        <v>174</v>
      </c>
      <c r="B436" s="16"/>
      <c r="F436" s="45"/>
      <c r="H436" s="21"/>
      <c r="J436" s="21"/>
      <c r="M436" s="21"/>
      <c r="N436" s="21"/>
      <c r="O436" s="42"/>
      <c r="P436" s="30"/>
      <c r="R436" s="21"/>
      <c r="S436" s="31"/>
      <c r="U436" s="16"/>
      <c r="V436" s="16"/>
      <c r="W436" s="16"/>
      <c r="X436" s="16"/>
      <c r="Y436" s="30"/>
      <c r="Z436" s="16" t="s">
        <v>174</v>
      </c>
    </row>
    <row r="437">
      <c r="A437" s="28" t="s">
        <v>174</v>
      </c>
      <c r="B437" s="16"/>
      <c r="F437" s="45"/>
      <c r="H437" s="21"/>
      <c r="J437" s="21"/>
      <c r="M437" s="21"/>
      <c r="N437" s="21"/>
      <c r="O437" s="42"/>
      <c r="P437" s="30"/>
      <c r="R437" s="21"/>
      <c r="S437" s="31"/>
      <c r="U437" s="16"/>
      <c r="V437" s="16"/>
      <c r="W437" s="16"/>
      <c r="X437" s="16"/>
      <c r="Y437" s="30"/>
      <c r="Z437" s="16" t="s">
        <v>174</v>
      </c>
    </row>
    <row r="438">
      <c r="A438" s="28" t="s">
        <v>174</v>
      </c>
      <c r="B438" s="16"/>
      <c r="F438" s="45"/>
      <c r="H438" s="21"/>
      <c r="J438" s="21"/>
      <c r="M438" s="21"/>
      <c r="N438" s="21"/>
      <c r="O438" s="42"/>
      <c r="P438" s="30"/>
      <c r="R438" s="21"/>
      <c r="S438" s="31"/>
      <c r="U438" s="16"/>
      <c r="V438" s="16"/>
      <c r="W438" s="16"/>
      <c r="X438" s="16"/>
      <c r="Y438" s="30"/>
      <c r="Z438" s="16" t="s">
        <v>174</v>
      </c>
    </row>
    <row r="439">
      <c r="A439" s="28" t="s">
        <v>174</v>
      </c>
      <c r="B439" s="16"/>
      <c r="F439" s="45"/>
      <c r="H439" s="21"/>
      <c r="J439" s="21"/>
      <c r="M439" s="21"/>
      <c r="N439" s="21"/>
      <c r="O439" s="42"/>
      <c r="P439" s="30"/>
      <c r="R439" s="21"/>
      <c r="S439" s="31"/>
      <c r="U439" s="16"/>
      <c r="V439" s="16"/>
      <c r="W439" s="16"/>
      <c r="X439" s="16"/>
      <c r="Y439" s="30"/>
      <c r="Z439" s="16" t="s">
        <v>174</v>
      </c>
    </row>
    <row r="440">
      <c r="A440" s="28" t="s">
        <v>174</v>
      </c>
      <c r="B440" s="16"/>
      <c r="F440" s="45"/>
      <c r="H440" s="21"/>
      <c r="J440" s="21"/>
      <c r="M440" s="21"/>
      <c r="N440" s="21"/>
      <c r="O440" s="42"/>
      <c r="P440" s="30"/>
      <c r="R440" s="21"/>
      <c r="S440" s="31"/>
      <c r="U440" s="16"/>
      <c r="V440" s="16"/>
      <c r="W440" s="16"/>
      <c r="X440" s="16"/>
      <c r="Y440" s="30"/>
      <c r="Z440" s="16" t="s">
        <v>174</v>
      </c>
    </row>
    <row r="441">
      <c r="A441" s="28" t="s">
        <v>174</v>
      </c>
      <c r="B441" s="16"/>
      <c r="F441" s="45"/>
      <c r="H441" s="21"/>
      <c r="J441" s="21"/>
      <c r="M441" s="21"/>
      <c r="N441" s="21"/>
      <c r="O441" s="42"/>
      <c r="P441" s="30"/>
      <c r="R441" s="21"/>
      <c r="S441" s="31"/>
      <c r="U441" s="16"/>
      <c r="V441" s="16"/>
      <c r="W441" s="16"/>
      <c r="X441" s="16"/>
      <c r="Y441" s="30"/>
      <c r="Z441" s="16" t="s">
        <v>174</v>
      </c>
    </row>
    <row r="442">
      <c r="A442" s="28" t="s">
        <v>174</v>
      </c>
      <c r="B442" s="16"/>
      <c r="F442" s="45"/>
      <c r="H442" s="21"/>
      <c r="J442" s="21"/>
      <c r="M442" s="21"/>
      <c r="N442" s="21"/>
      <c r="O442" s="42"/>
      <c r="P442" s="30"/>
      <c r="R442" s="21"/>
      <c r="S442" s="31"/>
      <c r="U442" s="16"/>
      <c r="V442" s="16"/>
      <c r="W442" s="16"/>
      <c r="X442" s="16"/>
      <c r="Y442" s="30"/>
      <c r="Z442" s="16" t="s">
        <v>174</v>
      </c>
    </row>
    <row r="443">
      <c r="A443" s="28" t="s">
        <v>174</v>
      </c>
      <c r="B443" s="16"/>
      <c r="F443" s="45"/>
      <c r="H443" s="21"/>
      <c r="J443" s="21"/>
      <c r="M443" s="21"/>
      <c r="N443" s="21"/>
      <c r="O443" s="42"/>
      <c r="P443" s="30"/>
      <c r="R443" s="21"/>
      <c r="S443" s="31"/>
      <c r="U443" s="16"/>
      <c r="V443" s="16"/>
      <c r="W443" s="16"/>
      <c r="X443" s="16"/>
      <c r="Y443" s="30"/>
      <c r="Z443" s="16" t="s">
        <v>174</v>
      </c>
    </row>
    <row r="444">
      <c r="A444" s="28" t="s">
        <v>174</v>
      </c>
      <c r="B444" s="16"/>
      <c r="F444" s="45"/>
      <c r="H444" s="21"/>
      <c r="J444" s="21"/>
      <c r="M444" s="21"/>
      <c r="N444" s="21"/>
      <c r="O444" s="42"/>
      <c r="P444" s="30"/>
      <c r="R444" s="21"/>
      <c r="S444" s="31"/>
      <c r="U444" s="16"/>
      <c r="V444" s="16"/>
      <c r="W444" s="16"/>
      <c r="X444" s="16"/>
      <c r="Y444" s="30"/>
      <c r="Z444" s="16" t="s">
        <v>174</v>
      </c>
    </row>
    <row r="445">
      <c r="A445" s="28" t="s">
        <v>174</v>
      </c>
      <c r="B445" s="16"/>
      <c r="F445" s="45"/>
      <c r="H445" s="21"/>
      <c r="J445" s="21"/>
      <c r="M445" s="21"/>
      <c r="N445" s="21"/>
      <c r="O445" s="42"/>
      <c r="P445" s="30"/>
      <c r="R445" s="21"/>
      <c r="S445" s="31"/>
      <c r="U445" s="16"/>
      <c r="V445" s="16"/>
      <c r="W445" s="16"/>
      <c r="X445" s="16"/>
      <c r="Y445" s="30"/>
      <c r="Z445" s="16" t="s">
        <v>174</v>
      </c>
    </row>
    <row r="446">
      <c r="A446" s="28" t="s">
        <v>174</v>
      </c>
      <c r="B446" s="16"/>
      <c r="F446" s="45"/>
      <c r="H446" s="21"/>
      <c r="J446" s="21"/>
      <c r="M446" s="21"/>
      <c r="N446" s="21"/>
      <c r="O446" s="42"/>
      <c r="P446" s="30"/>
      <c r="R446" s="21"/>
      <c r="S446" s="31"/>
      <c r="U446" s="16"/>
      <c r="V446" s="16"/>
      <c r="W446" s="16"/>
      <c r="X446" s="16"/>
      <c r="Y446" s="30"/>
      <c r="Z446" s="16" t="s">
        <v>174</v>
      </c>
    </row>
    <row r="447">
      <c r="A447" s="28" t="s">
        <v>174</v>
      </c>
      <c r="B447" s="16"/>
      <c r="F447" s="45"/>
      <c r="H447" s="21"/>
      <c r="J447" s="21"/>
      <c r="M447" s="21"/>
      <c r="N447" s="21"/>
      <c r="O447" s="42"/>
      <c r="P447" s="30"/>
      <c r="R447" s="21"/>
      <c r="S447" s="31"/>
      <c r="U447" s="16"/>
      <c r="V447" s="16"/>
      <c r="W447" s="16"/>
      <c r="X447" s="16"/>
      <c r="Y447" s="30"/>
      <c r="Z447" s="16" t="s">
        <v>174</v>
      </c>
    </row>
    <row r="448">
      <c r="A448" s="28" t="s">
        <v>174</v>
      </c>
      <c r="B448" s="16"/>
      <c r="F448" s="45"/>
      <c r="H448" s="21"/>
      <c r="J448" s="21"/>
      <c r="M448" s="21"/>
      <c r="N448" s="21"/>
      <c r="O448" s="42"/>
      <c r="P448" s="30"/>
      <c r="R448" s="21"/>
      <c r="S448" s="31"/>
      <c r="U448" s="16"/>
      <c r="V448" s="16"/>
      <c r="W448" s="16"/>
      <c r="X448" s="16"/>
      <c r="Y448" s="30"/>
      <c r="Z448" s="16" t="s">
        <v>174</v>
      </c>
    </row>
    <row r="449">
      <c r="A449" s="28" t="s">
        <v>174</v>
      </c>
      <c r="B449" s="16"/>
      <c r="F449" s="45"/>
      <c r="H449" s="21"/>
      <c r="J449" s="21"/>
      <c r="M449" s="21"/>
      <c r="N449" s="21"/>
      <c r="O449" s="42"/>
      <c r="P449" s="30"/>
      <c r="R449" s="21"/>
      <c r="S449" s="31"/>
      <c r="U449" s="16"/>
      <c r="V449" s="16"/>
      <c r="W449" s="16"/>
      <c r="X449" s="16"/>
      <c r="Y449" s="30"/>
      <c r="Z449" s="16" t="s">
        <v>174</v>
      </c>
    </row>
    <row r="450">
      <c r="A450" s="28" t="s">
        <v>174</v>
      </c>
      <c r="B450" s="16"/>
      <c r="F450" s="45"/>
      <c r="H450" s="21"/>
      <c r="J450" s="21"/>
      <c r="M450" s="21"/>
      <c r="N450" s="21"/>
      <c r="O450" s="42"/>
      <c r="P450" s="30"/>
      <c r="R450" s="21"/>
      <c r="S450" s="31"/>
      <c r="U450" s="16"/>
      <c r="V450" s="16"/>
      <c r="W450" s="16"/>
      <c r="X450" s="16"/>
      <c r="Y450" s="30"/>
      <c r="Z450" s="16" t="s">
        <v>174</v>
      </c>
    </row>
    <row r="451">
      <c r="A451" s="28" t="s">
        <v>174</v>
      </c>
      <c r="B451" s="16"/>
      <c r="F451" s="45"/>
      <c r="H451" s="21"/>
      <c r="J451" s="21"/>
      <c r="M451" s="21"/>
      <c r="N451" s="21"/>
      <c r="O451" s="42"/>
      <c r="P451" s="30"/>
      <c r="R451" s="21"/>
      <c r="S451" s="31"/>
      <c r="U451" s="16"/>
      <c r="V451" s="16"/>
      <c r="W451" s="16"/>
      <c r="X451" s="16"/>
      <c r="Y451" s="30"/>
      <c r="Z451" s="16" t="s">
        <v>174</v>
      </c>
    </row>
    <row r="452">
      <c r="A452" s="28" t="s">
        <v>174</v>
      </c>
      <c r="B452" s="16"/>
      <c r="F452" s="45"/>
      <c r="H452" s="21"/>
      <c r="J452" s="21"/>
      <c r="M452" s="21"/>
      <c r="N452" s="21"/>
      <c r="O452" s="42"/>
      <c r="P452" s="30"/>
      <c r="R452" s="21"/>
      <c r="S452" s="31"/>
      <c r="U452" s="16"/>
      <c r="V452" s="16"/>
      <c r="W452" s="16"/>
      <c r="X452" s="16"/>
      <c r="Y452" s="30"/>
      <c r="Z452" s="16" t="s">
        <v>174</v>
      </c>
    </row>
    <row r="453">
      <c r="A453" s="28" t="s">
        <v>174</v>
      </c>
      <c r="B453" s="16"/>
      <c r="F453" s="45"/>
      <c r="H453" s="21"/>
      <c r="J453" s="21"/>
      <c r="M453" s="21"/>
      <c r="N453" s="21"/>
      <c r="O453" s="42"/>
      <c r="P453" s="30"/>
      <c r="R453" s="21"/>
      <c r="S453" s="31"/>
      <c r="U453" s="16"/>
      <c r="V453" s="16"/>
      <c r="W453" s="16"/>
      <c r="X453" s="16"/>
      <c r="Y453" s="30"/>
      <c r="Z453" s="16" t="s">
        <v>174</v>
      </c>
    </row>
    <row r="454">
      <c r="A454" s="28" t="s">
        <v>174</v>
      </c>
      <c r="B454" s="16"/>
      <c r="F454" s="45"/>
      <c r="H454" s="21"/>
      <c r="J454" s="21"/>
      <c r="M454" s="21"/>
      <c r="N454" s="21"/>
      <c r="O454" s="42"/>
      <c r="P454" s="30"/>
      <c r="R454" s="21"/>
      <c r="S454" s="31"/>
      <c r="U454" s="16"/>
      <c r="V454" s="16"/>
      <c r="W454" s="16"/>
      <c r="X454" s="16"/>
      <c r="Y454" s="30"/>
      <c r="Z454" s="16" t="s">
        <v>174</v>
      </c>
    </row>
    <row r="455">
      <c r="A455" s="28" t="s">
        <v>174</v>
      </c>
      <c r="B455" s="16"/>
      <c r="F455" s="45"/>
      <c r="H455" s="21"/>
      <c r="J455" s="21"/>
      <c r="M455" s="21"/>
      <c r="N455" s="21"/>
      <c r="O455" s="42"/>
      <c r="P455" s="30"/>
      <c r="R455" s="21"/>
      <c r="S455" s="31"/>
      <c r="U455" s="16"/>
      <c r="V455" s="16"/>
      <c r="W455" s="16"/>
      <c r="X455" s="16"/>
      <c r="Y455" s="30"/>
      <c r="Z455" s="16" t="s">
        <v>174</v>
      </c>
    </row>
    <row r="456">
      <c r="A456" s="28" t="s">
        <v>174</v>
      </c>
      <c r="B456" s="16"/>
      <c r="F456" s="45"/>
      <c r="H456" s="21"/>
      <c r="J456" s="21"/>
      <c r="M456" s="21"/>
      <c r="N456" s="21"/>
      <c r="O456" s="42"/>
      <c r="P456" s="30"/>
      <c r="R456" s="21"/>
      <c r="S456" s="31"/>
      <c r="U456" s="16"/>
      <c r="V456" s="16"/>
      <c r="W456" s="16"/>
      <c r="X456" s="16"/>
      <c r="Y456" s="30"/>
      <c r="Z456" s="16" t="s">
        <v>174</v>
      </c>
    </row>
    <row r="457">
      <c r="A457" s="28" t="s">
        <v>174</v>
      </c>
      <c r="B457" s="16"/>
      <c r="F457" s="45"/>
      <c r="H457" s="21"/>
      <c r="J457" s="21"/>
      <c r="M457" s="21"/>
      <c r="N457" s="21"/>
      <c r="O457" s="42"/>
      <c r="P457" s="30"/>
      <c r="R457" s="21"/>
      <c r="S457" s="31"/>
      <c r="U457" s="16"/>
      <c r="V457" s="16"/>
      <c r="W457" s="16"/>
      <c r="X457" s="16"/>
      <c r="Y457" s="30"/>
      <c r="Z457" s="16" t="s">
        <v>174</v>
      </c>
    </row>
    <row r="458">
      <c r="A458" s="28" t="s">
        <v>174</v>
      </c>
      <c r="B458" s="16"/>
      <c r="F458" s="45"/>
      <c r="H458" s="21"/>
      <c r="J458" s="21"/>
      <c r="M458" s="21"/>
      <c r="N458" s="21"/>
      <c r="O458" s="42"/>
      <c r="P458" s="30"/>
      <c r="R458" s="21"/>
      <c r="S458" s="31"/>
      <c r="U458" s="16"/>
      <c r="V458" s="16"/>
      <c r="W458" s="16"/>
      <c r="X458" s="16"/>
      <c r="Y458" s="30"/>
      <c r="Z458" s="16" t="s">
        <v>174</v>
      </c>
    </row>
    <row r="459">
      <c r="A459" s="28" t="s">
        <v>174</v>
      </c>
      <c r="B459" s="16"/>
      <c r="F459" s="45"/>
      <c r="H459" s="21"/>
      <c r="J459" s="21"/>
      <c r="M459" s="21"/>
      <c r="N459" s="21"/>
      <c r="O459" s="42"/>
      <c r="P459" s="30"/>
      <c r="R459" s="21"/>
      <c r="S459" s="31"/>
      <c r="U459" s="16"/>
      <c r="V459" s="16"/>
      <c r="W459" s="16"/>
      <c r="X459" s="16"/>
      <c r="Y459" s="30"/>
      <c r="Z459" s="16" t="s">
        <v>174</v>
      </c>
    </row>
    <row r="460">
      <c r="A460" s="28" t="s">
        <v>174</v>
      </c>
      <c r="B460" s="16"/>
      <c r="F460" s="45"/>
      <c r="H460" s="21"/>
      <c r="J460" s="21"/>
      <c r="M460" s="21"/>
      <c r="N460" s="21"/>
      <c r="O460" s="42"/>
      <c r="P460" s="30"/>
      <c r="R460" s="21"/>
      <c r="S460" s="31"/>
      <c r="U460" s="16"/>
      <c r="V460" s="16"/>
      <c r="W460" s="16"/>
      <c r="X460" s="16"/>
      <c r="Y460" s="30"/>
      <c r="Z460" s="16" t="s">
        <v>174</v>
      </c>
    </row>
    <row r="461">
      <c r="A461" s="28" t="s">
        <v>174</v>
      </c>
      <c r="B461" s="16"/>
      <c r="F461" s="45"/>
      <c r="H461" s="21"/>
      <c r="J461" s="21"/>
      <c r="M461" s="21"/>
      <c r="N461" s="21"/>
      <c r="O461" s="42"/>
      <c r="P461" s="30"/>
      <c r="R461" s="21"/>
      <c r="S461" s="31"/>
      <c r="U461" s="16"/>
      <c r="V461" s="16"/>
      <c r="W461" s="16"/>
      <c r="X461" s="16"/>
      <c r="Y461" s="30"/>
      <c r="Z461" s="16" t="s">
        <v>174</v>
      </c>
    </row>
    <row r="462">
      <c r="A462" s="28" t="s">
        <v>174</v>
      </c>
      <c r="B462" s="16"/>
      <c r="F462" s="45"/>
      <c r="H462" s="21"/>
      <c r="J462" s="21"/>
      <c r="M462" s="21"/>
      <c r="N462" s="21"/>
      <c r="O462" s="42"/>
      <c r="P462" s="30"/>
      <c r="R462" s="21"/>
      <c r="S462" s="31"/>
      <c r="U462" s="16"/>
      <c r="V462" s="16"/>
      <c r="W462" s="16"/>
      <c r="X462" s="16"/>
      <c r="Y462" s="30"/>
      <c r="Z462" s="16" t="s">
        <v>174</v>
      </c>
    </row>
    <row r="463">
      <c r="A463" s="28" t="s">
        <v>174</v>
      </c>
      <c r="B463" s="16"/>
      <c r="F463" s="45"/>
      <c r="H463" s="21"/>
      <c r="J463" s="21"/>
      <c r="M463" s="21"/>
      <c r="N463" s="21"/>
      <c r="O463" s="42"/>
      <c r="P463" s="30"/>
      <c r="R463" s="21"/>
      <c r="S463" s="31"/>
      <c r="U463" s="16"/>
      <c r="V463" s="16"/>
      <c r="W463" s="16"/>
      <c r="X463" s="16"/>
      <c r="Y463" s="30"/>
      <c r="Z463" s="16" t="s">
        <v>174</v>
      </c>
    </row>
    <row r="464">
      <c r="A464" s="28" t="s">
        <v>174</v>
      </c>
      <c r="B464" s="16"/>
      <c r="F464" s="45"/>
      <c r="H464" s="21"/>
      <c r="J464" s="21"/>
      <c r="M464" s="21"/>
      <c r="N464" s="21"/>
      <c r="O464" s="42"/>
      <c r="P464" s="30"/>
      <c r="R464" s="21"/>
      <c r="S464" s="31"/>
      <c r="U464" s="16"/>
      <c r="V464" s="16"/>
      <c r="W464" s="16"/>
      <c r="X464" s="16"/>
      <c r="Y464" s="30"/>
      <c r="Z464" s="16" t="s">
        <v>174</v>
      </c>
    </row>
    <row r="465">
      <c r="A465" s="28" t="s">
        <v>174</v>
      </c>
      <c r="B465" s="16"/>
      <c r="F465" s="45"/>
      <c r="H465" s="21"/>
      <c r="J465" s="21"/>
      <c r="M465" s="21"/>
      <c r="N465" s="21"/>
      <c r="O465" s="42"/>
      <c r="P465" s="30"/>
      <c r="R465" s="21"/>
      <c r="S465" s="31"/>
      <c r="U465" s="16"/>
      <c r="V465" s="16"/>
      <c r="W465" s="16"/>
      <c r="X465" s="16"/>
      <c r="Y465" s="30"/>
      <c r="Z465" s="16" t="s">
        <v>174</v>
      </c>
    </row>
    <row r="466">
      <c r="A466" s="28" t="s">
        <v>174</v>
      </c>
      <c r="B466" s="16"/>
      <c r="F466" s="45"/>
      <c r="H466" s="21"/>
      <c r="J466" s="21"/>
      <c r="M466" s="21"/>
      <c r="N466" s="21"/>
      <c r="O466" s="42"/>
      <c r="P466" s="30"/>
      <c r="R466" s="21"/>
      <c r="S466" s="31"/>
      <c r="U466" s="16"/>
      <c r="V466" s="16"/>
      <c r="W466" s="16"/>
      <c r="X466" s="16"/>
      <c r="Y466" s="30"/>
      <c r="Z466" s="16" t="s">
        <v>174</v>
      </c>
    </row>
    <row r="467">
      <c r="A467" s="28" t="s">
        <v>174</v>
      </c>
      <c r="B467" s="16"/>
      <c r="F467" s="45"/>
      <c r="H467" s="21"/>
      <c r="J467" s="21"/>
      <c r="M467" s="21"/>
      <c r="N467" s="21"/>
      <c r="O467" s="42"/>
      <c r="P467" s="30"/>
      <c r="R467" s="21"/>
      <c r="S467" s="31"/>
      <c r="U467" s="16"/>
      <c r="V467" s="16"/>
      <c r="W467" s="16"/>
      <c r="X467" s="16"/>
      <c r="Y467" s="30"/>
      <c r="Z467" s="16" t="s">
        <v>174</v>
      </c>
    </row>
    <row r="468">
      <c r="A468" s="28" t="s">
        <v>174</v>
      </c>
      <c r="B468" s="16"/>
      <c r="F468" s="45"/>
      <c r="H468" s="21"/>
      <c r="J468" s="21"/>
      <c r="M468" s="21"/>
      <c r="N468" s="21"/>
      <c r="O468" s="42"/>
      <c r="P468" s="30"/>
      <c r="R468" s="21"/>
      <c r="S468" s="31"/>
      <c r="U468" s="16"/>
      <c r="V468" s="16"/>
      <c r="W468" s="16"/>
      <c r="X468" s="16"/>
      <c r="Y468" s="30"/>
      <c r="Z468" s="16" t="s">
        <v>174</v>
      </c>
    </row>
    <row r="469">
      <c r="A469" s="28" t="s">
        <v>174</v>
      </c>
      <c r="B469" s="16"/>
      <c r="F469" s="45"/>
      <c r="H469" s="21"/>
      <c r="J469" s="21"/>
      <c r="M469" s="21"/>
      <c r="N469" s="21"/>
      <c r="O469" s="42"/>
      <c r="P469" s="30"/>
      <c r="R469" s="21"/>
      <c r="S469" s="31"/>
      <c r="U469" s="16"/>
      <c r="V469" s="16"/>
      <c r="W469" s="16"/>
      <c r="X469" s="16"/>
      <c r="Y469" s="30"/>
      <c r="Z469" s="16" t="s">
        <v>174</v>
      </c>
    </row>
    <row r="470">
      <c r="A470" s="28" t="s">
        <v>174</v>
      </c>
      <c r="B470" s="16"/>
      <c r="F470" s="45"/>
      <c r="H470" s="21"/>
      <c r="J470" s="21"/>
      <c r="M470" s="21"/>
      <c r="N470" s="21"/>
      <c r="O470" s="42"/>
      <c r="P470" s="30"/>
      <c r="R470" s="21"/>
      <c r="S470" s="31"/>
      <c r="U470" s="16"/>
      <c r="V470" s="16"/>
      <c r="W470" s="16"/>
      <c r="X470" s="16"/>
      <c r="Y470" s="30"/>
      <c r="Z470" s="16" t="s">
        <v>174</v>
      </c>
    </row>
    <row r="471">
      <c r="A471" s="28" t="s">
        <v>174</v>
      </c>
      <c r="B471" s="16"/>
      <c r="F471" s="45"/>
      <c r="H471" s="21"/>
      <c r="J471" s="21"/>
      <c r="M471" s="21"/>
      <c r="N471" s="21"/>
      <c r="O471" s="42"/>
      <c r="P471" s="30"/>
      <c r="R471" s="21"/>
      <c r="S471" s="31"/>
      <c r="U471" s="16"/>
      <c r="V471" s="16"/>
      <c r="W471" s="16"/>
      <c r="X471" s="16"/>
      <c r="Y471" s="30"/>
      <c r="Z471" s="16" t="s">
        <v>174</v>
      </c>
    </row>
    <row r="472">
      <c r="A472" s="28" t="s">
        <v>174</v>
      </c>
      <c r="B472" s="16"/>
      <c r="F472" s="45"/>
      <c r="H472" s="21"/>
      <c r="J472" s="21"/>
      <c r="M472" s="21"/>
      <c r="N472" s="21"/>
      <c r="O472" s="42"/>
      <c r="P472" s="30"/>
      <c r="R472" s="21"/>
      <c r="S472" s="31"/>
      <c r="U472" s="16"/>
      <c r="V472" s="16"/>
      <c r="W472" s="16"/>
      <c r="X472" s="16"/>
      <c r="Y472" s="30"/>
      <c r="Z472" s="16" t="s">
        <v>174</v>
      </c>
    </row>
    <row r="473">
      <c r="A473" s="28" t="s">
        <v>174</v>
      </c>
      <c r="B473" s="16"/>
      <c r="F473" s="45"/>
      <c r="H473" s="21"/>
      <c r="J473" s="21"/>
      <c r="M473" s="21"/>
      <c r="N473" s="21"/>
      <c r="O473" s="42"/>
      <c r="P473" s="30"/>
      <c r="R473" s="21"/>
      <c r="S473" s="31"/>
      <c r="U473" s="16"/>
      <c r="V473" s="16"/>
      <c r="W473" s="16"/>
      <c r="X473" s="16"/>
      <c r="Y473" s="30"/>
      <c r="Z473" s="16" t="s">
        <v>174</v>
      </c>
    </row>
    <row r="474">
      <c r="A474" s="28" t="s">
        <v>174</v>
      </c>
      <c r="B474" s="16"/>
      <c r="F474" s="45"/>
      <c r="H474" s="21"/>
      <c r="J474" s="21"/>
      <c r="M474" s="21"/>
      <c r="N474" s="21"/>
      <c r="O474" s="42"/>
      <c r="P474" s="30"/>
      <c r="R474" s="21"/>
      <c r="S474" s="31"/>
      <c r="U474" s="16"/>
      <c r="V474" s="16"/>
      <c r="W474" s="16"/>
      <c r="X474" s="16"/>
      <c r="Y474" s="30"/>
      <c r="Z474" s="16" t="s">
        <v>174</v>
      </c>
    </row>
    <row r="475">
      <c r="A475" s="28" t="s">
        <v>174</v>
      </c>
      <c r="B475" s="16"/>
      <c r="F475" s="45"/>
      <c r="H475" s="21"/>
      <c r="J475" s="21"/>
      <c r="M475" s="21"/>
      <c r="N475" s="21"/>
      <c r="O475" s="42"/>
      <c r="P475" s="30"/>
      <c r="R475" s="21"/>
      <c r="S475" s="31"/>
      <c r="U475" s="16"/>
      <c r="V475" s="16"/>
      <c r="W475" s="16"/>
      <c r="X475" s="16"/>
      <c r="Y475" s="30"/>
      <c r="Z475" s="16" t="s">
        <v>174</v>
      </c>
    </row>
    <row r="476">
      <c r="A476" s="28" t="s">
        <v>174</v>
      </c>
      <c r="B476" s="16"/>
      <c r="F476" s="45"/>
      <c r="H476" s="21"/>
      <c r="J476" s="21"/>
      <c r="M476" s="21"/>
      <c r="N476" s="21"/>
      <c r="O476" s="42"/>
      <c r="P476" s="30"/>
      <c r="R476" s="21"/>
      <c r="S476" s="31"/>
      <c r="U476" s="16"/>
      <c r="V476" s="16"/>
      <c r="W476" s="16"/>
      <c r="X476" s="16"/>
      <c r="Y476" s="30"/>
      <c r="Z476" s="16" t="s">
        <v>174</v>
      </c>
    </row>
    <row r="477">
      <c r="A477" s="28" t="s">
        <v>174</v>
      </c>
      <c r="B477" s="16"/>
      <c r="F477" s="45"/>
      <c r="H477" s="21"/>
      <c r="J477" s="21"/>
      <c r="M477" s="21"/>
      <c r="N477" s="21"/>
      <c r="O477" s="42"/>
      <c r="P477" s="30"/>
      <c r="R477" s="21"/>
      <c r="S477" s="31"/>
      <c r="U477" s="16"/>
      <c r="V477" s="16"/>
      <c r="W477" s="16"/>
      <c r="X477" s="16"/>
      <c r="Y477" s="30"/>
      <c r="Z477" s="16" t="s">
        <v>174</v>
      </c>
    </row>
    <row r="478">
      <c r="A478" s="28" t="s">
        <v>174</v>
      </c>
      <c r="B478" s="16"/>
      <c r="F478" s="45"/>
      <c r="H478" s="21"/>
      <c r="J478" s="21"/>
      <c r="M478" s="21"/>
      <c r="N478" s="21"/>
      <c r="O478" s="42"/>
      <c r="P478" s="30"/>
      <c r="R478" s="21"/>
      <c r="S478" s="31"/>
      <c r="U478" s="16"/>
      <c r="V478" s="16"/>
      <c r="W478" s="16"/>
      <c r="X478" s="16"/>
      <c r="Y478" s="30"/>
      <c r="Z478" s="16" t="s">
        <v>174</v>
      </c>
    </row>
    <row r="479">
      <c r="A479" s="28" t="s">
        <v>174</v>
      </c>
      <c r="B479" s="16"/>
      <c r="F479" s="45"/>
      <c r="H479" s="21"/>
      <c r="J479" s="21"/>
      <c r="M479" s="21"/>
      <c r="N479" s="21"/>
      <c r="O479" s="42"/>
      <c r="P479" s="30"/>
      <c r="R479" s="21"/>
      <c r="S479" s="31"/>
      <c r="U479" s="16"/>
      <c r="V479" s="16"/>
      <c r="W479" s="16"/>
      <c r="X479" s="16"/>
      <c r="Y479" s="30"/>
      <c r="Z479" s="16" t="s">
        <v>174</v>
      </c>
    </row>
    <row r="480">
      <c r="A480" s="28" t="s">
        <v>174</v>
      </c>
      <c r="B480" s="16"/>
      <c r="F480" s="45"/>
      <c r="H480" s="21"/>
      <c r="J480" s="21"/>
      <c r="M480" s="21"/>
      <c r="N480" s="21"/>
      <c r="O480" s="42"/>
      <c r="P480" s="30"/>
      <c r="R480" s="21"/>
      <c r="S480" s="31"/>
      <c r="U480" s="16"/>
      <c r="V480" s="16"/>
      <c r="W480" s="16"/>
      <c r="X480" s="16"/>
      <c r="Y480" s="30"/>
      <c r="Z480" s="16" t="s">
        <v>174</v>
      </c>
    </row>
    <row r="481">
      <c r="A481" s="28" t="s">
        <v>174</v>
      </c>
      <c r="B481" s="16"/>
      <c r="F481" s="45"/>
      <c r="H481" s="21"/>
      <c r="J481" s="21"/>
      <c r="M481" s="21"/>
      <c r="N481" s="21"/>
      <c r="O481" s="42"/>
      <c r="P481" s="30"/>
      <c r="R481" s="21"/>
      <c r="S481" s="31"/>
      <c r="U481" s="16"/>
      <c r="V481" s="16"/>
      <c r="W481" s="16"/>
      <c r="X481" s="16"/>
      <c r="Y481" s="30"/>
      <c r="Z481" s="16" t="s">
        <v>174</v>
      </c>
    </row>
    <row r="482">
      <c r="A482" s="28" t="s">
        <v>174</v>
      </c>
      <c r="B482" s="16"/>
      <c r="F482" s="45"/>
      <c r="H482" s="21"/>
      <c r="J482" s="21"/>
      <c r="M482" s="21"/>
      <c r="N482" s="21"/>
      <c r="O482" s="42"/>
      <c r="P482" s="30"/>
      <c r="R482" s="21"/>
      <c r="S482" s="31"/>
      <c r="U482" s="16"/>
      <c r="V482" s="16"/>
      <c r="W482" s="16"/>
      <c r="X482" s="16"/>
      <c r="Y482" s="30"/>
      <c r="Z482" s="16" t="s">
        <v>174</v>
      </c>
    </row>
    <row r="483">
      <c r="A483" s="28" t="s">
        <v>174</v>
      </c>
      <c r="B483" s="16"/>
      <c r="F483" s="45"/>
      <c r="H483" s="21"/>
      <c r="J483" s="21"/>
      <c r="M483" s="21"/>
      <c r="N483" s="21"/>
      <c r="O483" s="42"/>
      <c r="P483" s="30"/>
      <c r="R483" s="21"/>
      <c r="S483" s="31"/>
      <c r="U483" s="16"/>
      <c r="V483" s="16"/>
      <c r="W483" s="16"/>
      <c r="X483" s="16"/>
      <c r="Y483" s="30"/>
      <c r="Z483" s="16" t="s">
        <v>174</v>
      </c>
    </row>
    <row r="484">
      <c r="A484" s="28" t="s">
        <v>174</v>
      </c>
      <c r="B484" s="16"/>
      <c r="F484" s="45"/>
      <c r="H484" s="21"/>
      <c r="J484" s="21"/>
      <c r="M484" s="21"/>
      <c r="N484" s="21"/>
      <c r="O484" s="42"/>
      <c r="P484" s="30"/>
      <c r="R484" s="21"/>
      <c r="S484" s="31"/>
      <c r="U484" s="16"/>
      <c r="V484" s="16"/>
      <c r="W484" s="16"/>
      <c r="X484" s="16"/>
      <c r="Y484" s="30"/>
      <c r="Z484" s="16" t="s">
        <v>174</v>
      </c>
    </row>
    <row r="485">
      <c r="A485" s="28" t="s">
        <v>174</v>
      </c>
      <c r="B485" s="16"/>
      <c r="F485" s="45"/>
      <c r="H485" s="21"/>
      <c r="J485" s="21"/>
      <c r="M485" s="21"/>
      <c r="N485" s="21"/>
      <c r="O485" s="42"/>
      <c r="P485" s="30"/>
      <c r="R485" s="21"/>
      <c r="S485" s="31"/>
      <c r="U485" s="16"/>
      <c r="V485" s="16"/>
      <c r="W485" s="16"/>
      <c r="X485" s="16"/>
      <c r="Y485" s="30"/>
      <c r="Z485" s="16" t="s">
        <v>174</v>
      </c>
    </row>
    <row r="486">
      <c r="A486" s="28" t="s">
        <v>174</v>
      </c>
      <c r="B486" s="16"/>
      <c r="F486" s="45"/>
      <c r="H486" s="21"/>
      <c r="J486" s="21"/>
      <c r="M486" s="21"/>
      <c r="N486" s="21"/>
      <c r="O486" s="42"/>
      <c r="P486" s="30"/>
      <c r="R486" s="21"/>
      <c r="S486" s="31"/>
      <c r="U486" s="16"/>
      <c r="V486" s="16"/>
      <c r="W486" s="16"/>
      <c r="X486" s="16"/>
      <c r="Y486" s="30"/>
      <c r="Z486" s="16" t="s">
        <v>174</v>
      </c>
    </row>
    <row r="487">
      <c r="A487" s="28" t="s">
        <v>174</v>
      </c>
      <c r="B487" s="16"/>
      <c r="F487" s="45"/>
      <c r="H487" s="21"/>
      <c r="J487" s="21"/>
      <c r="M487" s="21"/>
      <c r="N487" s="21"/>
      <c r="O487" s="42"/>
      <c r="P487" s="30"/>
      <c r="R487" s="21"/>
      <c r="S487" s="31"/>
      <c r="U487" s="16"/>
      <c r="V487" s="16"/>
      <c r="W487" s="16"/>
      <c r="X487" s="16"/>
      <c r="Y487" s="30"/>
      <c r="Z487" s="16" t="s">
        <v>174</v>
      </c>
    </row>
    <row r="488">
      <c r="A488" s="28" t="s">
        <v>174</v>
      </c>
      <c r="B488" s="16"/>
      <c r="F488" s="45"/>
      <c r="H488" s="21"/>
      <c r="J488" s="21"/>
      <c r="M488" s="21"/>
      <c r="N488" s="21"/>
      <c r="O488" s="42"/>
      <c r="P488" s="30"/>
      <c r="R488" s="21"/>
      <c r="S488" s="31"/>
      <c r="U488" s="16"/>
      <c r="V488" s="16"/>
      <c r="W488" s="16"/>
      <c r="X488" s="16"/>
      <c r="Y488" s="30"/>
      <c r="Z488" s="16" t="s">
        <v>174</v>
      </c>
    </row>
    <row r="489">
      <c r="A489" s="28" t="s">
        <v>174</v>
      </c>
      <c r="B489" s="16"/>
      <c r="F489" s="45"/>
      <c r="H489" s="21"/>
      <c r="J489" s="21"/>
      <c r="M489" s="21"/>
      <c r="N489" s="21"/>
      <c r="O489" s="42"/>
      <c r="P489" s="30"/>
      <c r="R489" s="21"/>
      <c r="S489" s="31"/>
      <c r="U489" s="16"/>
      <c r="V489" s="16"/>
      <c r="W489" s="16"/>
      <c r="X489" s="16"/>
      <c r="Y489" s="30"/>
      <c r="Z489" s="16" t="s">
        <v>174</v>
      </c>
    </row>
    <row r="490">
      <c r="A490" s="28" t="s">
        <v>174</v>
      </c>
      <c r="B490" s="16"/>
      <c r="F490" s="45"/>
      <c r="H490" s="21"/>
      <c r="J490" s="21"/>
      <c r="M490" s="21"/>
      <c r="N490" s="21"/>
      <c r="O490" s="42"/>
      <c r="P490" s="30"/>
      <c r="R490" s="21"/>
      <c r="S490" s="31"/>
      <c r="U490" s="16"/>
      <c r="V490" s="16"/>
      <c r="W490" s="16"/>
      <c r="X490" s="16"/>
      <c r="Y490" s="30"/>
      <c r="Z490" s="16" t="s">
        <v>174</v>
      </c>
    </row>
    <row r="491">
      <c r="A491" s="28" t="s">
        <v>174</v>
      </c>
      <c r="B491" s="16"/>
      <c r="F491" s="45"/>
      <c r="H491" s="21"/>
      <c r="J491" s="21"/>
      <c r="M491" s="21"/>
      <c r="N491" s="21"/>
      <c r="O491" s="42"/>
      <c r="P491" s="30"/>
      <c r="R491" s="21"/>
      <c r="S491" s="31"/>
      <c r="U491" s="16"/>
      <c r="V491" s="16"/>
      <c r="W491" s="16"/>
      <c r="X491" s="16"/>
      <c r="Y491" s="30"/>
      <c r="Z491" s="16" t="s">
        <v>174</v>
      </c>
    </row>
    <row r="492">
      <c r="A492" s="28" t="s">
        <v>174</v>
      </c>
      <c r="B492" s="16"/>
      <c r="F492" s="45"/>
      <c r="H492" s="21"/>
      <c r="J492" s="21"/>
      <c r="M492" s="21"/>
      <c r="N492" s="21"/>
      <c r="O492" s="42"/>
      <c r="P492" s="30"/>
      <c r="R492" s="21"/>
      <c r="S492" s="31"/>
      <c r="U492" s="16"/>
      <c r="V492" s="16"/>
      <c r="W492" s="16"/>
      <c r="X492" s="16"/>
      <c r="Y492" s="30"/>
      <c r="Z492" s="16" t="s">
        <v>174</v>
      </c>
    </row>
    <row r="493">
      <c r="A493" s="28" t="s">
        <v>174</v>
      </c>
      <c r="B493" s="16"/>
      <c r="F493" s="45"/>
      <c r="H493" s="21"/>
      <c r="J493" s="21"/>
      <c r="M493" s="21"/>
      <c r="N493" s="21"/>
      <c r="O493" s="42"/>
      <c r="P493" s="30"/>
      <c r="R493" s="21"/>
      <c r="S493" s="31"/>
      <c r="U493" s="16"/>
      <c r="V493" s="16"/>
      <c r="W493" s="16"/>
      <c r="X493" s="16"/>
      <c r="Y493" s="30"/>
      <c r="Z493" s="16" t="s">
        <v>174</v>
      </c>
    </row>
    <row r="494">
      <c r="A494" s="28" t="s">
        <v>174</v>
      </c>
      <c r="B494" s="16"/>
      <c r="F494" s="45"/>
      <c r="H494" s="21"/>
      <c r="J494" s="21"/>
      <c r="M494" s="21"/>
      <c r="N494" s="21"/>
      <c r="O494" s="42"/>
      <c r="P494" s="30"/>
      <c r="R494" s="21"/>
      <c r="S494" s="31"/>
      <c r="U494" s="16"/>
      <c r="V494" s="16"/>
      <c r="W494" s="16"/>
      <c r="X494" s="16"/>
      <c r="Y494" s="30"/>
      <c r="Z494" s="16" t="s">
        <v>174</v>
      </c>
    </row>
    <row r="495">
      <c r="A495" s="28" t="s">
        <v>174</v>
      </c>
      <c r="B495" s="16"/>
      <c r="F495" s="45"/>
      <c r="H495" s="21"/>
      <c r="J495" s="21"/>
      <c r="M495" s="21"/>
      <c r="N495" s="21"/>
      <c r="O495" s="42"/>
      <c r="P495" s="30"/>
      <c r="R495" s="21"/>
      <c r="S495" s="31"/>
      <c r="U495" s="16"/>
      <c r="V495" s="16"/>
      <c r="W495" s="16"/>
      <c r="X495" s="16"/>
      <c r="Y495" s="30"/>
      <c r="Z495" s="16" t="s">
        <v>174</v>
      </c>
    </row>
    <row r="496">
      <c r="A496" s="28" t="s">
        <v>174</v>
      </c>
      <c r="B496" s="16"/>
      <c r="F496" s="45"/>
      <c r="H496" s="21"/>
      <c r="J496" s="21"/>
      <c r="M496" s="21"/>
      <c r="N496" s="21"/>
      <c r="O496" s="42"/>
      <c r="P496" s="30"/>
      <c r="R496" s="21"/>
      <c r="S496" s="31"/>
      <c r="U496" s="16"/>
      <c r="V496" s="16"/>
      <c r="W496" s="16"/>
      <c r="X496" s="16"/>
      <c r="Y496" s="30"/>
      <c r="Z496" s="16" t="s">
        <v>174</v>
      </c>
    </row>
    <row r="497">
      <c r="A497" s="28" t="s">
        <v>174</v>
      </c>
      <c r="B497" s="16"/>
      <c r="F497" s="45"/>
      <c r="H497" s="21"/>
      <c r="J497" s="21"/>
      <c r="M497" s="21"/>
      <c r="N497" s="21"/>
      <c r="O497" s="42"/>
      <c r="P497" s="30"/>
      <c r="R497" s="21"/>
      <c r="S497" s="31"/>
      <c r="U497" s="16"/>
      <c r="V497" s="16"/>
      <c r="W497" s="16"/>
      <c r="X497" s="16"/>
      <c r="Y497" s="30"/>
      <c r="Z497" s="16" t="s">
        <v>174</v>
      </c>
    </row>
    <row r="498">
      <c r="A498" s="28" t="s">
        <v>174</v>
      </c>
      <c r="B498" s="16"/>
      <c r="F498" s="45"/>
      <c r="H498" s="21"/>
      <c r="J498" s="21"/>
      <c r="M498" s="21"/>
      <c r="N498" s="21"/>
      <c r="O498" s="42"/>
      <c r="P498" s="30"/>
      <c r="R498" s="21"/>
      <c r="S498" s="31"/>
      <c r="U498" s="16"/>
      <c r="V498" s="16"/>
      <c r="W498" s="16"/>
      <c r="X498" s="16"/>
      <c r="Y498" s="30"/>
      <c r="Z498" s="16" t="s">
        <v>174</v>
      </c>
    </row>
    <row r="499">
      <c r="A499" s="28" t="s">
        <v>174</v>
      </c>
      <c r="B499" s="16"/>
      <c r="F499" s="45"/>
      <c r="H499" s="21"/>
      <c r="J499" s="21"/>
      <c r="M499" s="21"/>
      <c r="N499" s="21"/>
      <c r="O499" s="42"/>
      <c r="P499" s="30"/>
      <c r="R499" s="21"/>
      <c r="S499" s="31"/>
      <c r="U499" s="16"/>
      <c r="V499" s="16"/>
      <c r="W499" s="16"/>
      <c r="X499" s="16"/>
      <c r="Y499" s="30"/>
      <c r="Z499" s="16" t="s">
        <v>174</v>
      </c>
    </row>
    <row r="500">
      <c r="A500" s="28" t="s">
        <v>174</v>
      </c>
      <c r="B500" s="16"/>
      <c r="F500" s="45"/>
      <c r="H500" s="21"/>
      <c r="J500" s="21"/>
      <c r="M500" s="21"/>
      <c r="N500" s="21"/>
      <c r="O500" s="42"/>
      <c r="P500" s="30"/>
      <c r="R500" s="21"/>
      <c r="S500" s="31"/>
      <c r="U500" s="16"/>
      <c r="V500" s="16"/>
      <c r="W500" s="16"/>
      <c r="X500" s="16"/>
      <c r="Y500" s="30"/>
      <c r="Z500" s="16" t="s">
        <v>174</v>
      </c>
    </row>
    <row r="501">
      <c r="A501" s="28" t="s">
        <v>174</v>
      </c>
      <c r="B501" s="16"/>
      <c r="F501" s="45"/>
      <c r="H501" s="21"/>
      <c r="J501" s="21"/>
      <c r="M501" s="21"/>
      <c r="N501" s="21"/>
      <c r="O501" s="42"/>
      <c r="P501" s="30"/>
      <c r="R501" s="21"/>
      <c r="S501" s="31"/>
      <c r="U501" s="16"/>
      <c r="V501" s="16"/>
      <c r="W501" s="16"/>
      <c r="X501" s="16"/>
      <c r="Y501" s="30"/>
      <c r="Z501" s="16" t="s">
        <v>174</v>
      </c>
    </row>
    <row r="502">
      <c r="A502" s="28" t="s">
        <v>174</v>
      </c>
      <c r="B502" s="16"/>
      <c r="F502" s="45"/>
      <c r="H502" s="21"/>
      <c r="J502" s="21"/>
      <c r="M502" s="21"/>
      <c r="N502" s="21"/>
      <c r="O502" s="42"/>
      <c r="P502" s="30"/>
      <c r="R502" s="21"/>
      <c r="S502" s="31"/>
      <c r="U502" s="16"/>
      <c r="V502" s="16"/>
      <c r="W502" s="16"/>
      <c r="X502" s="16"/>
      <c r="Y502" s="30"/>
      <c r="Z502" s="16" t="s">
        <v>174</v>
      </c>
    </row>
    <row r="503">
      <c r="A503" s="28" t="s">
        <v>174</v>
      </c>
      <c r="B503" s="16"/>
      <c r="F503" s="45"/>
      <c r="H503" s="21"/>
      <c r="J503" s="21"/>
      <c r="M503" s="21"/>
      <c r="N503" s="21"/>
      <c r="O503" s="42"/>
      <c r="P503" s="30"/>
      <c r="R503" s="21"/>
      <c r="S503" s="31"/>
      <c r="U503" s="16"/>
      <c r="V503" s="16"/>
      <c r="W503" s="16"/>
      <c r="X503" s="16"/>
      <c r="Y503" s="30"/>
      <c r="Z503" s="16" t="s">
        <v>174</v>
      </c>
    </row>
    <row r="504">
      <c r="A504" s="28" t="s">
        <v>174</v>
      </c>
      <c r="B504" s="16"/>
      <c r="F504" s="45"/>
      <c r="H504" s="21"/>
      <c r="J504" s="21"/>
      <c r="M504" s="21"/>
      <c r="N504" s="21"/>
      <c r="O504" s="42"/>
      <c r="P504" s="30"/>
      <c r="R504" s="21"/>
      <c r="S504" s="31"/>
      <c r="U504" s="16"/>
      <c r="V504" s="16"/>
      <c r="W504" s="16"/>
      <c r="X504" s="16"/>
      <c r="Y504" s="30"/>
      <c r="Z504" s="16" t="s">
        <v>174</v>
      </c>
    </row>
    <row r="505">
      <c r="A505" s="28" t="s">
        <v>174</v>
      </c>
      <c r="B505" s="16"/>
      <c r="F505" s="45"/>
      <c r="H505" s="21"/>
      <c r="J505" s="21"/>
      <c r="M505" s="21"/>
      <c r="N505" s="21"/>
      <c r="O505" s="42"/>
      <c r="P505" s="30"/>
      <c r="R505" s="21"/>
      <c r="S505" s="31"/>
      <c r="U505" s="16"/>
      <c r="V505" s="16"/>
      <c r="W505" s="16"/>
      <c r="X505" s="16"/>
      <c r="Y505" s="30"/>
      <c r="Z505" s="16" t="s">
        <v>174</v>
      </c>
    </row>
    <row r="506">
      <c r="A506" s="28" t="s">
        <v>174</v>
      </c>
      <c r="B506" s="16"/>
      <c r="F506" s="45"/>
      <c r="H506" s="21"/>
      <c r="J506" s="21"/>
      <c r="M506" s="21"/>
      <c r="N506" s="21"/>
      <c r="O506" s="42"/>
      <c r="P506" s="30"/>
      <c r="R506" s="21"/>
      <c r="S506" s="31"/>
      <c r="U506" s="16"/>
      <c r="V506" s="16"/>
      <c r="W506" s="16"/>
      <c r="X506" s="16"/>
      <c r="Y506" s="30"/>
      <c r="Z506" s="16" t="s">
        <v>174</v>
      </c>
    </row>
    <row r="507">
      <c r="A507" s="28" t="s">
        <v>174</v>
      </c>
      <c r="B507" s="16"/>
      <c r="F507" s="45"/>
      <c r="H507" s="21"/>
      <c r="J507" s="21"/>
      <c r="M507" s="21"/>
      <c r="N507" s="21"/>
      <c r="O507" s="42"/>
      <c r="P507" s="30"/>
      <c r="R507" s="21"/>
      <c r="S507" s="31"/>
      <c r="U507" s="16"/>
      <c r="V507" s="16"/>
      <c r="W507" s="16"/>
      <c r="X507" s="16"/>
      <c r="Y507" s="30"/>
      <c r="Z507" s="16" t="s">
        <v>174</v>
      </c>
    </row>
    <row r="508">
      <c r="A508" s="28" t="s">
        <v>174</v>
      </c>
      <c r="B508" s="16"/>
      <c r="F508" s="45"/>
      <c r="H508" s="21"/>
      <c r="J508" s="21"/>
      <c r="M508" s="21"/>
      <c r="N508" s="21"/>
      <c r="O508" s="42"/>
      <c r="P508" s="30"/>
      <c r="R508" s="21"/>
      <c r="S508" s="31"/>
      <c r="U508" s="16"/>
      <c r="V508" s="16"/>
      <c r="W508" s="16"/>
      <c r="X508" s="16"/>
      <c r="Y508" s="30"/>
      <c r="Z508" s="16" t="s">
        <v>174</v>
      </c>
    </row>
    <row r="509">
      <c r="A509" s="28" t="s">
        <v>174</v>
      </c>
      <c r="B509" s="16"/>
      <c r="F509" s="45"/>
      <c r="H509" s="21"/>
      <c r="J509" s="21"/>
      <c r="M509" s="21"/>
      <c r="N509" s="21"/>
      <c r="O509" s="42"/>
      <c r="P509" s="30"/>
      <c r="R509" s="21"/>
      <c r="S509" s="31"/>
      <c r="U509" s="16"/>
      <c r="V509" s="16"/>
      <c r="W509" s="16"/>
      <c r="X509" s="16"/>
      <c r="Y509" s="30"/>
      <c r="Z509" s="16" t="s">
        <v>174</v>
      </c>
    </row>
    <row r="510">
      <c r="A510" s="28" t="s">
        <v>174</v>
      </c>
      <c r="B510" s="16"/>
      <c r="F510" s="45"/>
      <c r="H510" s="21"/>
      <c r="J510" s="21"/>
      <c r="M510" s="21"/>
      <c r="N510" s="21"/>
      <c r="O510" s="42"/>
      <c r="P510" s="30"/>
      <c r="R510" s="21"/>
      <c r="S510" s="31"/>
      <c r="U510" s="16"/>
      <c r="V510" s="16"/>
      <c r="W510" s="16"/>
      <c r="X510" s="16"/>
      <c r="Y510" s="30"/>
      <c r="Z510" s="16" t="s">
        <v>174</v>
      </c>
    </row>
    <row r="511">
      <c r="A511" s="28" t="s">
        <v>174</v>
      </c>
      <c r="B511" s="16"/>
      <c r="F511" s="45"/>
      <c r="H511" s="21"/>
      <c r="J511" s="21"/>
      <c r="M511" s="21"/>
      <c r="N511" s="21"/>
      <c r="O511" s="42"/>
      <c r="P511" s="30"/>
      <c r="R511" s="21"/>
      <c r="S511" s="31"/>
      <c r="U511" s="16"/>
      <c r="V511" s="16"/>
      <c r="W511" s="16"/>
      <c r="X511" s="16"/>
      <c r="Y511" s="30"/>
      <c r="Z511" s="16" t="s">
        <v>174</v>
      </c>
    </row>
    <row r="512">
      <c r="A512" s="28" t="s">
        <v>174</v>
      </c>
      <c r="B512" s="16"/>
      <c r="F512" s="45"/>
      <c r="H512" s="21"/>
      <c r="J512" s="21"/>
      <c r="M512" s="21"/>
      <c r="N512" s="21"/>
      <c r="O512" s="42"/>
      <c r="P512" s="30"/>
      <c r="R512" s="21"/>
      <c r="S512" s="31"/>
      <c r="U512" s="16"/>
      <c r="V512" s="16"/>
      <c r="W512" s="16"/>
      <c r="X512" s="16"/>
      <c r="Y512" s="30"/>
      <c r="Z512" s="16" t="s">
        <v>174</v>
      </c>
    </row>
    <row r="513">
      <c r="A513" s="28" t="s">
        <v>174</v>
      </c>
      <c r="B513" s="16"/>
      <c r="F513" s="45"/>
      <c r="H513" s="21"/>
      <c r="J513" s="21"/>
      <c r="M513" s="21"/>
      <c r="N513" s="21"/>
      <c r="O513" s="42"/>
      <c r="P513" s="30"/>
      <c r="R513" s="21"/>
      <c r="S513" s="31"/>
      <c r="U513" s="16"/>
      <c r="V513" s="16"/>
      <c r="W513" s="16"/>
      <c r="X513" s="16"/>
      <c r="Y513" s="30"/>
      <c r="Z513" s="16" t="s">
        <v>174</v>
      </c>
    </row>
    <row r="514">
      <c r="A514" s="28" t="s">
        <v>174</v>
      </c>
      <c r="B514" s="16"/>
      <c r="F514" s="45"/>
      <c r="H514" s="21"/>
      <c r="J514" s="21"/>
      <c r="M514" s="21"/>
      <c r="N514" s="21"/>
      <c r="O514" s="42"/>
      <c r="P514" s="30"/>
      <c r="R514" s="21"/>
      <c r="S514" s="31"/>
      <c r="U514" s="16"/>
      <c r="V514" s="16"/>
      <c r="W514" s="16"/>
      <c r="X514" s="16"/>
      <c r="Y514" s="30"/>
      <c r="Z514" s="16" t="s">
        <v>174</v>
      </c>
    </row>
    <row r="515">
      <c r="A515" s="28" t="s">
        <v>174</v>
      </c>
      <c r="B515" s="16"/>
      <c r="F515" s="45"/>
      <c r="H515" s="21"/>
      <c r="J515" s="21"/>
      <c r="M515" s="21"/>
      <c r="N515" s="21"/>
      <c r="O515" s="42"/>
      <c r="P515" s="30"/>
      <c r="R515" s="21"/>
      <c r="S515" s="31"/>
      <c r="U515" s="16"/>
      <c r="V515" s="16"/>
      <c r="W515" s="16"/>
      <c r="X515" s="16"/>
      <c r="Y515" s="30"/>
      <c r="Z515" s="16" t="s">
        <v>174</v>
      </c>
    </row>
    <row r="516">
      <c r="A516" s="28" t="s">
        <v>174</v>
      </c>
      <c r="B516" s="16"/>
      <c r="F516" s="45"/>
      <c r="H516" s="21"/>
      <c r="J516" s="21"/>
      <c r="M516" s="21"/>
      <c r="N516" s="21"/>
      <c r="O516" s="42"/>
      <c r="P516" s="30"/>
      <c r="R516" s="21"/>
      <c r="S516" s="31"/>
      <c r="U516" s="16"/>
      <c r="V516" s="16"/>
      <c r="W516" s="16"/>
      <c r="X516" s="16"/>
      <c r="Y516" s="30"/>
      <c r="Z516" s="16" t="s">
        <v>174</v>
      </c>
    </row>
    <row r="517">
      <c r="A517" s="28" t="s">
        <v>174</v>
      </c>
      <c r="B517" s="16"/>
      <c r="F517" s="45"/>
      <c r="H517" s="21"/>
      <c r="J517" s="21"/>
      <c r="M517" s="21"/>
      <c r="N517" s="21"/>
      <c r="O517" s="42"/>
      <c r="P517" s="30"/>
      <c r="R517" s="21"/>
      <c r="S517" s="31"/>
      <c r="U517" s="16"/>
      <c r="V517" s="16"/>
      <c r="W517" s="16"/>
      <c r="X517" s="16"/>
      <c r="Y517" s="30"/>
      <c r="Z517" s="16" t="s">
        <v>174</v>
      </c>
    </row>
    <row r="518">
      <c r="A518" s="28" t="s">
        <v>174</v>
      </c>
      <c r="B518" s="16"/>
      <c r="F518" s="45"/>
      <c r="H518" s="21"/>
      <c r="J518" s="21"/>
      <c r="M518" s="21"/>
      <c r="N518" s="21"/>
      <c r="O518" s="42"/>
      <c r="P518" s="30"/>
      <c r="R518" s="21"/>
      <c r="S518" s="31"/>
      <c r="U518" s="16"/>
      <c r="V518" s="16"/>
      <c r="W518" s="16"/>
      <c r="X518" s="16"/>
      <c r="Y518" s="30"/>
      <c r="Z518" s="16" t="s">
        <v>174</v>
      </c>
    </row>
    <row r="519">
      <c r="A519" s="28" t="s">
        <v>174</v>
      </c>
      <c r="B519" s="16"/>
      <c r="F519" s="45"/>
      <c r="H519" s="21"/>
      <c r="J519" s="21"/>
      <c r="M519" s="21"/>
      <c r="N519" s="21"/>
      <c r="O519" s="42"/>
      <c r="P519" s="30"/>
      <c r="R519" s="21"/>
      <c r="S519" s="31"/>
      <c r="U519" s="16"/>
      <c r="V519" s="16"/>
      <c r="W519" s="16"/>
      <c r="X519" s="16"/>
      <c r="Y519" s="30"/>
      <c r="Z519" s="16" t="s">
        <v>174</v>
      </c>
    </row>
    <row r="520">
      <c r="A520" s="28" t="s">
        <v>174</v>
      </c>
      <c r="B520" s="16"/>
      <c r="F520" s="45"/>
      <c r="H520" s="21"/>
      <c r="J520" s="21"/>
      <c r="M520" s="21"/>
      <c r="N520" s="21"/>
      <c r="O520" s="42"/>
      <c r="P520" s="30"/>
      <c r="R520" s="21"/>
      <c r="S520" s="31"/>
      <c r="U520" s="16"/>
      <c r="V520" s="16"/>
      <c r="W520" s="16"/>
      <c r="X520" s="16"/>
      <c r="Y520" s="30"/>
      <c r="Z520" s="16" t="s">
        <v>174</v>
      </c>
    </row>
    <row r="521">
      <c r="A521" s="28" t="s">
        <v>174</v>
      </c>
      <c r="B521" s="16"/>
      <c r="F521" s="45"/>
      <c r="H521" s="21"/>
      <c r="J521" s="21"/>
      <c r="M521" s="21"/>
      <c r="N521" s="21"/>
      <c r="O521" s="42"/>
      <c r="P521" s="30"/>
      <c r="R521" s="21"/>
      <c r="S521" s="31"/>
      <c r="U521" s="16"/>
      <c r="V521" s="16"/>
      <c r="W521" s="16"/>
      <c r="X521" s="16"/>
      <c r="Y521" s="30"/>
      <c r="Z521" s="16" t="s">
        <v>174</v>
      </c>
    </row>
    <row r="522">
      <c r="A522" s="28" t="s">
        <v>174</v>
      </c>
      <c r="B522" s="16"/>
      <c r="F522" s="45"/>
      <c r="H522" s="21"/>
      <c r="J522" s="21"/>
      <c r="M522" s="21"/>
      <c r="N522" s="21"/>
      <c r="O522" s="42"/>
      <c r="P522" s="30"/>
      <c r="R522" s="21"/>
      <c r="S522" s="31"/>
      <c r="U522" s="16"/>
      <c r="V522" s="16"/>
      <c r="W522" s="16"/>
      <c r="X522" s="16"/>
      <c r="Y522" s="30"/>
      <c r="Z522" s="16" t="s">
        <v>174</v>
      </c>
    </row>
    <row r="523">
      <c r="A523" s="28" t="s">
        <v>174</v>
      </c>
      <c r="B523" s="16"/>
      <c r="F523" s="45"/>
      <c r="H523" s="21"/>
      <c r="J523" s="21"/>
      <c r="M523" s="21"/>
      <c r="N523" s="21"/>
      <c r="O523" s="42"/>
      <c r="P523" s="30"/>
      <c r="R523" s="21"/>
      <c r="S523" s="31"/>
      <c r="U523" s="16"/>
      <c r="V523" s="16"/>
      <c r="W523" s="16"/>
      <c r="X523" s="16"/>
      <c r="Y523" s="30"/>
      <c r="Z523" s="16" t="s">
        <v>174</v>
      </c>
    </row>
    <row r="524">
      <c r="A524" s="28" t="s">
        <v>174</v>
      </c>
      <c r="B524" s="16"/>
      <c r="F524" s="45"/>
      <c r="H524" s="21"/>
      <c r="J524" s="21"/>
      <c r="M524" s="21"/>
      <c r="N524" s="21"/>
      <c r="O524" s="42"/>
      <c r="P524" s="30"/>
      <c r="R524" s="21"/>
      <c r="S524" s="31"/>
      <c r="U524" s="16"/>
      <c r="V524" s="16"/>
      <c r="W524" s="16"/>
      <c r="X524" s="16"/>
      <c r="Y524" s="30"/>
      <c r="Z524" s="16" t="s">
        <v>174</v>
      </c>
    </row>
    <row r="525">
      <c r="A525" s="28" t="s">
        <v>174</v>
      </c>
      <c r="B525" s="16"/>
      <c r="F525" s="45"/>
      <c r="H525" s="21"/>
      <c r="J525" s="21"/>
      <c r="M525" s="21"/>
      <c r="N525" s="21"/>
      <c r="O525" s="42"/>
      <c r="P525" s="30"/>
      <c r="R525" s="21"/>
      <c r="S525" s="31"/>
      <c r="U525" s="16"/>
      <c r="V525" s="16"/>
      <c r="W525" s="16"/>
      <c r="X525" s="16"/>
      <c r="Y525" s="30"/>
      <c r="Z525" s="16" t="s">
        <v>174</v>
      </c>
    </row>
    <row r="526">
      <c r="A526" s="28" t="s">
        <v>174</v>
      </c>
      <c r="B526" s="16"/>
      <c r="F526" s="45"/>
      <c r="H526" s="21"/>
      <c r="J526" s="21"/>
      <c r="M526" s="21"/>
      <c r="N526" s="21"/>
      <c r="O526" s="42"/>
      <c r="P526" s="30"/>
      <c r="R526" s="21"/>
      <c r="S526" s="31"/>
      <c r="U526" s="16"/>
      <c r="V526" s="16"/>
      <c r="W526" s="16"/>
      <c r="X526" s="16"/>
      <c r="Y526" s="30"/>
      <c r="Z526" s="16" t="s">
        <v>174</v>
      </c>
    </row>
    <row r="527">
      <c r="A527" s="28" t="s">
        <v>174</v>
      </c>
      <c r="B527" s="16"/>
      <c r="F527" s="45"/>
      <c r="H527" s="21"/>
      <c r="J527" s="21"/>
      <c r="M527" s="21"/>
      <c r="N527" s="21"/>
      <c r="O527" s="42"/>
      <c r="P527" s="30"/>
      <c r="R527" s="21"/>
      <c r="S527" s="31"/>
      <c r="U527" s="16"/>
      <c r="V527" s="16"/>
      <c r="W527" s="16"/>
      <c r="X527" s="16"/>
      <c r="Y527" s="30"/>
      <c r="Z527" s="16" t="s">
        <v>174</v>
      </c>
    </row>
    <row r="528">
      <c r="A528" s="28" t="s">
        <v>174</v>
      </c>
      <c r="B528" s="16"/>
      <c r="F528" s="45"/>
      <c r="H528" s="21"/>
      <c r="J528" s="21"/>
      <c r="M528" s="21"/>
      <c r="N528" s="21"/>
      <c r="O528" s="42"/>
      <c r="P528" s="30"/>
      <c r="R528" s="21"/>
      <c r="S528" s="31"/>
      <c r="U528" s="16"/>
      <c r="V528" s="16"/>
      <c r="W528" s="16"/>
      <c r="X528" s="16"/>
      <c r="Y528" s="30"/>
      <c r="Z528" s="16" t="s">
        <v>174</v>
      </c>
    </row>
    <row r="529">
      <c r="A529" s="28" t="s">
        <v>174</v>
      </c>
      <c r="B529" s="16"/>
      <c r="F529" s="45"/>
      <c r="H529" s="21"/>
      <c r="J529" s="21"/>
      <c r="M529" s="21"/>
      <c r="N529" s="21"/>
      <c r="O529" s="42"/>
      <c r="P529" s="30"/>
      <c r="R529" s="21"/>
      <c r="S529" s="31"/>
      <c r="U529" s="16"/>
      <c r="V529" s="16"/>
      <c r="W529" s="16"/>
      <c r="X529" s="16"/>
      <c r="Y529" s="30"/>
      <c r="Z529" s="16" t="s">
        <v>174</v>
      </c>
    </row>
    <row r="530">
      <c r="A530" s="28" t="s">
        <v>174</v>
      </c>
      <c r="B530" s="16"/>
      <c r="F530" s="45"/>
      <c r="H530" s="21"/>
      <c r="J530" s="21"/>
      <c r="M530" s="21"/>
      <c r="N530" s="21"/>
      <c r="O530" s="42"/>
      <c r="P530" s="30"/>
      <c r="R530" s="21"/>
      <c r="S530" s="31"/>
      <c r="U530" s="16"/>
      <c r="V530" s="16"/>
      <c r="W530" s="16"/>
      <c r="X530" s="16"/>
      <c r="Y530" s="30"/>
      <c r="Z530" s="16" t="s">
        <v>174</v>
      </c>
    </row>
    <row r="531">
      <c r="A531" s="28" t="s">
        <v>174</v>
      </c>
      <c r="B531" s="16"/>
      <c r="F531" s="45"/>
      <c r="H531" s="21"/>
      <c r="J531" s="21"/>
      <c r="M531" s="21"/>
      <c r="N531" s="21"/>
      <c r="O531" s="42"/>
      <c r="P531" s="30"/>
      <c r="R531" s="21"/>
      <c r="S531" s="31"/>
      <c r="U531" s="16"/>
      <c r="V531" s="16"/>
      <c r="W531" s="16"/>
      <c r="X531" s="16"/>
      <c r="Y531" s="30"/>
      <c r="Z531" s="16" t="s">
        <v>174</v>
      </c>
    </row>
    <row r="532">
      <c r="A532" s="28" t="s">
        <v>174</v>
      </c>
      <c r="B532" s="16"/>
      <c r="F532" s="45"/>
      <c r="H532" s="21"/>
      <c r="J532" s="21"/>
      <c r="M532" s="21"/>
      <c r="N532" s="21"/>
      <c r="O532" s="42"/>
      <c r="P532" s="30"/>
      <c r="R532" s="21"/>
      <c r="S532" s="31"/>
      <c r="U532" s="16"/>
      <c r="V532" s="16"/>
      <c r="W532" s="16"/>
      <c r="X532" s="16"/>
      <c r="Y532" s="30"/>
      <c r="Z532" s="16" t="s">
        <v>174</v>
      </c>
    </row>
    <row r="533">
      <c r="A533" s="28" t="s">
        <v>174</v>
      </c>
      <c r="B533" s="16"/>
      <c r="F533" s="45"/>
      <c r="H533" s="21"/>
      <c r="J533" s="21"/>
      <c r="M533" s="21"/>
      <c r="N533" s="21"/>
      <c r="O533" s="42"/>
      <c r="P533" s="30"/>
      <c r="R533" s="21"/>
      <c r="S533" s="31"/>
      <c r="U533" s="16"/>
      <c r="V533" s="16"/>
      <c r="W533" s="16"/>
      <c r="X533" s="16"/>
      <c r="Y533" s="30"/>
      <c r="Z533" s="16" t="s">
        <v>174</v>
      </c>
    </row>
    <row r="534">
      <c r="A534" s="28" t="s">
        <v>174</v>
      </c>
      <c r="B534" s="16"/>
      <c r="F534" s="45"/>
      <c r="H534" s="21"/>
      <c r="J534" s="21"/>
      <c r="M534" s="21"/>
      <c r="N534" s="21"/>
      <c r="O534" s="42"/>
      <c r="P534" s="30"/>
      <c r="R534" s="21"/>
      <c r="S534" s="31"/>
      <c r="U534" s="16"/>
      <c r="V534" s="16"/>
      <c r="W534" s="16"/>
      <c r="X534" s="16"/>
      <c r="Y534" s="30"/>
      <c r="Z534" s="16" t="s">
        <v>174</v>
      </c>
    </row>
    <row r="535">
      <c r="A535" s="28" t="s">
        <v>174</v>
      </c>
      <c r="B535" s="16"/>
      <c r="F535" s="45"/>
      <c r="H535" s="21"/>
      <c r="J535" s="21"/>
      <c r="M535" s="21"/>
      <c r="N535" s="21"/>
      <c r="O535" s="42"/>
      <c r="P535" s="30"/>
      <c r="R535" s="21"/>
      <c r="S535" s="31"/>
      <c r="U535" s="16"/>
      <c r="V535" s="16"/>
      <c r="W535" s="16"/>
      <c r="X535" s="16"/>
      <c r="Y535" s="30"/>
      <c r="Z535" s="16" t="s">
        <v>174</v>
      </c>
    </row>
    <row r="536">
      <c r="A536" s="28" t="s">
        <v>174</v>
      </c>
      <c r="B536" s="16"/>
      <c r="F536" s="45"/>
      <c r="H536" s="21"/>
      <c r="J536" s="21"/>
      <c r="M536" s="21"/>
      <c r="N536" s="21"/>
      <c r="O536" s="42"/>
      <c r="P536" s="30"/>
      <c r="R536" s="21"/>
      <c r="S536" s="31"/>
      <c r="U536" s="16"/>
      <c r="V536" s="16"/>
      <c r="W536" s="16"/>
      <c r="X536" s="16"/>
      <c r="Y536" s="30"/>
      <c r="Z536" s="16" t="s">
        <v>174</v>
      </c>
    </row>
    <row r="537">
      <c r="A537" s="28" t="s">
        <v>174</v>
      </c>
      <c r="B537" s="16"/>
      <c r="F537" s="45"/>
      <c r="H537" s="21"/>
      <c r="J537" s="21"/>
      <c r="M537" s="21"/>
      <c r="N537" s="21"/>
      <c r="O537" s="42"/>
      <c r="P537" s="30"/>
      <c r="R537" s="21"/>
      <c r="S537" s="31"/>
      <c r="U537" s="16"/>
      <c r="V537" s="16"/>
      <c r="W537" s="16"/>
      <c r="X537" s="16"/>
      <c r="Y537" s="30"/>
      <c r="Z537" s="16" t="s">
        <v>174</v>
      </c>
    </row>
    <row r="538">
      <c r="A538" s="28" t="s">
        <v>174</v>
      </c>
      <c r="B538" s="16"/>
      <c r="F538" s="45"/>
      <c r="H538" s="21"/>
      <c r="J538" s="21"/>
      <c r="M538" s="21"/>
      <c r="N538" s="21"/>
      <c r="O538" s="42"/>
      <c r="P538" s="30"/>
      <c r="R538" s="21"/>
      <c r="S538" s="31"/>
      <c r="U538" s="16"/>
      <c r="V538" s="16"/>
      <c r="W538" s="16"/>
      <c r="X538" s="16"/>
      <c r="Y538" s="30"/>
      <c r="Z538" s="16" t="s">
        <v>174</v>
      </c>
    </row>
    <row r="539">
      <c r="A539" s="28" t="s">
        <v>174</v>
      </c>
      <c r="B539" s="16"/>
      <c r="F539" s="45"/>
      <c r="H539" s="21"/>
      <c r="J539" s="21"/>
      <c r="M539" s="21"/>
      <c r="N539" s="21"/>
      <c r="O539" s="42"/>
      <c r="P539" s="30"/>
      <c r="R539" s="21"/>
      <c r="S539" s="31"/>
      <c r="U539" s="16"/>
      <c r="V539" s="16"/>
      <c r="W539" s="16"/>
      <c r="X539" s="16"/>
      <c r="Y539" s="30"/>
      <c r="Z539" s="16" t="s">
        <v>174</v>
      </c>
    </row>
    <row r="540">
      <c r="A540" s="28" t="s">
        <v>174</v>
      </c>
      <c r="B540" s="16"/>
      <c r="F540" s="45"/>
      <c r="H540" s="21"/>
      <c r="J540" s="21"/>
      <c r="M540" s="21"/>
      <c r="N540" s="21"/>
      <c r="O540" s="42"/>
      <c r="P540" s="30"/>
      <c r="R540" s="21"/>
      <c r="S540" s="31"/>
      <c r="U540" s="16"/>
      <c r="V540" s="16"/>
      <c r="W540" s="16"/>
      <c r="X540" s="16"/>
      <c r="Y540" s="30"/>
      <c r="Z540" s="16" t="s">
        <v>174</v>
      </c>
    </row>
    <row r="541">
      <c r="A541" s="28" t="s">
        <v>174</v>
      </c>
      <c r="B541" s="16"/>
      <c r="F541" s="45"/>
      <c r="H541" s="21"/>
      <c r="J541" s="21"/>
      <c r="M541" s="21"/>
      <c r="N541" s="21"/>
      <c r="O541" s="42"/>
      <c r="P541" s="30"/>
      <c r="R541" s="21"/>
      <c r="S541" s="31"/>
      <c r="U541" s="16"/>
      <c r="V541" s="16"/>
      <c r="W541" s="16"/>
      <c r="X541" s="16"/>
      <c r="Y541" s="30"/>
      <c r="Z541" s="16" t="s">
        <v>174</v>
      </c>
    </row>
    <row r="542">
      <c r="A542" s="28" t="s">
        <v>174</v>
      </c>
      <c r="B542" s="16"/>
      <c r="F542" s="45"/>
      <c r="H542" s="21"/>
      <c r="J542" s="21"/>
      <c r="M542" s="21"/>
      <c r="N542" s="21"/>
      <c r="O542" s="42"/>
      <c r="P542" s="30"/>
      <c r="R542" s="21"/>
      <c r="S542" s="31"/>
      <c r="U542" s="16"/>
      <c r="V542" s="16"/>
      <c r="W542" s="16"/>
      <c r="X542" s="16"/>
      <c r="Y542" s="30"/>
      <c r="Z542" s="16" t="s">
        <v>174</v>
      </c>
    </row>
    <row r="543">
      <c r="A543" s="28" t="s">
        <v>174</v>
      </c>
      <c r="B543" s="16"/>
      <c r="F543" s="45"/>
      <c r="H543" s="21"/>
      <c r="J543" s="21"/>
      <c r="M543" s="21"/>
      <c r="N543" s="21"/>
      <c r="O543" s="42"/>
      <c r="P543" s="30"/>
      <c r="R543" s="21"/>
      <c r="S543" s="31"/>
      <c r="U543" s="16"/>
      <c r="V543" s="16"/>
      <c r="W543" s="16"/>
      <c r="X543" s="16"/>
      <c r="Y543" s="30"/>
      <c r="Z543" s="16" t="s">
        <v>174</v>
      </c>
    </row>
    <row r="544">
      <c r="A544" s="28" t="s">
        <v>174</v>
      </c>
      <c r="B544" s="16"/>
      <c r="F544" s="45"/>
      <c r="H544" s="21"/>
      <c r="J544" s="21"/>
      <c r="M544" s="21"/>
      <c r="N544" s="21"/>
      <c r="O544" s="42"/>
      <c r="P544" s="30"/>
      <c r="R544" s="21"/>
      <c r="S544" s="31"/>
      <c r="U544" s="16"/>
      <c r="V544" s="16"/>
      <c r="W544" s="16"/>
      <c r="X544" s="16"/>
      <c r="Y544" s="30"/>
      <c r="Z544" s="16" t="s">
        <v>174</v>
      </c>
    </row>
    <row r="545">
      <c r="A545" s="28" t="s">
        <v>174</v>
      </c>
      <c r="B545" s="16"/>
      <c r="F545" s="45"/>
      <c r="H545" s="21"/>
      <c r="J545" s="21"/>
      <c r="M545" s="21"/>
      <c r="N545" s="21"/>
      <c r="O545" s="42"/>
      <c r="P545" s="30"/>
      <c r="R545" s="21"/>
      <c r="S545" s="31"/>
      <c r="U545" s="16"/>
      <c r="V545" s="16"/>
      <c r="W545" s="16"/>
      <c r="X545" s="16"/>
      <c r="Y545" s="30"/>
      <c r="Z545" s="16" t="s">
        <v>174</v>
      </c>
    </row>
    <row r="546">
      <c r="A546" s="28" t="s">
        <v>174</v>
      </c>
      <c r="B546" s="16"/>
      <c r="F546" s="45"/>
      <c r="H546" s="21"/>
      <c r="J546" s="21"/>
      <c r="M546" s="21"/>
      <c r="N546" s="21"/>
      <c r="O546" s="42"/>
      <c r="P546" s="30"/>
      <c r="R546" s="21"/>
      <c r="S546" s="31"/>
      <c r="U546" s="16"/>
      <c r="V546" s="16"/>
      <c r="W546" s="16"/>
      <c r="X546" s="16"/>
      <c r="Y546" s="30"/>
      <c r="Z546" s="16" t="s">
        <v>174</v>
      </c>
    </row>
    <row r="547">
      <c r="A547" s="28" t="s">
        <v>174</v>
      </c>
      <c r="B547" s="16"/>
      <c r="F547" s="45"/>
      <c r="H547" s="21"/>
      <c r="J547" s="21"/>
      <c r="M547" s="21"/>
      <c r="N547" s="21"/>
      <c r="O547" s="42"/>
      <c r="P547" s="30"/>
      <c r="R547" s="21"/>
      <c r="S547" s="31"/>
      <c r="U547" s="16"/>
      <c r="V547" s="16"/>
      <c r="W547" s="16"/>
      <c r="X547" s="16"/>
      <c r="Y547" s="30"/>
      <c r="Z547" s="16" t="s">
        <v>174</v>
      </c>
    </row>
    <row r="548">
      <c r="A548" s="28" t="s">
        <v>174</v>
      </c>
      <c r="B548" s="16"/>
      <c r="F548" s="45"/>
      <c r="H548" s="21"/>
      <c r="J548" s="21"/>
      <c r="M548" s="21"/>
      <c r="N548" s="21"/>
      <c r="O548" s="42"/>
      <c r="P548" s="30"/>
      <c r="R548" s="21"/>
      <c r="S548" s="31"/>
      <c r="U548" s="16"/>
      <c r="V548" s="16"/>
      <c r="W548" s="16"/>
      <c r="X548" s="16"/>
      <c r="Y548" s="30"/>
      <c r="Z548" s="16" t="s">
        <v>174</v>
      </c>
    </row>
    <row r="549">
      <c r="A549" s="28" t="s">
        <v>174</v>
      </c>
      <c r="B549" s="16"/>
      <c r="F549" s="45"/>
      <c r="H549" s="21"/>
      <c r="J549" s="21"/>
      <c r="M549" s="21"/>
      <c r="N549" s="21"/>
      <c r="O549" s="42"/>
      <c r="P549" s="30"/>
      <c r="R549" s="21"/>
      <c r="S549" s="31"/>
      <c r="U549" s="16"/>
      <c r="V549" s="16"/>
      <c r="W549" s="16"/>
      <c r="X549" s="16"/>
      <c r="Y549" s="30"/>
      <c r="Z549" s="16" t="s">
        <v>174</v>
      </c>
    </row>
    <row r="550">
      <c r="A550" s="28" t="s">
        <v>174</v>
      </c>
      <c r="B550" s="16"/>
      <c r="F550" s="45"/>
      <c r="H550" s="21"/>
      <c r="J550" s="21"/>
      <c r="M550" s="21"/>
      <c r="N550" s="21"/>
      <c r="O550" s="42"/>
      <c r="P550" s="30"/>
      <c r="R550" s="21"/>
      <c r="S550" s="31"/>
      <c r="U550" s="16"/>
      <c r="V550" s="16"/>
      <c r="W550" s="16"/>
      <c r="X550" s="16"/>
      <c r="Y550" s="30"/>
      <c r="Z550" s="16" t="s">
        <v>174</v>
      </c>
    </row>
    <row r="551">
      <c r="A551" s="28" t="s">
        <v>174</v>
      </c>
      <c r="B551" s="16"/>
      <c r="F551" s="45"/>
      <c r="H551" s="21"/>
      <c r="J551" s="21"/>
      <c r="M551" s="21"/>
      <c r="N551" s="21"/>
      <c r="O551" s="42"/>
      <c r="P551" s="30"/>
      <c r="R551" s="21"/>
      <c r="S551" s="31"/>
      <c r="U551" s="16"/>
      <c r="V551" s="16"/>
      <c r="W551" s="16"/>
      <c r="X551" s="16"/>
      <c r="Y551" s="30"/>
      <c r="Z551" s="16" t="s">
        <v>174</v>
      </c>
    </row>
    <row r="552">
      <c r="A552" s="28" t="s">
        <v>174</v>
      </c>
      <c r="B552" s="16"/>
      <c r="F552" s="45"/>
      <c r="H552" s="21"/>
      <c r="J552" s="21"/>
      <c r="M552" s="21"/>
      <c r="N552" s="21"/>
      <c r="O552" s="42"/>
      <c r="P552" s="30"/>
      <c r="R552" s="21"/>
      <c r="S552" s="31"/>
      <c r="U552" s="16"/>
      <c r="V552" s="16"/>
      <c r="W552" s="16"/>
      <c r="X552" s="16"/>
      <c r="Y552" s="30"/>
      <c r="Z552" s="16" t="s">
        <v>174</v>
      </c>
    </row>
    <row r="553">
      <c r="A553" s="28" t="s">
        <v>174</v>
      </c>
      <c r="B553" s="16"/>
      <c r="F553" s="45"/>
      <c r="H553" s="21"/>
      <c r="J553" s="21"/>
      <c r="M553" s="21"/>
      <c r="N553" s="21"/>
      <c r="O553" s="42"/>
      <c r="P553" s="30"/>
      <c r="R553" s="21"/>
      <c r="S553" s="31"/>
      <c r="U553" s="16"/>
      <c r="V553" s="16"/>
      <c r="W553" s="16"/>
      <c r="X553" s="16"/>
      <c r="Y553" s="30"/>
      <c r="Z553" s="16" t="s">
        <v>174</v>
      </c>
    </row>
    <row r="554">
      <c r="A554" s="28" t="s">
        <v>174</v>
      </c>
      <c r="B554" s="16"/>
      <c r="F554" s="45"/>
      <c r="H554" s="21"/>
      <c r="J554" s="21"/>
      <c r="M554" s="21"/>
      <c r="N554" s="21"/>
      <c r="O554" s="42"/>
      <c r="P554" s="30"/>
      <c r="R554" s="21"/>
      <c r="S554" s="31"/>
      <c r="U554" s="16"/>
      <c r="V554" s="16"/>
      <c r="W554" s="16"/>
      <c r="X554" s="16"/>
      <c r="Y554" s="30"/>
      <c r="Z554" s="16" t="s">
        <v>174</v>
      </c>
    </row>
    <row r="555">
      <c r="A555" s="28" t="s">
        <v>174</v>
      </c>
      <c r="B555" s="16"/>
      <c r="F555" s="45"/>
      <c r="H555" s="21"/>
      <c r="J555" s="21"/>
      <c r="M555" s="21"/>
      <c r="N555" s="21"/>
      <c r="O555" s="42"/>
      <c r="P555" s="30"/>
      <c r="R555" s="21"/>
      <c r="S555" s="31"/>
      <c r="U555" s="16"/>
      <c r="V555" s="16"/>
      <c r="W555" s="16"/>
      <c r="X555" s="16"/>
      <c r="Y555" s="30"/>
      <c r="Z555" s="16" t="s">
        <v>174</v>
      </c>
    </row>
    <row r="556">
      <c r="A556" s="28" t="s">
        <v>174</v>
      </c>
      <c r="B556" s="16"/>
      <c r="F556" s="45"/>
      <c r="H556" s="21"/>
      <c r="J556" s="21"/>
      <c r="M556" s="21"/>
      <c r="N556" s="21"/>
      <c r="O556" s="42"/>
      <c r="P556" s="30"/>
      <c r="R556" s="21"/>
      <c r="S556" s="31"/>
      <c r="U556" s="16"/>
      <c r="V556" s="16"/>
      <c r="W556" s="16"/>
      <c r="X556" s="16"/>
      <c r="Y556" s="30"/>
      <c r="Z556" s="16" t="s">
        <v>174</v>
      </c>
    </row>
    <row r="557">
      <c r="A557" s="28" t="s">
        <v>174</v>
      </c>
      <c r="B557" s="16"/>
      <c r="F557" s="45"/>
      <c r="H557" s="21"/>
      <c r="J557" s="21"/>
      <c r="M557" s="21"/>
      <c r="N557" s="21"/>
      <c r="O557" s="42"/>
      <c r="P557" s="30"/>
      <c r="R557" s="21"/>
      <c r="S557" s="31"/>
      <c r="U557" s="16"/>
      <c r="V557" s="16"/>
      <c r="W557" s="16"/>
      <c r="X557" s="16"/>
      <c r="Y557" s="30"/>
      <c r="Z557" s="16" t="s">
        <v>174</v>
      </c>
    </row>
    <row r="558">
      <c r="A558" s="28" t="s">
        <v>174</v>
      </c>
      <c r="B558" s="16"/>
      <c r="F558" s="45"/>
      <c r="H558" s="21"/>
      <c r="J558" s="21"/>
      <c r="M558" s="21"/>
      <c r="N558" s="21"/>
      <c r="O558" s="42"/>
      <c r="P558" s="30"/>
      <c r="R558" s="21"/>
      <c r="S558" s="31"/>
      <c r="U558" s="16"/>
      <c r="V558" s="16"/>
      <c r="W558" s="16"/>
      <c r="X558" s="16"/>
      <c r="Y558" s="30"/>
      <c r="Z558" s="16" t="s">
        <v>174</v>
      </c>
    </row>
    <row r="559">
      <c r="A559" s="28" t="s">
        <v>174</v>
      </c>
      <c r="B559" s="16"/>
      <c r="F559" s="45"/>
      <c r="H559" s="21"/>
      <c r="J559" s="21"/>
      <c r="M559" s="21"/>
      <c r="N559" s="21"/>
      <c r="O559" s="42"/>
      <c r="P559" s="30"/>
      <c r="R559" s="21"/>
      <c r="S559" s="31"/>
      <c r="U559" s="16"/>
      <c r="V559" s="16"/>
      <c r="W559" s="16"/>
      <c r="X559" s="16"/>
      <c r="Y559" s="30"/>
      <c r="Z559" s="16" t="s">
        <v>174</v>
      </c>
    </row>
    <row r="560">
      <c r="A560" s="28" t="s">
        <v>174</v>
      </c>
      <c r="B560" s="16"/>
      <c r="F560" s="45"/>
      <c r="H560" s="21"/>
      <c r="J560" s="21"/>
      <c r="M560" s="21"/>
      <c r="N560" s="21"/>
      <c r="O560" s="42"/>
      <c r="P560" s="30"/>
      <c r="R560" s="21"/>
      <c r="S560" s="31"/>
      <c r="U560" s="16"/>
      <c r="V560" s="16"/>
      <c r="W560" s="16"/>
      <c r="X560" s="16"/>
      <c r="Y560" s="30"/>
      <c r="Z560" s="16" t="s">
        <v>174</v>
      </c>
    </row>
    <row r="561">
      <c r="A561" s="28" t="s">
        <v>174</v>
      </c>
      <c r="B561" s="16"/>
      <c r="F561" s="45"/>
      <c r="H561" s="21"/>
      <c r="J561" s="21"/>
      <c r="M561" s="21"/>
      <c r="N561" s="21"/>
      <c r="O561" s="42"/>
      <c r="P561" s="30"/>
      <c r="R561" s="21"/>
      <c r="S561" s="31"/>
      <c r="U561" s="16"/>
      <c r="V561" s="16"/>
      <c r="W561" s="16"/>
      <c r="X561" s="16"/>
      <c r="Y561" s="30"/>
      <c r="Z561" s="16" t="s">
        <v>174</v>
      </c>
    </row>
    <row r="562">
      <c r="A562" s="28" t="s">
        <v>174</v>
      </c>
      <c r="B562" s="16"/>
      <c r="F562" s="45"/>
      <c r="H562" s="21"/>
      <c r="J562" s="21"/>
      <c r="M562" s="21"/>
      <c r="N562" s="21"/>
      <c r="O562" s="42"/>
      <c r="P562" s="30"/>
      <c r="R562" s="21"/>
      <c r="S562" s="31"/>
      <c r="U562" s="16"/>
      <c r="V562" s="16"/>
      <c r="W562" s="16"/>
      <c r="X562" s="16"/>
      <c r="Y562" s="30"/>
      <c r="Z562" s="16" t="s">
        <v>174</v>
      </c>
    </row>
    <row r="563">
      <c r="A563" s="28" t="s">
        <v>174</v>
      </c>
      <c r="B563" s="16"/>
      <c r="F563" s="45"/>
      <c r="H563" s="21"/>
      <c r="J563" s="21"/>
      <c r="M563" s="21"/>
      <c r="N563" s="21"/>
      <c r="O563" s="42"/>
      <c r="P563" s="30"/>
      <c r="R563" s="21"/>
      <c r="S563" s="31"/>
      <c r="U563" s="16"/>
      <c r="V563" s="16"/>
      <c r="W563" s="16"/>
      <c r="X563" s="16"/>
      <c r="Y563" s="30"/>
      <c r="Z563" s="16" t="s">
        <v>174</v>
      </c>
    </row>
    <row r="564">
      <c r="A564" s="28" t="s">
        <v>174</v>
      </c>
      <c r="B564" s="16"/>
      <c r="F564" s="45"/>
      <c r="H564" s="21"/>
      <c r="J564" s="21"/>
      <c r="M564" s="21"/>
      <c r="N564" s="21"/>
      <c r="O564" s="42"/>
      <c r="P564" s="30"/>
      <c r="R564" s="21"/>
      <c r="S564" s="31"/>
      <c r="U564" s="16"/>
      <c r="V564" s="16"/>
      <c r="W564" s="16"/>
      <c r="X564" s="16"/>
      <c r="Y564" s="30"/>
      <c r="Z564" s="16" t="s">
        <v>174</v>
      </c>
    </row>
    <row r="565">
      <c r="A565" s="28" t="s">
        <v>174</v>
      </c>
      <c r="B565" s="16"/>
      <c r="F565" s="45"/>
      <c r="H565" s="21"/>
      <c r="J565" s="21"/>
      <c r="M565" s="21"/>
      <c r="N565" s="21"/>
      <c r="O565" s="42"/>
      <c r="P565" s="30"/>
      <c r="R565" s="21"/>
      <c r="S565" s="31"/>
      <c r="U565" s="16"/>
      <c r="V565" s="16"/>
      <c r="W565" s="16"/>
      <c r="X565" s="16"/>
      <c r="Y565" s="30"/>
      <c r="Z565" s="16" t="s">
        <v>174</v>
      </c>
    </row>
    <row r="566">
      <c r="A566" s="28" t="s">
        <v>174</v>
      </c>
      <c r="B566" s="16"/>
      <c r="F566" s="45"/>
      <c r="H566" s="21"/>
      <c r="J566" s="21"/>
      <c r="M566" s="21"/>
      <c r="N566" s="21"/>
      <c r="O566" s="42"/>
      <c r="P566" s="30"/>
      <c r="R566" s="21"/>
      <c r="S566" s="31"/>
      <c r="U566" s="16"/>
      <c r="V566" s="16"/>
      <c r="W566" s="16"/>
      <c r="X566" s="16"/>
      <c r="Y566" s="30"/>
      <c r="Z566" s="16" t="s">
        <v>174</v>
      </c>
    </row>
    <row r="567">
      <c r="A567" s="28" t="s">
        <v>174</v>
      </c>
      <c r="B567" s="16"/>
      <c r="F567" s="45"/>
      <c r="H567" s="21"/>
      <c r="J567" s="21"/>
      <c r="M567" s="21"/>
      <c r="N567" s="21"/>
      <c r="O567" s="42"/>
      <c r="P567" s="30"/>
      <c r="R567" s="21"/>
      <c r="S567" s="31"/>
      <c r="U567" s="16"/>
      <c r="V567" s="16"/>
      <c r="W567" s="16"/>
      <c r="X567" s="16"/>
      <c r="Y567" s="30"/>
      <c r="Z567" s="16" t="s">
        <v>174</v>
      </c>
    </row>
    <row r="568">
      <c r="A568" s="28" t="s">
        <v>174</v>
      </c>
      <c r="B568" s="16"/>
      <c r="F568" s="45"/>
      <c r="H568" s="21"/>
      <c r="J568" s="21"/>
      <c r="M568" s="21"/>
      <c r="N568" s="21"/>
      <c r="O568" s="42"/>
      <c r="P568" s="30"/>
      <c r="R568" s="21"/>
      <c r="S568" s="31"/>
      <c r="U568" s="16"/>
      <c r="V568" s="16"/>
      <c r="W568" s="16"/>
      <c r="X568" s="16"/>
      <c r="Y568" s="30"/>
      <c r="Z568" s="16" t="s">
        <v>174</v>
      </c>
    </row>
    <row r="569">
      <c r="A569" s="28" t="s">
        <v>174</v>
      </c>
      <c r="B569" s="16"/>
      <c r="F569" s="45"/>
      <c r="H569" s="21"/>
      <c r="J569" s="21"/>
      <c r="M569" s="21"/>
      <c r="N569" s="21"/>
      <c r="O569" s="42"/>
      <c r="P569" s="30"/>
      <c r="R569" s="21"/>
      <c r="S569" s="31"/>
      <c r="U569" s="16"/>
      <c r="V569" s="16"/>
      <c r="W569" s="16"/>
      <c r="X569" s="16"/>
      <c r="Y569" s="30"/>
      <c r="Z569" s="16" t="s">
        <v>174</v>
      </c>
    </row>
    <row r="570">
      <c r="A570" s="28" t="s">
        <v>174</v>
      </c>
      <c r="B570" s="16"/>
      <c r="F570" s="45"/>
      <c r="H570" s="21"/>
      <c r="J570" s="21"/>
      <c r="M570" s="21"/>
      <c r="N570" s="21"/>
      <c r="O570" s="42"/>
      <c r="P570" s="30"/>
      <c r="R570" s="21"/>
      <c r="S570" s="31"/>
      <c r="U570" s="16"/>
      <c r="V570" s="16"/>
      <c r="W570" s="16"/>
      <c r="X570" s="16"/>
      <c r="Y570" s="30"/>
      <c r="Z570" s="16" t="s">
        <v>174</v>
      </c>
    </row>
    <row r="571">
      <c r="A571" s="28" t="s">
        <v>174</v>
      </c>
      <c r="B571" s="16"/>
      <c r="F571" s="45"/>
      <c r="H571" s="21"/>
      <c r="J571" s="21"/>
      <c r="M571" s="21"/>
      <c r="N571" s="21"/>
      <c r="O571" s="42"/>
      <c r="P571" s="30"/>
      <c r="R571" s="21"/>
      <c r="S571" s="31"/>
      <c r="U571" s="16"/>
      <c r="V571" s="16"/>
      <c r="W571" s="16"/>
      <c r="X571" s="16"/>
      <c r="Y571" s="30"/>
      <c r="Z571" s="16" t="s">
        <v>174</v>
      </c>
    </row>
    <row r="572">
      <c r="A572" s="28" t="s">
        <v>174</v>
      </c>
      <c r="B572" s="16"/>
      <c r="F572" s="45"/>
      <c r="H572" s="21"/>
      <c r="J572" s="21"/>
      <c r="M572" s="21"/>
      <c r="N572" s="21"/>
      <c r="O572" s="42"/>
      <c r="P572" s="30"/>
      <c r="R572" s="21"/>
      <c r="S572" s="31"/>
      <c r="U572" s="16"/>
      <c r="V572" s="16"/>
      <c r="W572" s="16"/>
      <c r="X572" s="16"/>
      <c r="Y572" s="30"/>
      <c r="Z572" s="16" t="s">
        <v>174</v>
      </c>
    </row>
    <row r="573">
      <c r="A573" s="28" t="s">
        <v>174</v>
      </c>
      <c r="B573" s="16"/>
      <c r="F573" s="45"/>
      <c r="H573" s="21"/>
      <c r="J573" s="21"/>
      <c r="M573" s="21"/>
      <c r="N573" s="21"/>
      <c r="O573" s="42"/>
      <c r="P573" s="30"/>
      <c r="R573" s="21"/>
      <c r="S573" s="31"/>
      <c r="U573" s="16"/>
      <c r="V573" s="16"/>
      <c r="W573" s="16"/>
      <c r="X573" s="16"/>
      <c r="Y573" s="30"/>
      <c r="Z573" s="16" t="s">
        <v>174</v>
      </c>
    </row>
    <row r="574">
      <c r="A574" s="28" t="s">
        <v>174</v>
      </c>
      <c r="B574" s="16"/>
      <c r="F574" s="45"/>
      <c r="H574" s="21"/>
      <c r="J574" s="21"/>
      <c r="M574" s="21"/>
      <c r="N574" s="21"/>
      <c r="O574" s="42"/>
      <c r="P574" s="30"/>
      <c r="R574" s="21"/>
      <c r="S574" s="31"/>
      <c r="U574" s="16"/>
      <c r="V574" s="16"/>
      <c r="W574" s="16"/>
      <c r="X574" s="16"/>
      <c r="Y574" s="30"/>
      <c r="Z574" s="16" t="s">
        <v>174</v>
      </c>
    </row>
    <row r="575">
      <c r="A575" s="28" t="s">
        <v>174</v>
      </c>
      <c r="B575" s="16"/>
      <c r="F575" s="45"/>
      <c r="H575" s="21"/>
      <c r="J575" s="21"/>
      <c r="M575" s="21"/>
      <c r="N575" s="21"/>
      <c r="O575" s="42"/>
      <c r="P575" s="30"/>
      <c r="R575" s="21"/>
      <c r="S575" s="31"/>
      <c r="U575" s="16"/>
      <c r="V575" s="16"/>
      <c r="W575" s="16"/>
      <c r="X575" s="16"/>
      <c r="Y575" s="30"/>
      <c r="Z575" s="16" t="s">
        <v>174</v>
      </c>
    </row>
    <row r="576">
      <c r="A576" s="28" t="s">
        <v>174</v>
      </c>
      <c r="B576" s="16"/>
      <c r="F576" s="45"/>
      <c r="H576" s="21"/>
      <c r="J576" s="21"/>
      <c r="M576" s="21"/>
      <c r="N576" s="21"/>
      <c r="O576" s="42"/>
      <c r="P576" s="30"/>
      <c r="R576" s="21"/>
      <c r="S576" s="31"/>
      <c r="U576" s="16"/>
      <c r="V576" s="16"/>
      <c r="W576" s="16"/>
      <c r="X576" s="16"/>
      <c r="Y576" s="30"/>
      <c r="Z576" s="16" t="s">
        <v>174</v>
      </c>
    </row>
    <row r="577">
      <c r="A577" s="28" t="s">
        <v>174</v>
      </c>
      <c r="B577" s="16"/>
      <c r="F577" s="45"/>
      <c r="H577" s="21"/>
      <c r="J577" s="21"/>
      <c r="M577" s="21"/>
      <c r="N577" s="21"/>
      <c r="O577" s="42"/>
      <c r="P577" s="30"/>
      <c r="R577" s="21"/>
      <c r="S577" s="31"/>
      <c r="U577" s="16"/>
      <c r="V577" s="16"/>
      <c r="W577" s="16"/>
      <c r="X577" s="16"/>
      <c r="Y577" s="30"/>
      <c r="Z577" s="16" t="s">
        <v>174</v>
      </c>
    </row>
    <row r="578">
      <c r="A578" s="28" t="s">
        <v>174</v>
      </c>
      <c r="B578" s="16"/>
      <c r="F578" s="45"/>
      <c r="H578" s="21"/>
      <c r="J578" s="21"/>
      <c r="M578" s="21"/>
      <c r="N578" s="21"/>
      <c r="O578" s="42"/>
      <c r="P578" s="30"/>
      <c r="R578" s="21"/>
      <c r="S578" s="31"/>
      <c r="U578" s="16"/>
      <c r="V578" s="16"/>
      <c r="W578" s="16"/>
      <c r="X578" s="16"/>
      <c r="Y578" s="30"/>
      <c r="Z578" s="16" t="s">
        <v>174</v>
      </c>
    </row>
    <row r="579">
      <c r="A579" s="28" t="s">
        <v>174</v>
      </c>
      <c r="B579" s="16"/>
      <c r="F579" s="45"/>
      <c r="H579" s="21"/>
      <c r="J579" s="21"/>
      <c r="M579" s="21"/>
      <c r="N579" s="21"/>
      <c r="O579" s="42"/>
      <c r="P579" s="30"/>
      <c r="R579" s="21"/>
      <c r="S579" s="31"/>
      <c r="U579" s="16"/>
      <c r="V579" s="16"/>
      <c r="W579" s="16"/>
      <c r="X579" s="16"/>
      <c r="Y579" s="30"/>
      <c r="Z579" s="16" t="s">
        <v>174</v>
      </c>
    </row>
    <row r="580">
      <c r="A580" s="28" t="s">
        <v>174</v>
      </c>
      <c r="B580" s="16"/>
      <c r="F580" s="45"/>
      <c r="H580" s="21"/>
      <c r="J580" s="21"/>
      <c r="M580" s="21"/>
      <c r="N580" s="21"/>
      <c r="O580" s="42"/>
      <c r="P580" s="30"/>
      <c r="R580" s="21"/>
      <c r="S580" s="31"/>
      <c r="U580" s="16"/>
      <c r="V580" s="16"/>
      <c r="W580" s="16"/>
      <c r="X580" s="16"/>
      <c r="Y580" s="30"/>
      <c r="Z580" s="16" t="s">
        <v>174</v>
      </c>
    </row>
    <row r="581">
      <c r="A581" s="28" t="s">
        <v>174</v>
      </c>
      <c r="B581" s="16"/>
      <c r="F581" s="45"/>
      <c r="H581" s="21"/>
      <c r="J581" s="21"/>
      <c r="M581" s="21"/>
      <c r="N581" s="21"/>
      <c r="O581" s="42"/>
      <c r="P581" s="30"/>
      <c r="R581" s="21"/>
      <c r="S581" s="31"/>
      <c r="U581" s="16"/>
      <c r="V581" s="16"/>
      <c r="W581" s="16"/>
      <c r="X581" s="16"/>
      <c r="Y581" s="30"/>
      <c r="Z581" s="16" t="s">
        <v>174</v>
      </c>
    </row>
    <row r="582">
      <c r="A582" s="28" t="s">
        <v>174</v>
      </c>
      <c r="B582" s="16"/>
      <c r="F582" s="45"/>
      <c r="H582" s="21"/>
      <c r="J582" s="21"/>
      <c r="M582" s="21"/>
      <c r="N582" s="21"/>
      <c r="O582" s="42"/>
      <c r="P582" s="30"/>
      <c r="R582" s="21"/>
      <c r="S582" s="31"/>
      <c r="U582" s="16"/>
      <c r="V582" s="16"/>
      <c r="W582" s="16"/>
      <c r="X582" s="16"/>
      <c r="Y582" s="30"/>
      <c r="Z582" s="16" t="s">
        <v>174</v>
      </c>
    </row>
    <row r="583">
      <c r="A583" s="28" t="s">
        <v>174</v>
      </c>
      <c r="B583" s="16"/>
      <c r="F583" s="45"/>
      <c r="H583" s="21"/>
      <c r="J583" s="21"/>
      <c r="M583" s="21"/>
      <c r="N583" s="21"/>
      <c r="O583" s="42"/>
      <c r="P583" s="30"/>
      <c r="R583" s="21"/>
      <c r="S583" s="31"/>
      <c r="U583" s="16"/>
      <c r="V583" s="16"/>
      <c r="W583" s="16"/>
      <c r="X583" s="16"/>
      <c r="Y583" s="30"/>
      <c r="Z583" s="16" t="s">
        <v>174</v>
      </c>
    </row>
    <row r="584">
      <c r="A584" s="28" t="s">
        <v>174</v>
      </c>
      <c r="B584" s="16"/>
      <c r="F584" s="45"/>
      <c r="H584" s="21"/>
      <c r="J584" s="21"/>
      <c r="M584" s="21"/>
      <c r="N584" s="21"/>
      <c r="O584" s="42"/>
      <c r="P584" s="30"/>
      <c r="R584" s="21"/>
      <c r="S584" s="31"/>
      <c r="U584" s="16"/>
      <c r="V584" s="16"/>
      <c r="W584" s="16"/>
      <c r="X584" s="16"/>
      <c r="Y584" s="30"/>
      <c r="Z584" s="16" t="s">
        <v>174</v>
      </c>
    </row>
    <row r="585">
      <c r="A585" s="28" t="s">
        <v>174</v>
      </c>
      <c r="B585" s="16"/>
      <c r="F585" s="45"/>
      <c r="H585" s="21"/>
      <c r="J585" s="21"/>
      <c r="M585" s="21"/>
      <c r="N585" s="21"/>
      <c r="O585" s="42"/>
      <c r="P585" s="30"/>
      <c r="R585" s="21"/>
      <c r="S585" s="31"/>
      <c r="U585" s="16"/>
      <c r="V585" s="16"/>
      <c r="W585" s="16"/>
      <c r="X585" s="16"/>
      <c r="Y585" s="30"/>
      <c r="Z585" s="16" t="s">
        <v>174</v>
      </c>
    </row>
    <row r="586">
      <c r="A586" s="28" t="s">
        <v>174</v>
      </c>
      <c r="B586" s="16"/>
      <c r="F586" s="45"/>
      <c r="H586" s="21"/>
      <c r="J586" s="21"/>
      <c r="M586" s="21"/>
      <c r="N586" s="21"/>
      <c r="O586" s="42"/>
      <c r="P586" s="30"/>
      <c r="R586" s="21"/>
      <c r="S586" s="31"/>
      <c r="U586" s="16"/>
      <c r="V586" s="16"/>
      <c r="W586" s="16"/>
      <c r="X586" s="16"/>
      <c r="Y586" s="30"/>
      <c r="Z586" s="16" t="s">
        <v>174</v>
      </c>
    </row>
    <row r="587">
      <c r="A587" s="28" t="s">
        <v>174</v>
      </c>
      <c r="B587" s="16"/>
      <c r="F587" s="45"/>
      <c r="H587" s="21"/>
      <c r="J587" s="21"/>
      <c r="M587" s="21"/>
      <c r="N587" s="21"/>
      <c r="O587" s="42"/>
      <c r="P587" s="30"/>
      <c r="R587" s="21"/>
      <c r="S587" s="31"/>
      <c r="U587" s="16"/>
      <c r="V587" s="16"/>
      <c r="W587" s="16"/>
      <c r="X587" s="16"/>
      <c r="Y587" s="30"/>
      <c r="Z587" s="16" t="s">
        <v>174</v>
      </c>
    </row>
    <row r="588">
      <c r="A588" s="28" t="s">
        <v>174</v>
      </c>
      <c r="B588" s="16"/>
      <c r="F588" s="45"/>
      <c r="H588" s="21"/>
      <c r="J588" s="21"/>
      <c r="M588" s="21"/>
      <c r="N588" s="21"/>
      <c r="O588" s="42"/>
      <c r="P588" s="30"/>
      <c r="R588" s="21"/>
      <c r="S588" s="31"/>
      <c r="U588" s="16"/>
      <c r="V588" s="16"/>
      <c r="W588" s="16"/>
      <c r="X588" s="16"/>
      <c r="Y588" s="30"/>
      <c r="Z588" s="16" t="s">
        <v>174</v>
      </c>
    </row>
    <row r="589">
      <c r="A589" s="28" t="s">
        <v>174</v>
      </c>
      <c r="B589" s="16"/>
      <c r="F589" s="45"/>
      <c r="H589" s="21"/>
      <c r="J589" s="21"/>
      <c r="M589" s="21"/>
      <c r="N589" s="21"/>
      <c r="O589" s="42"/>
      <c r="P589" s="30"/>
      <c r="R589" s="21"/>
      <c r="S589" s="31"/>
      <c r="U589" s="16"/>
      <c r="V589" s="16"/>
      <c r="W589" s="16"/>
      <c r="X589" s="16"/>
      <c r="Y589" s="30"/>
      <c r="Z589" s="16" t="s">
        <v>174</v>
      </c>
    </row>
    <row r="590">
      <c r="A590" s="28" t="s">
        <v>174</v>
      </c>
      <c r="B590" s="16"/>
      <c r="F590" s="45"/>
      <c r="H590" s="21"/>
      <c r="J590" s="21"/>
      <c r="M590" s="21"/>
      <c r="N590" s="21"/>
      <c r="O590" s="42"/>
      <c r="P590" s="30"/>
      <c r="R590" s="21"/>
      <c r="S590" s="31"/>
      <c r="U590" s="16"/>
      <c r="V590" s="16"/>
      <c r="W590" s="16"/>
      <c r="X590" s="16"/>
      <c r="Y590" s="30"/>
      <c r="Z590" s="16" t="s">
        <v>174</v>
      </c>
    </row>
    <row r="591">
      <c r="A591" s="28" t="s">
        <v>174</v>
      </c>
      <c r="B591" s="16"/>
      <c r="F591" s="45"/>
      <c r="H591" s="21"/>
      <c r="J591" s="21"/>
      <c r="M591" s="21"/>
      <c r="N591" s="21"/>
      <c r="O591" s="42"/>
      <c r="P591" s="30"/>
      <c r="R591" s="21"/>
      <c r="S591" s="31"/>
      <c r="U591" s="16"/>
      <c r="V591" s="16"/>
      <c r="W591" s="16"/>
      <c r="X591" s="16"/>
      <c r="Y591" s="30"/>
      <c r="Z591" s="16" t="s">
        <v>174</v>
      </c>
    </row>
    <row r="592">
      <c r="A592" s="28" t="s">
        <v>174</v>
      </c>
      <c r="B592" s="16"/>
      <c r="F592" s="45"/>
      <c r="H592" s="21"/>
      <c r="J592" s="21"/>
      <c r="M592" s="21"/>
      <c r="N592" s="21"/>
      <c r="O592" s="42"/>
      <c r="P592" s="30"/>
      <c r="R592" s="21"/>
      <c r="S592" s="31"/>
      <c r="U592" s="16"/>
      <c r="V592" s="16"/>
      <c r="W592" s="16"/>
      <c r="X592" s="16"/>
      <c r="Y592" s="30"/>
      <c r="Z592" s="16" t="s">
        <v>174</v>
      </c>
    </row>
    <row r="593">
      <c r="A593" s="28" t="s">
        <v>174</v>
      </c>
      <c r="B593" s="16"/>
      <c r="F593" s="45"/>
      <c r="H593" s="21"/>
      <c r="J593" s="21"/>
      <c r="M593" s="21"/>
      <c r="N593" s="21"/>
      <c r="O593" s="42"/>
      <c r="P593" s="30"/>
      <c r="R593" s="21"/>
      <c r="S593" s="31"/>
      <c r="U593" s="16"/>
      <c r="V593" s="16"/>
      <c r="W593" s="16"/>
      <c r="X593" s="16"/>
      <c r="Y593" s="30"/>
      <c r="Z593" s="16" t="s">
        <v>174</v>
      </c>
    </row>
    <row r="594">
      <c r="A594" s="28" t="s">
        <v>174</v>
      </c>
      <c r="B594" s="16"/>
      <c r="F594" s="45"/>
      <c r="H594" s="21"/>
      <c r="J594" s="21"/>
      <c r="M594" s="21"/>
      <c r="N594" s="21"/>
      <c r="O594" s="42"/>
      <c r="P594" s="30"/>
      <c r="R594" s="21"/>
      <c r="S594" s="31"/>
      <c r="U594" s="16"/>
      <c r="V594" s="16"/>
      <c r="W594" s="16"/>
      <c r="X594" s="16"/>
      <c r="Y594" s="30"/>
      <c r="Z594" s="16" t="s">
        <v>174</v>
      </c>
    </row>
    <row r="595">
      <c r="A595" s="28" t="s">
        <v>174</v>
      </c>
      <c r="B595" s="16"/>
      <c r="F595" s="45"/>
      <c r="H595" s="21"/>
      <c r="J595" s="21"/>
      <c r="M595" s="21"/>
      <c r="N595" s="21"/>
      <c r="O595" s="42"/>
      <c r="P595" s="30"/>
      <c r="R595" s="21"/>
      <c r="S595" s="31"/>
      <c r="U595" s="16"/>
      <c r="V595" s="16"/>
      <c r="W595" s="16"/>
      <c r="X595" s="16"/>
      <c r="Y595" s="30"/>
      <c r="Z595" s="16" t="s">
        <v>174</v>
      </c>
    </row>
    <row r="596">
      <c r="A596" s="28" t="s">
        <v>174</v>
      </c>
      <c r="B596" s="16"/>
      <c r="F596" s="45"/>
      <c r="H596" s="21"/>
      <c r="J596" s="21"/>
      <c r="M596" s="21"/>
      <c r="N596" s="21"/>
      <c r="O596" s="42"/>
      <c r="P596" s="30"/>
      <c r="R596" s="21"/>
      <c r="S596" s="31"/>
      <c r="U596" s="16"/>
      <c r="V596" s="16"/>
      <c r="W596" s="16"/>
      <c r="X596" s="16"/>
      <c r="Y596" s="30"/>
      <c r="Z596" s="16" t="s">
        <v>174</v>
      </c>
    </row>
    <row r="597">
      <c r="A597" s="28" t="s">
        <v>174</v>
      </c>
      <c r="B597" s="16"/>
      <c r="F597" s="45"/>
      <c r="H597" s="21"/>
      <c r="J597" s="21"/>
      <c r="M597" s="21"/>
      <c r="N597" s="21"/>
      <c r="O597" s="42"/>
      <c r="P597" s="30"/>
      <c r="R597" s="21"/>
      <c r="S597" s="31"/>
      <c r="U597" s="16"/>
      <c r="V597" s="16"/>
      <c r="W597" s="16"/>
      <c r="X597" s="16"/>
      <c r="Y597" s="30"/>
      <c r="Z597" s="16" t="s">
        <v>174</v>
      </c>
    </row>
    <row r="598">
      <c r="A598" s="28" t="s">
        <v>174</v>
      </c>
      <c r="B598" s="16"/>
      <c r="F598" s="45"/>
      <c r="H598" s="21"/>
      <c r="J598" s="21"/>
      <c r="M598" s="21"/>
      <c r="N598" s="21"/>
      <c r="O598" s="42"/>
      <c r="P598" s="30"/>
      <c r="R598" s="21"/>
      <c r="S598" s="31"/>
      <c r="U598" s="16"/>
      <c r="V598" s="16"/>
      <c r="W598" s="16"/>
      <c r="X598" s="16"/>
      <c r="Y598" s="30"/>
      <c r="Z598" s="16" t="s">
        <v>174</v>
      </c>
    </row>
    <row r="599">
      <c r="A599" s="28" t="s">
        <v>174</v>
      </c>
      <c r="B599" s="16"/>
      <c r="F599" s="45"/>
      <c r="H599" s="21"/>
      <c r="J599" s="21"/>
      <c r="M599" s="21"/>
      <c r="N599" s="21"/>
      <c r="O599" s="42"/>
      <c r="P599" s="30"/>
      <c r="R599" s="21"/>
      <c r="S599" s="31"/>
      <c r="U599" s="16"/>
      <c r="V599" s="16"/>
      <c r="W599" s="16"/>
      <c r="X599" s="16"/>
      <c r="Y599" s="30"/>
      <c r="Z599" s="16" t="s">
        <v>174</v>
      </c>
    </row>
    <row r="600">
      <c r="A600" s="28" t="s">
        <v>174</v>
      </c>
      <c r="B600" s="16"/>
      <c r="F600" s="45"/>
      <c r="H600" s="21"/>
      <c r="J600" s="21"/>
      <c r="M600" s="21"/>
      <c r="N600" s="21"/>
      <c r="O600" s="42"/>
      <c r="P600" s="30"/>
      <c r="R600" s="21"/>
      <c r="S600" s="31"/>
      <c r="U600" s="16"/>
      <c r="V600" s="16"/>
      <c r="W600" s="16"/>
      <c r="X600" s="16"/>
      <c r="Y600" s="30"/>
      <c r="Z600" s="16" t="s">
        <v>174</v>
      </c>
    </row>
    <row r="601">
      <c r="A601" s="28" t="s">
        <v>174</v>
      </c>
      <c r="B601" s="16"/>
      <c r="F601" s="45"/>
      <c r="H601" s="21"/>
      <c r="J601" s="21"/>
      <c r="M601" s="21"/>
      <c r="N601" s="21"/>
      <c r="O601" s="42"/>
      <c r="P601" s="30"/>
      <c r="R601" s="21"/>
      <c r="S601" s="31"/>
      <c r="U601" s="16"/>
      <c r="V601" s="16"/>
      <c r="W601" s="16"/>
      <c r="X601" s="16"/>
      <c r="Y601" s="30"/>
      <c r="Z601" s="16" t="s">
        <v>174</v>
      </c>
    </row>
    <row r="602">
      <c r="A602" s="28" t="s">
        <v>174</v>
      </c>
      <c r="B602" s="16"/>
      <c r="F602" s="45"/>
      <c r="H602" s="21"/>
      <c r="J602" s="21"/>
      <c r="M602" s="21"/>
      <c r="N602" s="21"/>
      <c r="O602" s="42"/>
      <c r="P602" s="30"/>
      <c r="R602" s="21"/>
      <c r="S602" s="31"/>
      <c r="U602" s="16"/>
      <c r="V602" s="16"/>
      <c r="W602" s="16"/>
      <c r="X602" s="16"/>
      <c r="Y602" s="30"/>
      <c r="Z602" s="16" t="s">
        <v>174</v>
      </c>
    </row>
    <row r="603">
      <c r="A603" s="28" t="s">
        <v>174</v>
      </c>
      <c r="B603" s="16"/>
      <c r="F603" s="45"/>
      <c r="H603" s="21"/>
      <c r="J603" s="21"/>
      <c r="M603" s="21"/>
      <c r="N603" s="21"/>
      <c r="O603" s="42"/>
      <c r="P603" s="30"/>
      <c r="R603" s="21"/>
      <c r="S603" s="31"/>
      <c r="U603" s="16"/>
      <c r="V603" s="16"/>
      <c r="W603" s="16"/>
      <c r="X603" s="16"/>
      <c r="Y603" s="30"/>
      <c r="Z603" s="16" t="s">
        <v>174</v>
      </c>
    </row>
    <row r="604">
      <c r="A604" s="28" t="s">
        <v>174</v>
      </c>
      <c r="B604" s="16"/>
      <c r="F604" s="45"/>
      <c r="H604" s="21"/>
      <c r="J604" s="21"/>
      <c r="M604" s="21"/>
      <c r="N604" s="21"/>
      <c r="O604" s="42"/>
      <c r="P604" s="30"/>
      <c r="R604" s="21"/>
      <c r="S604" s="31"/>
      <c r="U604" s="16"/>
      <c r="V604" s="16"/>
      <c r="W604" s="16"/>
      <c r="X604" s="16"/>
      <c r="Y604" s="30"/>
      <c r="Z604" s="16" t="s">
        <v>174</v>
      </c>
    </row>
    <row r="605">
      <c r="A605" s="28" t="s">
        <v>174</v>
      </c>
      <c r="B605" s="16"/>
      <c r="F605" s="45"/>
      <c r="H605" s="21"/>
      <c r="J605" s="21"/>
      <c r="M605" s="21"/>
      <c r="N605" s="21"/>
      <c r="O605" s="42"/>
      <c r="P605" s="30"/>
      <c r="R605" s="21"/>
      <c r="S605" s="31"/>
      <c r="U605" s="16"/>
      <c r="V605" s="16"/>
      <c r="W605" s="16"/>
      <c r="X605" s="16"/>
      <c r="Y605" s="30"/>
      <c r="Z605" s="16" t="s">
        <v>174</v>
      </c>
    </row>
    <row r="606">
      <c r="A606" s="28" t="s">
        <v>174</v>
      </c>
      <c r="B606" s="16"/>
      <c r="F606" s="45"/>
      <c r="H606" s="21"/>
      <c r="J606" s="21"/>
      <c r="M606" s="21"/>
      <c r="N606" s="21"/>
      <c r="O606" s="42"/>
      <c r="P606" s="30"/>
      <c r="R606" s="21"/>
      <c r="S606" s="31"/>
      <c r="U606" s="16"/>
      <c r="V606" s="16"/>
      <c r="W606" s="16"/>
      <c r="X606" s="16"/>
      <c r="Y606" s="30"/>
      <c r="Z606" s="16" t="s">
        <v>174</v>
      </c>
    </row>
    <row r="607">
      <c r="A607" s="28" t="s">
        <v>174</v>
      </c>
      <c r="B607" s="16"/>
      <c r="F607" s="45"/>
      <c r="H607" s="21"/>
      <c r="J607" s="21"/>
      <c r="M607" s="21"/>
      <c r="N607" s="21"/>
      <c r="O607" s="42"/>
      <c r="P607" s="30"/>
      <c r="R607" s="21"/>
      <c r="S607" s="31"/>
      <c r="U607" s="16"/>
      <c r="V607" s="16"/>
      <c r="W607" s="16"/>
      <c r="X607" s="16"/>
      <c r="Y607" s="30"/>
      <c r="Z607" s="16" t="s">
        <v>174</v>
      </c>
    </row>
    <row r="608">
      <c r="A608" s="28" t="s">
        <v>174</v>
      </c>
      <c r="B608" s="16"/>
      <c r="F608" s="45"/>
      <c r="H608" s="21"/>
      <c r="J608" s="21"/>
      <c r="M608" s="21"/>
      <c r="N608" s="21"/>
      <c r="O608" s="42"/>
      <c r="P608" s="30"/>
      <c r="R608" s="21"/>
      <c r="S608" s="31"/>
      <c r="U608" s="16"/>
      <c r="V608" s="16"/>
      <c r="W608" s="16"/>
      <c r="X608" s="16"/>
      <c r="Y608" s="30"/>
      <c r="Z608" s="16" t="s">
        <v>174</v>
      </c>
    </row>
    <row r="609">
      <c r="A609" s="28" t="s">
        <v>174</v>
      </c>
      <c r="B609" s="16"/>
      <c r="F609" s="45"/>
      <c r="H609" s="21"/>
      <c r="J609" s="21"/>
      <c r="M609" s="21"/>
      <c r="N609" s="21"/>
      <c r="O609" s="42"/>
      <c r="P609" s="30"/>
      <c r="R609" s="21"/>
      <c r="S609" s="31"/>
      <c r="U609" s="16"/>
      <c r="V609" s="16"/>
      <c r="W609" s="16"/>
      <c r="X609" s="16"/>
      <c r="Y609" s="30"/>
      <c r="Z609" s="16" t="s">
        <v>174</v>
      </c>
    </row>
    <row r="610">
      <c r="A610" s="28" t="s">
        <v>174</v>
      </c>
      <c r="B610" s="16"/>
      <c r="F610" s="45"/>
      <c r="H610" s="21"/>
      <c r="J610" s="21"/>
      <c r="M610" s="21"/>
      <c r="N610" s="21"/>
      <c r="O610" s="42"/>
      <c r="P610" s="30"/>
      <c r="R610" s="21"/>
      <c r="S610" s="31"/>
      <c r="U610" s="16"/>
      <c r="V610" s="16"/>
      <c r="W610" s="16"/>
      <c r="X610" s="16"/>
      <c r="Y610" s="30"/>
      <c r="Z610" s="16" t="s">
        <v>174</v>
      </c>
    </row>
    <row r="611">
      <c r="A611" s="28" t="s">
        <v>174</v>
      </c>
      <c r="B611" s="16"/>
      <c r="F611" s="45"/>
      <c r="H611" s="21"/>
      <c r="J611" s="21"/>
      <c r="M611" s="21"/>
      <c r="N611" s="21"/>
      <c r="O611" s="42"/>
      <c r="P611" s="30"/>
      <c r="R611" s="21"/>
      <c r="S611" s="31"/>
      <c r="U611" s="16"/>
      <c r="V611" s="16"/>
      <c r="W611" s="16"/>
      <c r="X611" s="16"/>
      <c r="Y611" s="30"/>
      <c r="Z611" s="16" t="s">
        <v>174</v>
      </c>
    </row>
    <row r="612">
      <c r="A612" s="28" t="s">
        <v>174</v>
      </c>
      <c r="B612" s="16"/>
      <c r="F612" s="45"/>
      <c r="H612" s="21"/>
      <c r="J612" s="21"/>
      <c r="M612" s="21"/>
      <c r="N612" s="21"/>
      <c r="O612" s="42"/>
      <c r="P612" s="30"/>
      <c r="R612" s="21"/>
      <c r="S612" s="31"/>
      <c r="U612" s="16"/>
      <c r="V612" s="16"/>
      <c r="W612" s="16"/>
      <c r="X612" s="16"/>
      <c r="Y612" s="30"/>
      <c r="Z612" s="16" t="s">
        <v>174</v>
      </c>
    </row>
    <row r="613">
      <c r="A613" s="28" t="s">
        <v>174</v>
      </c>
      <c r="B613" s="16"/>
      <c r="F613" s="45"/>
      <c r="H613" s="21"/>
      <c r="J613" s="21"/>
      <c r="M613" s="21"/>
      <c r="N613" s="21"/>
      <c r="O613" s="42"/>
      <c r="P613" s="30"/>
      <c r="R613" s="21"/>
      <c r="S613" s="31"/>
      <c r="U613" s="16"/>
      <c r="V613" s="16"/>
      <c r="W613" s="16"/>
      <c r="X613" s="16"/>
      <c r="Y613" s="30"/>
      <c r="Z613" s="16" t="s">
        <v>174</v>
      </c>
    </row>
    <row r="614">
      <c r="A614" s="28" t="s">
        <v>174</v>
      </c>
      <c r="B614" s="16"/>
      <c r="F614" s="45"/>
      <c r="H614" s="21"/>
      <c r="J614" s="21"/>
      <c r="M614" s="21"/>
      <c r="N614" s="21"/>
      <c r="O614" s="42"/>
      <c r="P614" s="30"/>
      <c r="R614" s="21"/>
      <c r="S614" s="31"/>
      <c r="U614" s="16"/>
      <c r="V614" s="16"/>
      <c r="W614" s="16"/>
      <c r="X614" s="16"/>
      <c r="Y614" s="30"/>
      <c r="Z614" s="16" t="s">
        <v>174</v>
      </c>
    </row>
    <row r="615">
      <c r="A615" s="28" t="s">
        <v>174</v>
      </c>
      <c r="B615" s="16"/>
      <c r="F615" s="45"/>
      <c r="H615" s="21"/>
      <c r="J615" s="21"/>
      <c r="M615" s="21"/>
      <c r="N615" s="21"/>
      <c r="O615" s="42"/>
      <c r="P615" s="30"/>
      <c r="R615" s="21"/>
      <c r="S615" s="31"/>
      <c r="U615" s="16"/>
      <c r="V615" s="16"/>
      <c r="W615" s="16"/>
      <c r="X615" s="16"/>
      <c r="Y615" s="30"/>
      <c r="Z615" s="16" t="s">
        <v>174</v>
      </c>
    </row>
    <row r="616">
      <c r="A616" s="28" t="s">
        <v>174</v>
      </c>
      <c r="B616" s="16"/>
      <c r="F616" s="45"/>
      <c r="H616" s="21"/>
      <c r="J616" s="21"/>
      <c r="M616" s="21"/>
      <c r="N616" s="21"/>
      <c r="O616" s="42"/>
      <c r="P616" s="30"/>
      <c r="R616" s="21"/>
      <c r="S616" s="31"/>
      <c r="U616" s="16"/>
      <c r="V616" s="16"/>
      <c r="W616" s="16"/>
      <c r="X616" s="16"/>
      <c r="Y616" s="30"/>
      <c r="Z616" s="16" t="s">
        <v>174</v>
      </c>
    </row>
    <row r="617">
      <c r="A617" s="28" t="s">
        <v>174</v>
      </c>
      <c r="B617" s="16"/>
      <c r="F617" s="45"/>
      <c r="H617" s="21"/>
      <c r="J617" s="21"/>
      <c r="M617" s="21"/>
      <c r="N617" s="21"/>
      <c r="O617" s="42"/>
      <c r="P617" s="30"/>
      <c r="R617" s="21"/>
      <c r="S617" s="31"/>
      <c r="U617" s="16"/>
      <c r="V617" s="16"/>
      <c r="W617" s="16"/>
      <c r="X617" s="16"/>
      <c r="Y617" s="30"/>
      <c r="Z617" s="16" t="s">
        <v>174</v>
      </c>
    </row>
    <row r="618">
      <c r="A618" s="28" t="s">
        <v>174</v>
      </c>
      <c r="B618" s="16"/>
      <c r="F618" s="45"/>
      <c r="H618" s="21"/>
      <c r="J618" s="21"/>
      <c r="M618" s="21"/>
      <c r="N618" s="21"/>
      <c r="O618" s="42"/>
      <c r="P618" s="30"/>
      <c r="R618" s="21"/>
      <c r="S618" s="31"/>
      <c r="U618" s="16"/>
      <c r="V618" s="16"/>
      <c r="W618" s="16"/>
      <c r="X618" s="16"/>
      <c r="Y618" s="30"/>
      <c r="Z618" s="16" t="s">
        <v>174</v>
      </c>
    </row>
    <row r="619">
      <c r="A619" s="28" t="s">
        <v>174</v>
      </c>
      <c r="B619" s="16"/>
      <c r="F619" s="45"/>
      <c r="H619" s="21"/>
      <c r="J619" s="21"/>
      <c r="M619" s="21"/>
      <c r="N619" s="21"/>
      <c r="O619" s="42"/>
      <c r="P619" s="30"/>
      <c r="R619" s="21"/>
      <c r="S619" s="31"/>
      <c r="U619" s="16"/>
      <c r="V619" s="16"/>
      <c r="W619" s="16"/>
      <c r="X619" s="16"/>
      <c r="Y619" s="30"/>
      <c r="Z619" s="16" t="s">
        <v>174</v>
      </c>
    </row>
    <row r="620">
      <c r="A620" s="28" t="s">
        <v>174</v>
      </c>
      <c r="B620" s="16"/>
      <c r="F620" s="45"/>
      <c r="H620" s="21"/>
      <c r="J620" s="21"/>
      <c r="M620" s="21"/>
      <c r="N620" s="21"/>
      <c r="O620" s="42"/>
      <c r="P620" s="30"/>
      <c r="R620" s="21"/>
      <c r="S620" s="31"/>
      <c r="U620" s="16"/>
      <c r="V620" s="16"/>
      <c r="W620" s="16"/>
      <c r="X620" s="16"/>
      <c r="Y620" s="30"/>
      <c r="Z620" s="16" t="s">
        <v>174</v>
      </c>
    </row>
    <row r="621">
      <c r="A621" s="28" t="s">
        <v>174</v>
      </c>
      <c r="B621" s="16"/>
      <c r="F621" s="45"/>
      <c r="H621" s="21"/>
      <c r="J621" s="21"/>
      <c r="M621" s="21"/>
      <c r="N621" s="21"/>
      <c r="O621" s="42"/>
      <c r="P621" s="30"/>
      <c r="R621" s="21"/>
      <c r="S621" s="31"/>
      <c r="U621" s="16"/>
      <c r="V621" s="16"/>
      <c r="W621" s="16"/>
      <c r="X621" s="16"/>
      <c r="Y621" s="30"/>
      <c r="Z621" s="16" t="s">
        <v>174</v>
      </c>
    </row>
    <row r="622">
      <c r="A622" s="28" t="s">
        <v>174</v>
      </c>
      <c r="B622" s="16"/>
      <c r="F622" s="45"/>
      <c r="H622" s="21"/>
      <c r="J622" s="21"/>
      <c r="M622" s="21"/>
      <c r="N622" s="21"/>
      <c r="O622" s="42"/>
      <c r="P622" s="30"/>
      <c r="R622" s="21"/>
      <c r="S622" s="31"/>
      <c r="U622" s="16"/>
      <c r="V622" s="16"/>
      <c r="W622" s="16"/>
      <c r="X622" s="16"/>
      <c r="Y622" s="30"/>
      <c r="Z622" s="16" t="s">
        <v>174</v>
      </c>
    </row>
    <row r="623">
      <c r="A623" s="28" t="s">
        <v>174</v>
      </c>
      <c r="B623" s="16"/>
      <c r="F623" s="45"/>
      <c r="H623" s="21"/>
      <c r="J623" s="21"/>
      <c r="M623" s="21"/>
      <c r="N623" s="21"/>
      <c r="O623" s="42"/>
      <c r="P623" s="30"/>
      <c r="R623" s="21"/>
      <c r="S623" s="31"/>
      <c r="U623" s="16"/>
      <c r="V623" s="16"/>
      <c r="W623" s="16"/>
      <c r="X623" s="16"/>
      <c r="Y623" s="30"/>
      <c r="Z623" s="16" t="s">
        <v>174</v>
      </c>
    </row>
    <row r="624">
      <c r="A624" s="28" t="s">
        <v>174</v>
      </c>
      <c r="B624" s="16"/>
      <c r="F624" s="45"/>
      <c r="H624" s="21"/>
      <c r="J624" s="21"/>
      <c r="M624" s="21"/>
      <c r="N624" s="21"/>
      <c r="O624" s="42"/>
      <c r="P624" s="30"/>
      <c r="R624" s="21"/>
      <c r="S624" s="31"/>
      <c r="U624" s="16"/>
      <c r="V624" s="16"/>
      <c r="W624" s="16"/>
      <c r="X624" s="16"/>
      <c r="Y624" s="30"/>
      <c r="Z624" s="16" t="s">
        <v>174</v>
      </c>
    </row>
    <row r="625">
      <c r="A625" s="28" t="s">
        <v>174</v>
      </c>
      <c r="B625" s="16"/>
      <c r="F625" s="45"/>
      <c r="H625" s="21"/>
      <c r="J625" s="21"/>
      <c r="M625" s="21"/>
      <c r="N625" s="21"/>
      <c r="O625" s="42"/>
      <c r="P625" s="30"/>
      <c r="R625" s="21"/>
      <c r="S625" s="31"/>
      <c r="U625" s="16"/>
      <c r="V625" s="16"/>
      <c r="W625" s="16"/>
      <c r="X625" s="16"/>
      <c r="Y625" s="30"/>
      <c r="Z625" s="16" t="s">
        <v>174</v>
      </c>
    </row>
    <row r="626">
      <c r="A626" s="28" t="s">
        <v>174</v>
      </c>
      <c r="B626" s="16"/>
      <c r="F626" s="45"/>
      <c r="H626" s="21"/>
      <c r="J626" s="21"/>
      <c r="M626" s="21"/>
      <c r="N626" s="21"/>
      <c r="O626" s="42"/>
      <c r="P626" s="30"/>
      <c r="R626" s="21"/>
      <c r="S626" s="31"/>
      <c r="U626" s="16"/>
      <c r="V626" s="16"/>
      <c r="W626" s="16"/>
      <c r="X626" s="16"/>
      <c r="Y626" s="30"/>
      <c r="Z626" s="16" t="s">
        <v>174</v>
      </c>
    </row>
    <row r="627">
      <c r="A627" s="28" t="s">
        <v>174</v>
      </c>
      <c r="B627" s="16"/>
      <c r="F627" s="45"/>
      <c r="H627" s="21"/>
      <c r="J627" s="21"/>
      <c r="M627" s="21"/>
      <c r="N627" s="21"/>
      <c r="O627" s="42"/>
      <c r="P627" s="30"/>
      <c r="R627" s="21"/>
      <c r="S627" s="31"/>
      <c r="U627" s="16"/>
      <c r="V627" s="16"/>
      <c r="W627" s="16"/>
      <c r="X627" s="16"/>
      <c r="Y627" s="30"/>
      <c r="Z627" s="16" t="s">
        <v>174</v>
      </c>
    </row>
    <row r="628">
      <c r="A628" s="28" t="s">
        <v>174</v>
      </c>
      <c r="B628" s="16"/>
      <c r="F628" s="45"/>
      <c r="H628" s="21"/>
      <c r="J628" s="21"/>
      <c r="M628" s="21"/>
      <c r="N628" s="21"/>
      <c r="O628" s="42"/>
      <c r="P628" s="30"/>
      <c r="R628" s="21"/>
      <c r="S628" s="31"/>
      <c r="U628" s="16"/>
      <c r="V628" s="16"/>
      <c r="W628" s="16"/>
      <c r="X628" s="16"/>
      <c r="Y628" s="30"/>
      <c r="Z628" s="16" t="s">
        <v>174</v>
      </c>
    </row>
    <row r="629">
      <c r="A629" s="28" t="s">
        <v>174</v>
      </c>
      <c r="B629" s="16"/>
      <c r="F629" s="45"/>
      <c r="H629" s="21"/>
      <c r="J629" s="21"/>
      <c r="M629" s="21"/>
      <c r="N629" s="21"/>
      <c r="O629" s="42"/>
      <c r="P629" s="30"/>
      <c r="R629" s="21"/>
      <c r="S629" s="31"/>
      <c r="U629" s="16"/>
      <c r="V629" s="16"/>
      <c r="W629" s="16"/>
      <c r="X629" s="16"/>
      <c r="Y629" s="30"/>
      <c r="Z629" s="16" t="s">
        <v>174</v>
      </c>
    </row>
    <row r="630">
      <c r="A630" s="28" t="s">
        <v>174</v>
      </c>
      <c r="B630" s="16"/>
      <c r="F630" s="45"/>
      <c r="H630" s="21"/>
      <c r="J630" s="21"/>
      <c r="M630" s="21"/>
      <c r="N630" s="21"/>
      <c r="O630" s="42"/>
      <c r="P630" s="30"/>
      <c r="R630" s="21"/>
      <c r="S630" s="31"/>
      <c r="U630" s="16"/>
      <c r="V630" s="16"/>
      <c r="W630" s="16"/>
      <c r="X630" s="16"/>
      <c r="Y630" s="30"/>
      <c r="Z630" s="16" t="s">
        <v>174</v>
      </c>
    </row>
    <row r="631">
      <c r="A631" s="28" t="s">
        <v>174</v>
      </c>
      <c r="B631" s="16"/>
      <c r="F631" s="45"/>
      <c r="H631" s="21"/>
      <c r="J631" s="21"/>
      <c r="M631" s="21"/>
      <c r="N631" s="21"/>
      <c r="O631" s="42"/>
      <c r="P631" s="30"/>
      <c r="R631" s="21"/>
      <c r="S631" s="31"/>
      <c r="U631" s="16"/>
      <c r="V631" s="16"/>
      <c r="W631" s="16"/>
      <c r="X631" s="16"/>
      <c r="Y631" s="30"/>
      <c r="Z631" s="16" t="s">
        <v>174</v>
      </c>
    </row>
    <row r="632">
      <c r="A632" s="28" t="s">
        <v>174</v>
      </c>
      <c r="B632" s="16"/>
      <c r="F632" s="45"/>
      <c r="H632" s="21"/>
      <c r="J632" s="21"/>
      <c r="M632" s="21"/>
      <c r="N632" s="21"/>
      <c r="O632" s="42"/>
      <c r="P632" s="30"/>
      <c r="R632" s="21"/>
      <c r="S632" s="31"/>
      <c r="U632" s="16"/>
      <c r="V632" s="16"/>
      <c r="W632" s="16"/>
      <c r="X632" s="16"/>
      <c r="Y632" s="30"/>
      <c r="Z632" s="16" t="s">
        <v>174</v>
      </c>
    </row>
    <row r="633">
      <c r="A633" s="28" t="s">
        <v>174</v>
      </c>
      <c r="B633" s="16"/>
      <c r="F633" s="45"/>
      <c r="H633" s="21"/>
      <c r="J633" s="21"/>
      <c r="M633" s="21"/>
      <c r="N633" s="21"/>
      <c r="O633" s="42"/>
      <c r="P633" s="30"/>
      <c r="R633" s="21"/>
      <c r="S633" s="31"/>
      <c r="U633" s="16"/>
      <c r="V633" s="16"/>
      <c r="W633" s="16"/>
      <c r="X633" s="16"/>
      <c r="Y633" s="30"/>
      <c r="Z633" s="16" t="s">
        <v>174</v>
      </c>
    </row>
    <row r="634">
      <c r="A634" s="28" t="s">
        <v>174</v>
      </c>
      <c r="B634" s="16"/>
      <c r="F634" s="45"/>
      <c r="H634" s="21"/>
      <c r="J634" s="21"/>
      <c r="M634" s="21"/>
      <c r="N634" s="21"/>
      <c r="O634" s="42"/>
      <c r="P634" s="30"/>
      <c r="R634" s="21"/>
      <c r="S634" s="31"/>
      <c r="U634" s="16"/>
      <c r="V634" s="16"/>
      <c r="W634" s="16"/>
      <c r="X634" s="16"/>
      <c r="Y634" s="30"/>
      <c r="Z634" s="16" t="s">
        <v>174</v>
      </c>
    </row>
    <row r="635">
      <c r="A635" s="28" t="s">
        <v>174</v>
      </c>
      <c r="B635" s="16"/>
      <c r="F635" s="45"/>
      <c r="H635" s="21"/>
      <c r="J635" s="21"/>
      <c r="M635" s="21"/>
      <c r="N635" s="21"/>
      <c r="O635" s="42"/>
      <c r="P635" s="30"/>
      <c r="R635" s="21"/>
      <c r="S635" s="31"/>
      <c r="U635" s="16"/>
      <c r="V635" s="16"/>
      <c r="W635" s="16"/>
      <c r="X635" s="16"/>
      <c r="Y635" s="30"/>
      <c r="Z635" s="16" t="s">
        <v>174</v>
      </c>
    </row>
    <row r="636">
      <c r="A636" s="28" t="s">
        <v>174</v>
      </c>
      <c r="B636" s="16"/>
      <c r="F636" s="45"/>
      <c r="H636" s="21"/>
      <c r="J636" s="21"/>
      <c r="M636" s="21"/>
      <c r="N636" s="21"/>
      <c r="O636" s="42"/>
      <c r="P636" s="30"/>
      <c r="R636" s="21"/>
      <c r="S636" s="31"/>
      <c r="U636" s="16"/>
      <c r="V636" s="16"/>
      <c r="W636" s="16"/>
      <c r="X636" s="16"/>
      <c r="Y636" s="30"/>
      <c r="Z636" s="16" t="s">
        <v>174</v>
      </c>
    </row>
    <row r="637">
      <c r="A637" s="28" t="s">
        <v>174</v>
      </c>
      <c r="B637" s="16"/>
      <c r="F637" s="45"/>
      <c r="H637" s="21"/>
      <c r="J637" s="21"/>
      <c r="M637" s="21"/>
      <c r="N637" s="21"/>
      <c r="O637" s="42"/>
      <c r="P637" s="30"/>
      <c r="R637" s="21"/>
      <c r="S637" s="31"/>
      <c r="U637" s="16"/>
      <c r="V637" s="16"/>
      <c r="W637" s="16"/>
      <c r="X637" s="16"/>
      <c r="Y637" s="30"/>
      <c r="Z637" s="16" t="s">
        <v>174</v>
      </c>
    </row>
    <row r="638">
      <c r="A638" s="28" t="s">
        <v>174</v>
      </c>
      <c r="B638" s="16"/>
      <c r="F638" s="45"/>
      <c r="H638" s="21"/>
      <c r="J638" s="21"/>
      <c r="M638" s="21"/>
      <c r="N638" s="21"/>
      <c r="O638" s="42"/>
      <c r="P638" s="30"/>
      <c r="R638" s="21"/>
      <c r="S638" s="31"/>
      <c r="U638" s="16"/>
      <c r="V638" s="16"/>
      <c r="W638" s="16"/>
      <c r="X638" s="16"/>
      <c r="Y638" s="30"/>
      <c r="Z638" s="16" t="s">
        <v>174</v>
      </c>
    </row>
    <row r="639">
      <c r="A639" s="28" t="s">
        <v>174</v>
      </c>
      <c r="B639" s="16"/>
      <c r="F639" s="45"/>
      <c r="H639" s="21"/>
      <c r="J639" s="21"/>
      <c r="M639" s="21"/>
      <c r="N639" s="21"/>
      <c r="O639" s="42"/>
      <c r="P639" s="30"/>
      <c r="R639" s="21"/>
      <c r="S639" s="31"/>
      <c r="U639" s="16"/>
      <c r="V639" s="16"/>
      <c r="W639" s="16"/>
      <c r="X639" s="16"/>
      <c r="Y639" s="30"/>
      <c r="Z639" s="16" t="s">
        <v>174</v>
      </c>
    </row>
    <row r="640">
      <c r="A640" s="28" t="s">
        <v>174</v>
      </c>
      <c r="B640" s="16"/>
      <c r="F640" s="45"/>
      <c r="H640" s="21"/>
      <c r="J640" s="21"/>
      <c r="M640" s="21"/>
      <c r="N640" s="21"/>
      <c r="O640" s="42"/>
      <c r="P640" s="30"/>
      <c r="R640" s="21"/>
      <c r="S640" s="31"/>
      <c r="U640" s="16"/>
      <c r="V640" s="16"/>
      <c r="W640" s="16"/>
      <c r="X640" s="16"/>
      <c r="Y640" s="30"/>
      <c r="Z640" s="16" t="s">
        <v>174</v>
      </c>
    </row>
    <row r="641">
      <c r="A641" s="28" t="s">
        <v>174</v>
      </c>
      <c r="B641" s="16"/>
      <c r="F641" s="45"/>
      <c r="H641" s="21"/>
      <c r="J641" s="21"/>
      <c r="M641" s="21"/>
      <c r="N641" s="21"/>
      <c r="O641" s="42"/>
      <c r="P641" s="30"/>
      <c r="R641" s="21"/>
      <c r="S641" s="31"/>
      <c r="U641" s="16"/>
      <c r="V641" s="16"/>
      <c r="W641" s="16"/>
      <c r="X641" s="16"/>
      <c r="Y641" s="30"/>
      <c r="Z641" s="16" t="s">
        <v>174</v>
      </c>
    </row>
    <row r="642">
      <c r="A642" s="28" t="s">
        <v>174</v>
      </c>
      <c r="B642" s="16"/>
      <c r="F642" s="45"/>
      <c r="H642" s="21"/>
      <c r="J642" s="21"/>
      <c r="M642" s="21"/>
      <c r="N642" s="21"/>
      <c r="O642" s="42"/>
      <c r="P642" s="30"/>
      <c r="R642" s="21"/>
      <c r="S642" s="31"/>
      <c r="U642" s="16"/>
      <c r="V642" s="16"/>
      <c r="W642" s="16"/>
      <c r="X642" s="16"/>
      <c r="Y642" s="30"/>
      <c r="Z642" s="16" t="s">
        <v>174</v>
      </c>
    </row>
    <row r="643">
      <c r="A643" s="28" t="s">
        <v>174</v>
      </c>
      <c r="B643" s="16"/>
      <c r="F643" s="45"/>
      <c r="H643" s="21"/>
      <c r="J643" s="21"/>
      <c r="M643" s="21"/>
      <c r="N643" s="21"/>
      <c r="O643" s="42"/>
      <c r="P643" s="30"/>
      <c r="R643" s="21"/>
      <c r="S643" s="31"/>
      <c r="U643" s="16"/>
      <c r="V643" s="16"/>
      <c r="W643" s="16"/>
      <c r="X643" s="16"/>
      <c r="Y643" s="30"/>
      <c r="Z643" s="16" t="s">
        <v>174</v>
      </c>
    </row>
    <row r="644">
      <c r="A644" s="28" t="s">
        <v>174</v>
      </c>
      <c r="B644" s="16"/>
      <c r="F644" s="45"/>
      <c r="H644" s="21"/>
      <c r="J644" s="21"/>
      <c r="M644" s="21"/>
      <c r="N644" s="21"/>
      <c r="O644" s="42"/>
      <c r="P644" s="30"/>
      <c r="R644" s="21"/>
      <c r="S644" s="31"/>
      <c r="U644" s="16"/>
      <c r="V644" s="16"/>
      <c r="W644" s="16"/>
      <c r="X644" s="16"/>
      <c r="Y644" s="30"/>
      <c r="Z644" s="16" t="s">
        <v>174</v>
      </c>
    </row>
    <row r="645">
      <c r="A645" s="28" t="s">
        <v>174</v>
      </c>
      <c r="B645" s="16"/>
      <c r="F645" s="45"/>
      <c r="H645" s="21"/>
      <c r="J645" s="21"/>
      <c r="M645" s="21"/>
      <c r="N645" s="21"/>
      <c r="O645" s="42"/>
      <c r="P645" s="30"/>
      <c r="R645" s="21"/>
      <c r="S645" s="31"/>
      <c r="U645" s="16"/>
      <c r="V645" s="16"/>
      <c r="W645" s="16"/>
      <c r="X645" s="16"/>
      <c r="Y645" s="30"/>
      <c r="Z645" s="16" t="s">
        <v>174</v>
      </c>
    </row>
    <row r="646">
      <c r="A646" s="28" t="s">
        <v>174</v>
      </c>
      <c r="B646" s="16"/>
      <c r="F646" s="45"/>
      <c r="H646" s="21"/>
      <c r="J646" s="21"/>
      <c r="M646" s="21"/>
      <c r="N646" s="21"/>
      <c r="O646" s="42"/>
      <c r="P646" s="30"/>
      <c r="R646" s="21"/>
      <c r="S646" s="31"/>
      <c r="U646" s="16"/>
      <c r="V646" s="16"/>
      <c r="W646" s="16"/>
      <c r="X646" s="16"/>
      <c r="Y646" s="30"/>
      <c r="Z646" s="16" t="s">
        <v>174</v>
      </c>
    </row>
    <row r="647">
      <c r="A647" s="28" t="s">
        <v>174</v>
      </c>
      <c r="B647" s="16"/>
      <c r="F647" s="45"/>
      <c r="H647" s="21"/>
      <c r="J647" s="21"/>
      <c r="M647" s="21"/>
      <c r="N647" s="21"/>
      <c r="O647" s="42"/>
      <c r="P647" s="30"/>
      <c r="R647" s="21"/>
      <c r="S647" s="31"/>
      <c r="U647" s="16"/>
      <c r="V647" s="16"/>
      <c r="W647" s="16"/>
      <c r="X647" s="16"/>
      <c r="Y647" s="30"/>
      <c r="Z647" s="16" t="s">
        <v>174</v>
      </c>
    </row>
    <row r="648">
      <c r="A648" s="28" t="s">
        <v>174</v>
      </c>
      <c r="B648" s="16"/>
      <c r="F648" s="45"/>
      <c r="H648" s="21"/>
      <c r="J648" s="21"/>
      <c r="M648" s="21"/>
      <c r="N648" s="21"/>
      <c r="O648" s="42"/>
      <c r="P648" s="30"/>
      <c r="R648" s="21"/>
      <c r="S648" s="31"/>
      <c r="U648" s="16"/>
      <c r="V648" s="16"/>
      <c r="W648" s="16"/>
      <c r="X648" s="16"/>
      <c r="Y648" s="30"/>
      <c r="Z648" s="16" t="s">
        <v>174</v>
      </c>
    </row>
    <row r="649">
      <c r="A649" s="28" t="s">
        <v>174</v>
      </c>
      <c r="B649" s="16"/>
      <c r="F649" s="45"/>
      <c r="H649" s="21"/>
      <c r="J649" s="21"/>
      <c r="M649" s="21"/>
      <c r="N649" s="21"/>
      <c r="O649" s="42"/>
      <c r="P649" s="30"/>
      <c r="R649" s="21"/>
      <c r="S649" s="31"/>
      <c r="U649" s="16"/>
      <c r="V649" s="16"/>
      <c r="W649" s="16"/>
      <c r="X649" s="16"/>
      <c r="Y649" s="30"/>
      <c r="Z649" s="16" t="s">
        <v>174</v>
      </c>
    </row>
    <row r="650">
      <c r="A650" s="28" t="s">
        <v>174</v>
      </c>
      <c r="B650" s="16"/>
      <c r="F650" s="45"/>
      <c r="H650" s="21"/>
      <c r="J650" s="21"/>
      <c r="M650" s="21"/>
      <c r="N650" s="21"/>
      <c r="O650" s="42"/>
      <c r="P650" s="30"/>
      <c r="R650" s="21"/>
      <c r="S650" s="31"/>
      <c r="U650" s="16"/>
      <c r="V650" s="16"/>
      <c r="W650" s="16"/>
      <c r="X650" s="16"/>
      <c r="Y650" s="30"/>
      <c r="Z650" s="16" t="s">
        <v>174</v>
      </c>
    </row>
    <row r="651">
      <c r="A651" s="28" t="s">
        <v>174</v>
      </c>
      <c r="B651" s="16"/>
      <c r="F651" s="45"/>
      <c r="H651" s="21"/>
      <c r="J651" s="21"/>
      <c r="M651" s="21"/>
      <c r="N651" s="21"/>
      <c r="O651" s="42"/>
      <c r="P651" s="30"/>
      <c r="R651" s="21"/>
      <c r="S651" s="31"/>
      <c r="U651" s="16"/>
      <c r="V651" s="16"/>
      <c r="W651" s="16"/>
      <c r="X651" s="16"/>
      <c r="Y651" s="30"/>
      <c r="Z651" s="16" t="s">
        <v>174</v>
      </c>
    </row>
    <row r="652">
      <c r="A652" s="28" t="s">
        <v>174</v>
      </c>
      <c r="B652" s="16"/>
      <c r="F652" s="45"/>
      <c r="H652" s="21"/>
      <c r="J652" s="21"/>
      <c r="M652" s="21"/>
      <c r="N652" s="21"/>
      <c r="O652" s="42"/>
      <c r="P652" s="30"/>
      <c r="R652" s="21"/>
      <c r="S652" s="31"/>
      <c r="U652" s="16"/>
      <c r="V652" s="16"/>
      <c r="W652" s="16"/>
      <c r="X652" s="16"/>
      <c r="Y652" s="30"/>
      <c r="Z652" s="16" t="s">
        <v>174</v>
      </c>
    </row>
    <row r="653">
      <c r="A653" s="28" t="s">
        <v>174</v>
      </c>
      <c r="B653" s="16"/>
      <c r="F653" s="45"/>
      <c r="H653" s="21"/>
      <c r="J653" s="21"/>
      <c r="M653" s="21"/>
      <c r="N653" s="21"/>
      <c r="O653" s="42"/>
      <c r="P653" s="30"/>
      <c r="R653" s="21"/>
      <c r="S653" s="31"/>
      <c r="U653" s="16"/>
      <c r="V653" s="16"/>
      <c r="W653" s="16"/>
      <c r="X653" s="16"/>
      <c r="Y653" s="30"/>
      <c r="Z653" s="16" t="s">
        <v>174</v>
      </c>
    </row>
    <row r="654">
      <c r="A654" s="28" t="s">
        <v>174</v>
      </c>
      <c r="B654" s="16"/>
      <c r="F654" s="45"/>
      <c r="H654" s="21"/>
      <c r="J654" s="21"/>
      <c r="M654" s="21"/>
      <c r="N654" s="21"/>
      <c r="O654" s="42"/>
      <c r="P654" s="30"/>
      <c r="R654" s="21"/>
      <c r="S654" s="31"/>
      <c r="U654" s="16"/>
      <c r="V654" s="16"/>
      <c r="W654" s="16"/>
      <c r="X654" s="16"/>
      <c r="Y654" s="30"/>
      <c r="Z654" s="16" t="s">
        <v>174</v>
      </c>
    </row>
    <row r="655">
      <c r="A655" s="28" t="s">
        <v>174</v>
      </c>
      <c r="B655" s="16"/>
      <c r="F655" s="45"/>
      <c r="H655" s="21"/>
      <c r="J655" s="21"/>
      <c r="M655" s="21"/>
      <c r="N655" s="21"/>
      <c r="O655" s="42"/>
      <c r="P655" s="30"/>
      <c r="R655" s="21"/>
      <c r="S655" s="31"/>
      <c r="U655" s="16"/>
      <c r="V655" s="16"/>
      <c r="W655" s="16"/>
      <c r="X655" s="16"/>
      <c r="Y655" s="30"/>
      <c r="Z655" s="16" t="s">
        <v>174</v>
      </c>
    </row>
    <row r="656">
      <c r="A656" s="28" t="s">
        <v>174</v>
      </c>
      <c r="B656" s="16"/>
      <c r="F656" s="45"/>
      <c r="H656" s="21"/>
      <c r="J656" s="21"/>
      <c r="M656" s="21"/>
      <c r="N656" s="21"/>
      <c r="O656" s="42"/>
      <c r="P656" s="30"/>
      <c r="R656" s="21"/>
      <c r="S656" s="31"/>
      <c r="U656" s="16"/>
      <c r="V656" s="16"/>
      <c r="W656" s="16"/>
      <c r="X656" s="16"/>
      <c r="Y656" s="30"/>
      <c r="Z656" s="16" t="s">
        <v>174</v>
      </c>
    </row>
    <row r="657">
      <c r="A657" s="28" t="s">
        <v>174</v>
      </c>
      <c r="B657" s="16"/>
      <c r="F657" s="45"/>
      <c r="H657" s="21"/>
      <c r="J657" s="21"/>
      <c r="M657" s="21"/>
      <c r="N657" s="21"/>
      <c r="O657" s="42"/>
      <c r="P657" s="30"/>
      <c r="R657" s="21"/>
      <c r="S657" s="31"/>
      <c r="U657" s="16"/>
      <c r="V657" s="16"/>
      <c r="W657" s="16"/>
      <c r="X657" s="16"/>
      <c r="Y657" s="30"/>
      <c r="Z657" s="16" t="s">
        <v>174</v>
      </c>
    </row>
    <row r="658">
      <c r="A658" s="28" t="s">
        <v>174</v>
      </c>
      <c r="B658" s="16"/>
      <c r="F658" s="45"/>
      <c r="H658" s="21"/>
      <c r="J658" s="21"/>
      <c r="M658" s="21"/>
      <c r="N658" s="21"/>
      <c r="O658" s="42"/>
      <c r="P658" s="30"/>
      <c r="R658" s="21"/>
      <c r="S658" s="31"/>
      <c r="U658" s="16"/>
      <c r="V658" s="16"/>
      <c r="W658" s="16"/>
      <c r="X658" s="16"/>
      <c r="Y658" s="30"/>
      <c r="Z658" s="16" t="s">
        <v>174</v>
      </c>
    </row>
    <row r="659">
      <c r="A659" s="28" t="s">
        <v>174</v>
      </c>
      <c r="B659" s="16"/>
      <c r="F659" s="45"/>
      <c r="H659" s="21"/>
      <c r="J659" s="21"/>
      <c r="M659" s="21"/>
      <c r="N659" s="21"/>
      <c r="O659" s="42"/>
      <c r="P659" s="30"/>
      <c r="R659" s="21"/>
      <c r="S659" s="31"/>
      <c r="U659" s="16"/>
      <c r="V659" s="16"/>
      <c r="W659" s="16"/>
      <c r="X659" s="16"/>
      <c r="Y659" s="30"/>
      <c r="Z659" s="16" t="s">
        <v>174</v>
      </c>
    </row>
    <row r="660">
      <c r="A660" s="28" t="s">
        <v>174</v>
      </c>
      <c r="B660" s="16"/>
      <c r="F660" s="45"/>
      <c r="H660" s="21"/>
      <c r="J660" s="21"/>
      <c r="M660" s="21"/>
      <c r="N660" s="21"/>
      <c r="O660" s="42"/>
      <c r="P660" s="30"/>
      <c r="R660" s="21"/>
      <c r="S660" s="31"/>
      <c r="U660" s="16"/>
      <c r="V660" s="16"/>
      <c r="W660" s="16"/>
      <c r="X660" s="16"/>
      <c r="Y660" s="30"/>
      <c r="Z660" s="16" t="s">
        <v>174</v>
      </c>
    </row>
    <row r="661">
      <c r="A661" s="28" t="s">
        <v>174</v>
      </c>
      <c r="B661" s="16"/>
      <c r="F661" s="45"/>
      <c r="H661" s="21"/>
      <c r="J661" s="21"/>
      <c r="M661" s="21"/>
      <c r="N661" s="21"/>
      <c r="O661" s="42"/>
      <c r="P661" s="30"/>
      <c r="R661" s="21"/>
      <c r="S661" s="31"/>
      <c r="U661" s="16"/>
      <c r="V661" s="16"/>
      <c r="W661" s="16"/>
      <c r="X661" s="16"/>
      <c r="Y661" s="30"/>
      <c r="Z661" s="16" t="s">
        <v>174</v>
      </c>
    </row>
    <row r="662">
      <c r="A662" s="28" t="s">
        <v>174</v>
      </c>
      <c r="B662" s="16"/>
      <c r="F662" s="45"/>
      <c r="H662" s="21"/>
      <c r="J662" s="21"/>
      <c r="M662" s="21"/>
      <c r="N662" s="21"/>
      <c r="O662" s="42"/>
      <c r="P662" s="30"/>
      <c r="R662" s="21"/>
      <c r="S662" s="31"/>
      <c r="U662" s="16"/>
      <c r="V662" s="16"/>
      <c r="W662" s="16"/>
      <c r="X662" s="16"/>
      <c r="Y662" s="30"/>
      <c r="Z662" s="16" t="s">
        <v>174</v>
      </c>
    </row>
    <row r="663">
      <c r="A663" s="28" t="s">
        <v>174</v>
      </c>
      <c r="B663" s="16"/>
      <c r="F663" s="45"/>
      <c r="H663" s="21"/>
      <c r="J663" s="21"/>
      <c r="M663" s="21"/>
      <c r="N663" s="21"/>
      <c r="O663" s="42"/>
      <c r="P663" s="30"/>
      <c r="R663" s="21"/>
      <c r="S663" s="31"/>
      <c r="U663" s="16"/>
      <c r="V663" s="16"/>
      <c r="W663" s="16"/>
      <c r="X663" s="16"/>
      <c r="Y663" s="30"/>
      <c r="Z663" s="16" t="s">
        <v>174</v>
      </c>
    </row>
    <row r="664">
      <c r="A664" s="28" t="s">
        <v>174</v>
      </c>
      <c r="B664" s="16"/>
      <c r="F664" s="45"/>
      <c r="H664" s="21"/>
      <c r="J664" s="21"/>
      <c r="M664" s="21"/>
      <c r="N664" s="21"/>
      <c r="O664" s="42"/>
      <c r="P664" s="30"/>
      <c r="R664" s="21"/>
      <c r="S664" s="31"/>
      <c r="U664" s="16"/>
      <c r="V664" s="16"/>
      <c r="W664" s="16"/>
      <c r="X664" s="16"/>
      <c r="Y664" s="30"/>
      <c r="Z664" s="16" t="s">
        <v>174</v>
      </c>
    </row>
    <row r="665">
      <c r="A665" s="28" t="s">
        <v>174</v>
      </c>
      <c r="B665" s="16"/>
      <c r="F665" s="45"/>
      <c r="H665" s="21"/>
      <c r="J665" s="21"/>
      <c r="M665" s="21"/>
      <c r="N665" s="21"/>
      <c r="O665" s="42"/>
      <c r="P665" s="30"/>
      <c r="R665" s="21"/>
      <c r="S665" s="31"/>
      <c r="U665" s="16"/>
      <c r="V665" s="16"/>
      <c r="W665" s="16"/>
      <c r="X665" s="16"/>
      <c r="Y665" s="30"/>
      <c r="Z665" s="16" t="s">
        <v>174</v>
      </c>
    </row>
    <row r="666">
      <c r="A666" s="28" t="s">
        <v>174</v>
      </c>
      <c r="B666" s="16"/>
      <c r="F666" s="45"/>
      <c r="H666" s="21"/>
      <c r="J666" s="21"/>
      <c r="M666" s="21"/>
      <c r="N666" s="21"/>
      <c r="O666" s="42"/>
      <c r="P666" s="30"/>
      <c r="R666" s="21"/>
      <c r="S666" s="31"/>
      <c r="U666" s="16"/>
      <c r="V666" s="16"/>
      <c r="W666" s="16"/>
      <c r="X666" s="16"/>
      <c r="Y666" s="30"/>
      <c r="Z666" s="16" t="s">
        <v>174</v>
      </c>
    </row>
    <row r="667">
      <c r="A667" s="28" t="s">
        <v>174</v>
      </c>
      <c r="B667" s="16"/>
      <c r="F667" s="45"/>
      <c r="H667" s="21"/>
      <c r="J667" s="21"/>
      <c r="M667" s="21"/>
      <c r="N667" s="21"/>
      <c r="O667" s="42"/>
      <c r="P667" s="30"/>
      <c r="R667" s="21"/>
      <c r="S667" s="31"/>
      <c r="U667" s="16"/>
      <c r="V667" s="16"/>
      <c r="W667" s="16"/>
      <c r="X667" s="16"/>
      <c r="Y667" s="30"/>
      <c r="Z667" s="16" t="s">
        <v>174</v>
      </c>
    </row>
    <row r="668">
      <c r="A668" s="28" t="s">
        <v>174</v>
      </c>
      <c r="B668" s="16"/>
      <c r="F668" s="45"/>
      <c r="H668" s="21"/>
      <c r="J668" s="21"/>
      <c r="M668" s="21"/>
      <c r="N668" s="21"/>
      <c r="O668" s="42"/>
      <c r="P668" s="30"/>
      <c r="R668" s="21"/>
      <c r="S668" s="31"/>
      <c r="U668" s="16"/>
      <c r="V668" s="16"/>
      <c r="W668" s="16"/>
      <c r="X668" s="16"/>
      <c r="Y668" s="30"/>
      <c r="Z668" s="16" t="s">
        <v>174</v>
      </c>
    </row>
    <row r="669">
      <c r="A669" s="28" t="s">
        <v>174</v>
      </c>
      <c r="B669" s="16"/>
      <c r="F669" s="45"/>
      <c r="H669" s="21"/>
      <c r="J669" s="21"/>
      <c r="M669" s="21"/>
      <c r="N669" s="21"/>
      <c r="O669" s="42"/>
      <c r="P669" s="30"/>
      <c r="R669" s="21"/>
      <c r="S669" s="31"/>
      <c r="U669" s="16"/>
      <c r="V669" s="16"/>
      <c r="W669" s="16"/>
      <c r="X669" s="16"/>
      <c r="Y669" s="30"/>
      <c r="Z669" s="16" t="s">
        <v>174</v>
      </c>
    </row>
    <row r="670">
      <c r="A670" s="28" t="s">
        <v>174</v>
      </c>
      <c r="B670" s="16"/>
      <c r="F670" s="45"/>
      <c r="H670" s="21"/>
      <c r="J670" s="21"/>
      <c r="M670" s="21"/>
      <c r="N670" s="21"/>
      <c r="O670" s="42"/>
      <c r="P670" s="30"/>
      <c r="R670" s="21"/>
      <c r="S670" s="31"/>
      <c r="U670" s="16"/>
      <c r="V670" s="16"/>
      <c r="W670" s="16"/>
      <c r="X670" s="16"/>
      <c r="Y670" s="30"/>
      <c r="Z670" s="16" t="s">
        <v>174</v>
      </c>
    </row>
    <row r="671">
      <c r="A671" s="28" t="s">
        <v>174</v>
      </c>
      <c r="B671" s="16"/>
      <c r="F671" s="45"/>
      <c r="H671" s="21"/>
      <c r="J671" s="21"/>
      <c r="M671" s="21"/>
      <c r="N671" s="21"/>
      <c r="O671" s="42"/>
      <c r="P671" s="30"/>
      <c r="R671" s="21"/>
      <c r="S671" s="31"/>
      <c r="U671" s="16"/>
      <c r="V671" s="16"/>
      <c r="W671" s="16"/>
      <c r="X671" s="16"/>
      <c r="Y671" s="30"/>
      <c r="Z671" s="16" t="s">
        <v>174</v>
      </c>
    </row>
    <row r="672">
      <c r="A672" s="28" t="s">
        <v>174</v>
      </c>
      <c r="B672" s="16"/>
      <c r="F672" s="45"/>
      <c r="H672" s="21"/>
      <c r="J672" s="21"/>
      <c r="M672" s="21"/>
      <c r="N672" s="21"/>
      <c r="O672" s="42"/>
      <c r="P672" s="30"/>
      <c r="R672" s="21"/>
      <c r="S672" s="31"/>
      <c r="U672" s="16"/>
      <c r="V672" s="16"/>
      <c r="W672" s="16"/>
      <c r="X672" s="16"/>
      <c r="Y672" s="30"/>
      <c r="Z672" s="16" t="s">
        <v>174</v>
      </c>
    </row>
    <row r="673">
      <c r="A673" s="28" t="s">
        <v>174</v>
      </c>
      <c r="B673" s="16"/>
      <c r="F673" s="45"/>
      <c r="H673" s="21"/>
      <c r="J673" s="21"/>
      <c r="M673" s="21"/>
      <c r="N673" s="21"/>
      <c r="O673" s="42"/>
      <c r="P673" s="30"/>
      <c r="R673" s="21"/>
      <c r="S673" s="31"/>
      <c r="U673" s="16"/>
      <c r="V673" s="16"/>
      <c r="W673" s="16"/>
      <c r="X673" s="16"/>
      <c r="Y673" s="30"/>
      <c r="Z673" s="16" t="s">
        <v>174</v>
      </c>
    </row>
    <row r="674">
      <c r="A674" s="28" t="s">
        <v>174</v>
      </c>
      <c r="B674" s="16"/>
      <c r="F674" s="45"/>
      <c r="H674" s="21"/>
      <c r="J674" s="21"/>
      <c r="M674" s="21"/>
      <c r="N674" s="21"/>
      <c r="O674" s="42"/>
      <c r="P674" s="30"/>
      <c r="R674" s="21"/>
      <c r="S674" s="31"/>
      <c r="U674" s="16"/>
      <c r="V674" s="16"/>
      <c r="W674" s="16"/>
      <c r="X674" s="16"/>
      <c r="Y674" s="30"/>
      <c r="Z674" s="16" t="s">
        <v>174</v>
      </c>
    </row>
    <row r="675">
      <c r="A675" s="28" t="s">
        <v>174</v>
      </c>
      <c r="B675" s="16"/>
      <c r="F675" s="45"/>
      <c r="H675" s="21"/>
      <c r="J675" s="21"/>
      <c r="M675" s="21"/>
      <c r="N675" s="21"/>
      <c r="O675" s="42"/>
      <c r="P675" s="30"/>
      <c r="R675" s="21"/>
      <c r="S675" s="31"/>
      <c r="U675" s="16"/>
      <c r="V675" s="16"/>
      <c r="W675" s="16"/>
      <c r="X675" s="16"/>
      <c r="Y675" s="30"/>
      <c r="Z675" s="16" t="s">
        <v>174</v>
      </c>
    </row>
    <row r="676">
      <c r="A676" s="28" t="s">
        <v>174</v>
      </c>
      <c r="B676" s="16"/>
      <c r="F676" s="45"/>
      <c r="H676" s="21"/>
      <c r="J676" s="21"/>
      <c r="M676" s="21"/>
      <c r="N676" s="21"/>
      <c r="O676" s="42"/>
      <c r="P676" s="30"/>
      <c r="R676" s="21"/>
      <c r="S676" s="31"/>
      <c r="U676" s="16"/>
      <c r="V676" s="16"/>
      <c r="W676" s="16"/>
      <c r="X676" s="16"/>
      <c r="Y676" s="30"/>
      <c r="Z676" s="16" t="s">
        <v>174</v>
      </c>
    </row>
    <row r="677">
      <c r="A677" s="28" t="s">
        <v>174</v>
      </c>
      <c r="B677" s="16"/>
      <c r="F677" s="45"/>
      <c r="H677" s="21"/>
      <c r="J677" s="21"/>
      <c r="M677" s="21"/>
      <c r="N677" s="21"/>
      <c r="O677" s="42"/>
      <c r="P677" s="30"/>
      <c r="R677" s="21"/>
      <c r="S677" s="31"/>
      <c r="U677" s="16"/>
      <c r="V677" s="16"/>
      <c r="W677" s="16"/>
      <c r="X677" s="16"/>
      <c r="Y677" s="30"/>
      <c r="Z677" s="16" t="s">
        <v>174</v>
      </c>
    </row>
    <row r="678">
      <c r="A678" s="28" t="s">
        <v>174</v>
      </c>
      <c r="B678" s="16"/>
      <c r="F678" s="45"/>
      <c r="H678" s="21"/>
      <c r="J678" s="21"/>
      <c r="M678" s="21"/>
      <c r="N678" s="21"/>
      <c r="O678" s="42"/>
      <c r="P678" s="30"/>
      <c r="R678" s="21"/>
      <c r="S678" s="31"/>
      <c r="U678" s="16"/>
      <c r="V678" s="16"/>
      <c r="W678" s="16"/>
      <c r="X678" s="16"/>
      <c r="Y678" s="30"/>
      <c r="Z678" s="16" t="s">
        <v>174</v>
      </c>
    </row>
    <row r="679">
      <c r="A679" s="28" t="s">
        <v>174</v>
      </c>
      <c r="B679" s="16"/>
      <c r="F679" s="45"/>
      <c r="H679" s="21"/>
      <c r="J679" s="21"/>
      <c r="M679" s="21"/>
      <c r="N679" s="21"/>
      <c r="O679" s="42"/>
      <c r="P679" s="30"/>
      <c r="R679" s="21"/>
      <c r="S679" s="31"/>
      <c r="U679" s="16"/>
      <c r="V679" s="16"/>
      <c r="W679" s="16"/>
      <c r="X679" s="16"/>
      <c r="Y679" s="30"/>
      <c r="Z679" s="16" t="s">
        <v>174</v>
      </c>
    </row>
    <row r="680">
      <c r="A680" s="28" t="s">
        <v>174</v>
      </c>
      <c r="B680" s="16"/>
      <c r="F680" s="45"/>
      <c r="H680" s="21"/>
      <c r="J680" s="21"/>
      <c r="M680" s="21"/>
      <c r="N680" s="21"/>
      <c r="O680" s="42"/>
      <c r="P680" s="30"/>
      <c r="R680" s="21"/>
      <c r="S680" s="31"/>
      <c r="U680" s="16"/>
      <c r="V680" s="16"/>
      <c r="W680" s="16"/>
      <c r="X680" s="16"/>
      <c r="Y680" s="30"/>
      <c r="Z680" s="16" t="s">
        <v>174</v>
      </c>
    </row>
    <row r="681">
      <c r="A681" s="28" t="s">
        <v>174</v>
      </c>
      <c r="B681" s="16"/>
      <c r="F681" s="45"/>
      <c r="H681" s="21"/>
      <c r="J681" s="21"/>
      <c r="M681" s="21"/>
      <c r="N681" s="21"/>
      <c r="O681" s="42"/>
      <c r="P681" s="30"/>
      <c r="R681" s="21"/>
      <c r="S681" s="31"/>
      <c r="U681" s="16"/>
      <c r="V681" s="16"/>
      <c r="W681" s="16"/>
      <c r="X681" s="16"/>
      <c r="Y681" s="30"/>
      <c r="Z681" s="16" t="s">
        <v>174</v>
      </c>
    </row>
    <row r="682">
      <c r="A682" s="28" t="s">
        <v>174</v>
      </c>
      <c r="B682" s="16"/>
      <c r="F682" s="45"/>
      <c r="H682" s="21"/>
      <c r="J682" s="21"/>
      <c r="M682" s="21"/>
      <c r="N682" s="21"/>
      <c r="O682" s="42"/>
      <c r="P682" s="30"/>
      <c r="R682" s="21"/>
      <c r="S682" s="31"/>
      <c r="U682" s="16"/>
      <c r="V682" s="16"/>
      <c r="W682" s="16"/>
      <c r="X682" s="16"/>
      <c r="Y682" s="30"/>
      <c r="Z682" s="16" t="s">
        <v>174</v>
      </c>
    </row>
    <row r="683">
      <c r="A683" s="28" t="s">
        <v>174</v>
      </c>
      <c r="B683" s="16"/>
      <c r="F683" s="45"/>
      <c r="H683" s="21"/>
      <c r="J683" s="21"/>
      <c r="M683" s="21"/>
      <c r="N683" s="21"/>
      <c r="O683" s="42"/>
      <c r="P683" s="30"/>
      <c r="R683" s="21"/>
      <c r="S683" s="31"/>
      <c r="U683" s="16"/>
      <c r="V683" s="16"/>
      <c r="W683" s="16"/>
      <c r="X683" s="16"/>
      <c r="Y683" s="30"/>
      <c r="Z683" s="16" t="s">
        <v>174</v>
      </c>
    </row>
    <row r="684">
      <c r="A684" s="28" t="s">
        <v>174</v>
      </c>
      <c r="B684" s="16"/>
      <c r="F684" s="45"/>
      <c r="H684" s="21"/>
      <c r="J684" s="21"/>
      <c r="M684" s="21"/>
      <c r="N684" s="21"/>
      <c r="O684" s="42"/>
      <c r="P684" s="30"/>
      <c r="R684" s="21"/>
      <c r="S684" s="31"/>
      <c r="U684" s="16"/>
      <c r="V684" s="16"/>
      <c r="W684" s="16"/>
      <c r="X684" s="16"/>
      <c r="Y684" s="30"/>
      <c r="Z684" s="16" t="s">
        <v>174</v>
      </c>
    </row>
    <row r="685">
      <c r="A685" s="28" t="s">
        <v>174</v>
      </c>
      <c r="B685" s="16"/>
      <c r="F685" s="45"/>
      <c r="H685" s="21"/>
      <c r="J685" s="21"/>
      <c r="M685" s="21"/>
      <c r="N685" s="21"/>
      <c r="O685" s="42"/>
      <c r="P685" s="30"/>
      <c r="R685" s="21"/>
      <c r="S685" s="31"/>
      <c r="U685" s="16"/>
      <c r="V685" s="16"/>
      <c r="W685" s="16"/>
      <c r="X685" s="16"/>
      <c r="Y685" s="30"/>
      <c r="Z685" s="16" t="s">
        <v>174</v>
      </c>
    </row>
    <row r="686">
      <c r="A686" s="28" t="s">
        <v>174</v>
      </c>
      <c r="B686" s="16"/>
      <c r="F686" s="45"/>
      <c r="H686" s="21"/>
      <c r="J686" s="21"/>
      <c r="M686" s="21"/>
      <c r="N686" s="21"/>
      <c r="O686" s="42"/>
      <c r="P686" s="30"/>
      <c r="R686" s="21"/>
      <c r="S686" s="31"/>
      <c r="U686" s="16"/>
      <c r="V686" s="16"/>
      <c r="W686" s="16"/>
      <c r="X686" s="16"/>
      <c r="Y686" s="30"/>
      <c r="Z686" s="16" t="s">
        <v>174</v>
      </c>
    </row>
    <row r="687">
      <c r="A687" s="28" t="s">
        <v>174</v>
      </c>
      <c r="B687" s="16"/>
      <c r="F687" s="45"/>
      <c r="H687" s="21"/>
      <c r="J687" s="21"/>
      <c r="M687" s="21"/>
      <c r="N687" s="21"/>
      <c r="O687" s="42"/>
      <c r="P687" s="30"/>
      <c r="R687" s="21"/>
      <c r="S687" s="31"/>
      <c r="U687" s="16"/>
      <c r="V687" s="16"/>
      <c r="W687" s="16"/>
      <c r="X687" s="16"/>
      <c r="Y687" s="30"/>
      <c r="Z687" s="16" t="s">
        <v>174</v>
      </c>
    </row>
    <row r="688">
      <c r="A688" s="28" t="s">
        <v>174</v>
      </c>
      <c r="B688" s="16"/>
      <c r="F688" s="45"/>
      <c r="H688" s="21"/>
      <c r="J688" s="21"/>
      <c r="M688" s="21"/>
      <c r="N688" s="21"/>
      <c r="O688" s="42"/>
      <c r="P688" s="30"/>
      <c r="R688" s="21"/>
      <c r="S688" s="31"/>
      <c r="U688" s="16"/>
      <c r="V688" s="16"/>
      <c r="W688" s="16"/>
      <c r="X688" s="16"/>
      <c r="Y688" s="30"/>
      <c r="Z688" s="16" t="s">
        <v>174</v>
      </c>
    </row>
    <row r="689">
      <c r="A689" s="28" t="s">
        <v>174</v>
      </c>
      <c r="B689" s="16"/>
      <c r="F689" s="45"/>
      <c r="H689" s="21"/>
      <c r="J689" s="21"/>
      <c r="M689" s="21"/>
      <c r="N689" s="21"/>
      <c r="O689" s="42"/>
      <c r="P689" s="30"/>
      <c r="R689" s="21"/>
      <c r="S689" s="31"/>
      <c r="U689" s="16"/>
      <c r="V689" s="16"/>
      <c r="W689" s="16"/>
      <c r="X689" s="16"/>
      <c r="Y689" s="30"/>
      <c r="Z689" s="16" t="s">
        <v>174</v>
      </c>
    </row>
    <row r="690">
      <c r="A690" s="28" t="s">
        <v>174</v>
      </c>
      <c r="B690" s="16"/>
      <c r="F690" s="45"/>
      <c r="H690" s="21"/>
      <c r="J690" s="21"/>
      <c r="M690" s="21"/>
      <c r="N690" s="21"/>
      <c r="O690" s="42"/>
      <c r="P690" s="30"/>
      <c r="R690" s="21"/>
      <c r="S690" s="31"/>
      <c r="U690" s="16"/>
      <c r="V690" s="16"/>
      <c r="W690" s="16"/>
      <c r="X690" s="16"/>
      <c r="Y690" s="30"/>
      <c r="Z690" s="16" t="s">
        <v>174</v>
      </c>
    </row>
    <row r="691">
      <c r="A691" s="28" t="s">
        <v>174</v>
      </c>
      <c r="B691" s="16"/>
      <c r="F691" s="45"/>
      <c r="H691" s="21"/>
      <c r="J691" s="21"/>
      <c r="M691" s="21"/>
      <c r="N691" s="21"/>
      <c r="O691" s="42"/>
      <c r="P691" s="30"/>
      <c r="R691" s="21"/>
      <c r="S691" s="31"/>
      <c r="U691" s="16"/>
      <c r="V691" s="16"/>
      <c r="W691" s="16"/>
      <c r="X691" s="16"/>
      <c r="Y691" s="30"/>
      <c r="Z691" s="16" t="s">
        <v>174</v>
      </c>
    </row>
    <row r="692">
      <c r="A692" s="28" t="s">
        <v>174</v>
      </c>
      <c r="B692" s="16"/>
      <c r="F692" s="45"/>
      <c r="H692" s="21"/>
      <c r="J692" s="21"/>
      <c r="M692" s="21"/>
      <c r="N692" s="21"/>
      <c r="O692" s="42"/>
      <c r="P692" s="30"/>
      <c r="R692" s="21"/>
      <c r="S692" s="31"/>
      <c r="U692" s="16"/>
      <c r="V692" s="16"/>
      <c r="W692" s="16"/>
      <c r="X692" s="16"/>
      <c r="Y692" s="30"/>
      <c r="Z692" s="16" t="s">
        <v>174</v>
      </c>
    </row>
    <row r="693">
      <c r="A693" s="28" t="s">
        <v>174</v>
      </c>
      <c r="B693" s="16"/>
      <c r="F693" s="45"/>
      <c r="H693" s="21"/>
      <c r="J693" s="21"/>
      <c r="M693" s="21"/>
      <c r="N693" s="21"/>
      <c r="O693" s="42"/>
      <c r="P693" s="30"/>
      <c r="R693" s="21"/>
      <c r="S693" s="31"/>
      <c r="U693" s="16"/>
      <c r="V693" s="16"/>
      <c r="W693" s="16"/>
      <c r="X693" s="16"/>
      <c r="Y693" s="30"/>
      <c r="Z693" s="16" t="s">
        <v>174</v>
      </c>
    </row>
    <row r="694">
      <c r="A694" s="28" t="s">
        <v>174</v>
      </c>
      <c r="B694" s="16"/>
      <c r="F694" s="45"/>
      <c r="H694" s="21"/>
      <c r="J694" s="21"/>
      <c r="M694" s="21"/>
      <c r="N694" s="21"/>
      <c r="O694" s="42"/>
      <c r="P694" s="30"/>
      <c r="R694" s="21"/>
      <c r="S694" s="31"/>
      <c r="U694" s="16"/>
      <c r="V694" s="16"/>
      <c r="W694" s="16"/>
      <c r="X694" s="16"/>
      <c r="Y694" s="30"/>
      <c r="Z694" s="16" t="s">
        <v>174</v>
      </c>
    </row>
    <row r="695">
      <c r="A695" s="28" t="s">
        <v>174</v>
      </c>
      <c r="B695" s="16"/>
      <c r="F695" s="45"/>
      <c r="H695" s="21"/>
      <c r="J695" s="21"/>
      <c r="M695" s="21"/>
      <c r="N695" s="21"/>
      <c r="O695" s="42"/>
      <c r="P695" s="30"/>
      <c r="R695" s="21"/>
      <c r="S695" s="31"/>
      <c r="U695" s="16"/>
      <c r="V695" s="16"/>
      <c r="W695" s="16"/>
      <c r="X695" s="16"/>
      <c r="Y695" s="30"/>
      <c r="Z695" s="16" t="s">
        <v>174</v>
      </c>
    </row>
    <row r="696">
      <c r="A696" s="28" t="s">
        <v>174</v>
      </c>
      <c r="B696" s="16"/>
      <c r="F696" s="45"/>
      <c r="H696" s="21"/>
      <c r="J696" s="21"/>
      <c r="M696" s="21"/>
      <c r="N696" s="21"/>
      <c r="O696" s="42"/>
      <c r="P696" s="30"/>
      <c r="R696" s="21"/>
      <c r="S696" s="31"/>
      <c r="U696" s="16"/>
      <c r="V696" s="16"/>
      <c r="W696" s="16"/>
      <c r="X696" s="16"/>
      <c r="Y696" s="30"/>
      <c r="Z696" s="16" t="s">
        <v>174</v>
      </c>
    </row>
    <row r="697">
      <c r="A697" s="28" t="s">
        <v>174</v>
      </c>
      <c r="B697" s="16"/>
      <c r="F697" s="45"/>
      <c r="H697" s="21"/>
      <c r="J697" s="21"/>
      <c r="M697" s="21"/>
      <c r="N697" s="21"/>
      <c r="O697" s="42"/>
      <c r="P697" s="30"/>
      <c r="R697" s="21"/>
      <c r="S697" s="31"/>
      <c r="U697" s="16"/>
      <c r="V697" s="16"/>
      <c r="W697" s="16"/>
      <c r="X697" s="16"/>
      <c r="Y697" s="30"/>
      <c r="Z697" s="16" t="s">
        <v>174</v>
      </c>
    </row>
    <row r="698">
      <c r="A698" s="28" t="s">
        <v>174</v>
      </c>
      <c r="B698" s="16"/>
      <c r="F698" s="45"/>
      <c r="H698" s="21"/>
      <c r="J698" s="21"/>
      <c r="M698" s="21"/>
      <c r="N698" s="21"/>
      <c r="O698" s="42"/>
      <c r="P698" s="30"/>
      <c r="R698" s="21"/>
      <c r="S698" s="31"/>
      <c r="U698" s="16"/>
      <c r="V698" s="16"/>
      <c r="W698" s="16"/>
      <c r="X698" s="16"/>
      <c r="Y698" s="30"/>
      <c r="Z698" s="16" t="s">
        <v>174</v>
      </c>
    </row>
    <row r="699">
      <c r="A699" s="28" t="s">
        <v>174</v>
      </c>
      <c r="B699" s="16"/>
      <c r="F699" s="45"/>
      <c r="H699" s="21"/>
      <c r="J699" s="21"/>
      <c r="M699" s="21"/>
      <c r="N699" s="21"/>
      <c r="O699" s="42"/>
      <c r="P699" s="30"/>
      <c r="R699" s="21"/>
      <c r="S699" s="31"/>
      <c r="U699" s="16"/>
      <c r="V699" s="16"/>
      <c r="W699" s="16"/>
      <c r="X699" s="16"/>
      <c r="Y699" s="30"/>
      <c r="Z699" s="16" t="s">
        <v>174</v>
      </c>
    </row>
    <row r="700">
      <c r="A700" s="28" t="s">
        <v>174</v>
      </c>
      <c r="B700" s="16"/>
      <c r="F700" s="45"/>
      <c r="H700" s="21"/>
      <c r="J700" s="21"/>
      <c r="M700" s="21"/>
      <c r="N700" s="21"/>
      <c r="O700" s="42"/>
      <c r="P700" s="30"/>
      <c r="R700" s="21"/>
      <c r="S700" s="31"/>
      <c r="U700" s="16"/>
      <c r="V700" s="16"/>
      <c r="W700" s="16"/>
      <c r="X700" s="16"/>
      <c r="Y700" s="30"/>
      <c r="Z700" s="16" t="s">
        <v>174</v>
      </c>
    </row>
    <row r="701">
      <c r="A701" s="28" t="s">
        <v>174</v>
      </c>
      <c r="B701" s="16"/>
      <c r="F701" s="45"/>
      <c r="H701" s="21"/>
      <c r="J701" s="21"/>
      <c r="M701" s="21"/>
      <c r="N701" s="21"/>
      <c r="O701" s="42"/>
      <c r="P701" s="30"/>
      <c r="R701" s="21"/>
      <c r="S701" s="31"/>
      <c r="U701" s="16"/>
      <c r="V701" s="16"/>
      <c r="W701" s="16"/>
      <c r="X701" s="16"/>
      <c r="Y701" s="30"/>
      <c r="Z701" s="16" t="s">
        <v>174</v>
      </c>
    </row>
    <row r="702">
      <c r="A702" s="28" t="s">
        <v>174</v>
      </c>
      <c r="B702" s="16"/>
      <c r="F702" s="45"/>
      <c r="H702" s="21"/>
      <c r="J702" s="21"/>
      <c r="M702" s="21"/>
      <c r="N702" s="21"/>
      <c r="O702" s="42"/>
      <c r="P702" s="30"/>
      <c r="R702" s="21"/>
      <c r="S702" s="31"/>
      <c r="U702" s="16"/>
      <c r="V702" s="16"/>
      <c r="W702" s="16"/>
      <c r="X702" s="16"/>
      <c r="Y702" s="30"/>
      <c r="Z702" s="16" t="s">
        <v>174</v>
      </c>
    </row>
    <row r="703">
      <c r="A703" s="28" t="s">
        <v>174</v>
      </c>
      <c r="B703" s="16"/>
      <c r="F703" s="45"/>
      <c r="H703" s="21"/>
      <c r="J703" s="21"/>
      <c r="M703" s="21"/>
      <c r="N703" s="21"/>
      <c r="O703" s="42"/>
      <c r="P703" s="30"/>
      <c r="R703" s="21"/>
      <c r="S703" s="31"/>
      <c r="U703" s="16"/>
      <c r="V703" s="16"/>
      <c r="W703" s="16"/>
      <c r="X703" s="16"/>
      <c r="Y703" s="30"/>
      <c r="Z703" s="16" t="s">
        <v>174</v>
      </c>
    </row>
    <row r="704">
      <c r="A704" s="28" t="s">
        <v>174</v>
      </c>
      <c r="B704" s="16"/>
      <c r="F704" s="45"/>
      <c r="H704" s="21"/>
      <c r="J704" s="21"/>
      <c r="M704" s="21"/>
      <c r="N704" s="21"/>
      <c r="O704" s="42"/>
      <c r="P704" s="30"/>
      <c r="R704" s="21"/>
      <c r="S704" s="31"/>
      <c r="U704" s="16"/>
      <c r="V704" s="16"/>
      <c r="W704" s="16"/>
      <c r="X704" s="16"/>
      <c r="Y704" s="30"/>
      <c r="Z704" s="16" t="s">
        <v>174</v>
      </c>
    </row>
    <row r="705">
      <c r="A705" s="28" t="s">
        <v>174</v>
      </c>
      <c r="B705" s="16"/>
      <c r="F705" s="45"/>
      <c r="H705" s="21"/>
      <c r="J705" s="21"/>
      <c r="M705" s="21"/>
      <c r="N705" s="21"/>
      <c r="O705" s="42"/>
      <c r="P705" s="30"/>
      <c r="R705" s="21"/>
      <c r="S705" s="31"/>
      <c r="U705" s="16"/>
      <c r="V705" s="16"/>
      <c r="W705" s="16"/>
      <c r="X705" s="16"/>
      <c r="Y705" s="30"/>
      <c r="Z705" s="16" t="s">
        <v>174</v>
      </c>
    </row>
    <row r="706">
      <c r="A706" s="28" t="s">
        <v>174</v>
      </c>
      <c r="B706" s="16"/>
      <c r="F706" s="45"/>
      <c r="H706" s="21"/>
      <c r="J706" s="21"/>
      <c r="M706" s="21"/>
      <c r="N706" s="21"/>
      <c r="O706" s="42"/>
      <c r="P706" s="30"/>
      <c r="R706" s="21"/>
      <c r="S706" s="31"/>
      <c r="U706" s="16"/>
      <c r="V706" s="16"/>
      <c r="W706" s="16"/>
      <c r="X706" s="16"/>
      <c r="Y706" s="30"/>
      <c r="Z706" s="16" t="s">
        <v>174</v>
      </c>
    </row>
    <row r="707">
      <c r="A707" s="28" t="s">
        <v>174</v>
      </c>
      <c r="B707" s="16"/>
      <c r="F707" s="45"/>
      <c r="H707" s="21"/>
      <c r="J707" s="21"/>
      <c r="M707" s="21"/>
      <c r="N707" s="21"/>
      <c r="O707" s="42"/>
      <c r="P707" s="30"/>
      <c r="R707" s="21"/>
      <c r="S707" s="31"/>
      <c r="U707" s="16"/>
      <c r="V707" s="16"/>
      <c r="W707" s="16"/>
      <c r="X707" s="16"/>
      <c r="Y707" s="30"/>
      <c r="Z707" s="16" t="s">
        <v>174</v>
      </c>
    </row>
    <row r="708">
      <c r="A708" s="28" t="s">
        <v>174</v>
      </c>
      <c r="B708" s="16"/>
      <c r="F708" s="45"/>
      <c r="H708" s="21"/>
      <c r="J708" s="21"/>
      <c r="M708" s="21"/>
      <c r="N708" s="21"/>
      <c r="O708" s="42"/>
      <c r="P708" s="30"/>
      <c r="R708" s="21"/>
      <c r="S708" s="31"/>
      <c r="U708" s="16"/>
      <c r="V708" s="16"/>
      <c r="W708" s="16"/>
      <c r="X708" s="16"/>
      <c r="Y708" s="30"/>
      <c r="Z708" s="16" t="s">
        <v>174</v>
      </c>
    </row>
    <row r="709">
      <c r="A709" s="28" t="s">
        <v>174</v>
      </c>
      <c r="B709" s="16"/>
      <c r="F709" s="45"/>
      <c r="H709" s="21"/>
      <c r="J709" s="21"/>
      <c r="M709" s="21"/>
      <c r="N709" s="21"/>
      <c r="O709" s="42"/>
      <c r="P709" s="30"/>
      <c r="R709" s="21"/>
      <c r="S709" s="31"/>
      <c r="U709" s="16"/>
      <c r="V709" s="16"/>
      <c r="W709" s="16"/>
      <c r="X709" s="16"/>
      <c r="Y709" s="30"/>
      <c r="Z709" s="16" t="s">
        <v>174</v>
      </c>
    </row>
    <row r="710">
      <c r="A710" s="28" t="s">
        <v>174</v>
      </c>
      <c r="B710" s="16"/>
      <c r="F710" s="45"/>
      <c r="H710" s="21"/>
      <c r="J710" s="21"/>
      <c r="M710" s="21"/>
      <c r="N710" s="21"/>
      <c r="O710" s="42"/>
      <c r="P710" s="30"/>
      <c r="R710" s="21"/>
      <c r="S710" s="31"/>
      <c r="U710" s="16"/>
      <c r="V710" s="16"/>
      <c r="W710" s="16"/>
      <c r="X710" s="16"/>
      <c r="Y710" s="30"/>
      <c r="Z710" s="16" t="s">
        <v>174</v>
      </c>
    </row>
    <row r="711">
      <c r="A711" s="28" t="s">
        <v>174</v>
      </c>
      <c r="B711" s="16"/>
      <c r="F711" s="45"/>
      <c r="H711" s="21"/>
      <c r="J711" s="21"/>
      <c r="M711" s="21"/>
      <c r="N711" s="21"/>
      <c r="O711" s="42"/>
      <c r="P711" s="30"/>
      <c r="R711" s="21"/>
      <c r="S711" s="31"/>
      <c r="U711" s="16"/>
      <c r="V711" s="16"/>
      <c r="W711" s="16"/>
      <c r="X711" s="16"/>
      <c r="Y711" s="30"/>
      <c r="Z711" s="16" t="s">
        <v>174</v>
      </c>
    </row>
    <row r="712">
      <c r="A712" s="28" t="s">
        <v>174</v>
      </c>
      <c r="B712" s="16"/>
      <c r="F712" s="45"/>
      <c r="H712" s="21"/>
      <c r="J712" s="21"/>
      <c r="M712" s="21"/>
      <c r="N712" s="21"/>
      <c r="O712" s="42"/>
      <c r="P712" s="30"/>
      <c r="R712" s="21"/>
      <c r="S712" s="31"/>
      <c r="U712" s="16"/>
      <c r="V712" s="16"/>
      <c r="W712" s="16"/>
      <c r="X712" s="16"/>
      <c r="Y712" s="30"/>
      <c r="Z712" s="16" t="s">
        <v>174</v>
      </c>
    </row>
    <row r="713">
      <c r="A713" s="28" t="s">
        <v>174</v>
      </c>
      <c r="B713" s="16"/>
      <c r="F713" s="45"/>
      <c r="H713" s="21"/>
      <c r="J713" s="21"/>
      <c r="M713" s="21"/>
      <c r="N713" s="21"/>
      <c r="O713" s="42"/>
      <c r="P713" s="30"/>
      <c r="R713" s="21"/>
      <c r="S713" s="31"/>
      <c r="U713" s="16"/>
      <c r="V713" s="16"/>
      <c r="W713" s="16"/>
      <c r="X713" s="16"/>
      <c r="Y713" s="30"/>
      <c r="Z713" s="16" t="s">
        <v>174</v>
      </c>
    </row>
    <row r="714">
      <c r="A714" s="28" t="s">
        <v>174</v>
      </c>
      <c r="B714" s="16"/>
      <c r="F714" s="45"/>
      <c r="H714" s="21"/>
      <c r="J714" s="21"/>
      <c r="M714" s="21"/>
      <c r="N714" s="21"/>
      <c r="O714" s="42"/>
      <c r="P714" s="30"/>
      <c r="R714" s="21"/>
      <c r="S714" s="31"/>
      <c r="U714" s="16"/>
      <c r="V714" s="16"/>
      <c r="W714" s="16"/>
      <c r="X714" s="16"/>
      <c r="Y714" s="30"/>
      <c r="Z714" s="16" t="s">
        <v>174</v>
      </c>
    </row>
    <row r="715">
      <c r="A715" s="28" t="s">
        <v>174</v>
      </c>
      <c r="B715" s="16"/>
      <c r="F715" s="45"/>
      <c r="H715" s="21"/>
      <c r="J715" s="21"/>
      <c r="M715" s="21"/>
      <c r="N715" s="21"/>
      <c r="O715" s="42"/>
      <c r="P715" s="30"/>
      <c r="R715" s="21"/>
      <c r="S715" s="31"/>
      <c r="U715" s="16"/>
      <c r="V715" s="16"/>
      <c r="W715" s="16"/>
      <c r="X715" s="16"/>
      <c r="Y715" s="30"/>
      <c r="Z715" s="16" t="s">
        <v>174</v>
      </c>
    </row>
    <row r="716">
      <c r="A716" s="28" t="s">
        <v>174</v>
      </c>
      <c r="B716" s="16"/>
      <c r="F716" s="45"/>
      <c r="H716" s="21"/>
      <c r="J716" s="21"/>
      <c r="M716" s="21"/>
      <c r="N716" s="21"/>
      <c r="O716" s="42"/>
      <c r="P716" s="30"/>
      <c r="R716" s="21"/>
      <c r="S716" s="31"/>
      <c r="U716" s="16"/>
      <c r="V716" s="16"/>
      <c r="W716" s="16"/>
      <c r="X716" s="16"/>
      <c r="Y716" s="30"/>
      <c r="Z716" s="16" t="s">
        <v>174</v>
      </c>
    </row>
    <row r="717">
      <c r="A717" s="28" t="s">
        <v>174</v>
      </c>
      <c r="B717" s="16"/>
      <c r="F717" s="45"/>
      <c r="H717" s="21"/>
      <c r="J717" s="21"/>
      <c r="M717" s="21"/>
      <c r="N717" s="21"/>
      <c r="O717" s="42"/>
      <c r="P717" s="30"/>
      <c r="R717" s="21"/>
      <c r="S717" s="31"/>
      <c r="U717" s="16"/>
      <c r="V717" s="16"/>
      <c r="W717" s="16"/>
      <c r="X717" s="16"/>
      <c r="Y717" s="30"/>
      <c r="Z717" s="16" t="s">
        <v>174</v>
      </c>
    </row>
    <row r="718">
      <c r="A718" s="28" t="s">
        <v>174</v>
      </c>
      <c r="B718" s="16"/>
      <c r="F718" s="45"/>
      <c r="H718" s="21"/>
      <c r="J718" s="21"/>
      <c r="M718" s="21"/>
      <c r="N718" s="21"/>
      <c r="O718" s="42"/>
      <c r="P718" s="30"/>
      <c r="R718" s="21"/>
      <c r="S718" s="31"/>
      <c r="U718" s="16"/>
      <c r="V718" s="16"/>
      <c r="W718" s="16"/>
      <c r="X718" s="16"/>
      <c r="Y718" s="30"/>
      <c r="Z718" s="16" t="s">
        <v>174</v>
      </c>
    </row>
    <row r="719">
      <c r="A719" s="28" t="s">
        <v>174</v>
      </c>
      <c r="B719" s="16"/>
      <c r="F719" s="45"/>
      <c r="H719" s="21"/>
      <c r="J719" s="21"/>
      <c r="M719" s="21"/>
      <c r="N719" s="21"/>
      <c r="O719" s="42"/>
      <c r="P719" s="30"/>
      <c r="R719" s="21"/>
      <c r="S719" s="31"/>
      <c r="U719" s="16"/>
      <c r="V719" s="16"/>
      <c r="W719" s="16"/>
      <c r="X719" s="16"/>
      <c r="Y719" s="30"/>
      <c r="Z719" s="16" t="s">
        <v>174</v>
      </c>
    </row>
    <row r="720">
      <c r="A720" s="28" t="s">
        <v>174</v>
      </c>
      <c r="B720" s="16"/>
      <c r="F720" s="45"/>
      <c r="H720" s="21"/>
      <c r="J720" s="21"/>
      <c r="M720" s="21"/>
      <c r="N720" s="21"/>
      <c r="O720" s="42"/>
      <c r="P720" s="30"/>
      <c r="R720" s="21"/>
      <c r="S720" s="31"/>
      <c r="U720" s="16"/>
      <c r="V720" s="16"/>
      <c r="W720" s="16"/>
      <c r="X720" s="16"/>
      <c r="Y720" s="30"/>
      <c r="Z720" s="16" t="s">
        <v>174</v>
      </c>
    </row>
    <row r="721">
      <c r="A721" s="28" t="s">
        <v>174</v>
      </c>
      <c r="B721" s="16"/>
      <c r="F721" s="45"/>
      <c r="H721" s="21"/>
      <c r="J721" s="21"/>
      <c r="M721" s="21"/>
      <c r="N721" s="21"/>
      <c r="O721" s="42"/>
      <c r="P721" s="30"/>
      <c r="R721" s="21"/>
      <c r="S721" s="31"/>
      <c r="U721" s="16"/>
      <c r="V721" s="16"/>
      <c r="W721" s="16"/>
      <c r="X721" s="16"/>
      <c r="Y721" s="30"/>
      <c r="Z721" s="16" t="s">
        <v>174</v>
      </c>
    </row>
    <row r="722">
      <c r="A722" s="28" t="s">
        <v>174</v>
      </c>
      <c r="B722" s="16"/>
      <c r="F722" s="45"/>
      <c r="H722" s="21"/>
      <c r="J722" s="21"/>
      <c r="M722" s="21"/>
      <c r="N722" s="21"/>
      <c r="O722" s="42"/>
      <c r="P722" s="30"/>
      <c r="R722" s="21"/>
      <c r="S722" s="31"/>
      <c r="U722" s="16"/>
      <c r="V722" s="16"/>
      <c r="W722" s="16"/>
      <c r="X722" s="16"/>
      <c r="Y722" s="30"/>
      <c r="Z722" s="16" t="s">
        <v>174</v>
      </c>
    </row>
    <row r="723">
      <c r="A723" s="28" t="s">
        <v>174</v>
      </c>
      <c r="B723" s="16"/>
      <c r="F723" s="45"/>
      <c r="H723" s="21"/>
      <c r="J723" s="21"/>
      <c r="M723" s="21"/>
      <c r="N723" s="21"/>
      <c r="O723" s="42"/>
      <c r="P723" s="30"/>
      <c r="R723" s="21"/>
      <c r="S723" s="31"/>
      <c r="U723" s="16"/>
      <c r="V723" s="16"/>
      <c r="W723" s="16"/>
      <c r="X723" s="16"/>
      <c r="Y723" s="30"/>
      <c r="Z723" s="16" t="s">
        <v>174</v>
      </c>
    </row>
    <row r="724">
      <c r="A724" s="28" t="s">
        <v>174</v>
      </c>
      <c r="B724" s="16"/>
      <c r="F724" s="45"/>
      <c r="H724" s="21"/>
      <c r="J724" s="21"/>
      <c r="M724" s="21"/>
      <c r="N724" s="21"/>
      <c r="O724" s="42"/>
      <c r="P724" s="30"/>
      <c r="R724" s="21"/>
      <c r="S724" s="31"/>
      <c r="U724" s="16"/>
      <c r="V724" s="16"/>
      <c r="W724" s="16"/>
      <c r="X724" s="16"/>
      <c r="Y724" s="30"/>
      <c r="Z724" s="16" t="s">
        <v>174</v>
      </c>
    </row>
    <row r="725">
      <c r="A725" s="28" t="s">
        <v>174</v>
      </c>
      <c r="B725" s="16"/>
      <c r="F725" s="45"/>
      <c r="H725" s="21"/>
      <c r="J725" s="21"/>
      <c r="M725" s="21"/>
      <c r="N725" s="21"/>
      <c r="O725" s="42"/>
      <c r="P725" s="30"/>
      <c r="R725" s="21"/>
      <c r="S725" s="31"/>
      <c r="U725" s="16"/>
      <c r="V725" s="16"/>
      <c r="W725" s="16"/>
      <c r="X725" s="16"/>
      <c r="Y725" s="30"/>
      <c r="Z725" s="16" t="s">
        <v>174</v>
      </c>
    </row>
    <row r="726">
      <c r="A726" s="28" t="s">
        <v>174</v>
      </c>
      <c r="B726" s="16"/>
      <c r="F726" s="45"/>
      <c r="H726" s="21"/>
      <c r="J726" s="21"/>
      <c r="M726" s="21"/>
      <c r="N726" s="21"/>
      <c r="O726" s="42"/>
      <c r="P726" s="30"/>
      <c r="R726" s="21"/>
      <c r="S726" s="31"/>
      <c r="U726" s="16"/>
      <c r="V726" s="16"/>
      <c r="W726" s="16"/>
      <c r="X726" s="16"/>
      <c r="Y726" s="30"/>
      <c r="Z726" s="16" t="s">
        <v>174</v>
      </c>
    </row>
    <row r="727">
      <c r="A727" s="28" t="s">
        <v>174</v>
      </c>
      <c r="B727" s="16"/>
      <c r="F727" s="45"/>
      <c r="H727" s="21"/>
      <c r="J727" s="21"/>
      <c r="M727" s="21"/>
      <c r="N727" s="21"/>
      <c r="O727" s="42"/>
      <c r="P727" s="30"/>
      <c r="R727" s="21"/>
      <c r="S727" s="31"/>
      <c r="U727" s="16"/>
      <c r="V727" s="16"/>
      <c r="W727" s="16"/>
      <c r="X727" s="16"/>
      <c r="Y727" s="30"/>
      <c r="Z727" s="16" t="s">
        <v>174</v>
      </c>
    </row>
    <row r="728">
      <c r="A728" s="28" t="s">
        <v>174</v>
      </c>
      <c r="B728" s="16"/>
      <c r="F728" s="45"/>
      <c r="H728" s="21"/>
      <c r="J728" s="21"/>
      <c r="M728" s="21"/>
      <c r="N728" s="21"/>
      <c r="O728" s="42"/>
      <c r="P728" s="30"/>
      <c r="R728" s="21"/>
      <c r="S728" s="31"/>
      <c r="U728" s="16"/>
      <c r="V728" s="16"/>
      <c r="W728" s="16"/>
      <c r="X728" s="16"/>
      <c r="Y728" s="30"/>
      <c r="Z728" s="16" t="s">
        <v>174</v>
      </c>
    </row>
    <row r="729">
      <c r="A729" s="28" t="s">
        <v>174</v>
      </c>
      <c r="B729" s="16"/>
      <c r="F729" s="45"/>
      <c r="H729" s="21"/>
      <c r="J729" s="21"/>
      <c r="M729" s="21"/>
      <c r="N729" s="21"/>
      <c r="O729" s="42"/>
      <c r="P729" s="30"/>
      <c r="R729" s="21"/>
      <c r="S729" s="31"/>
      <c r="U729" s="16"/>
      <c r="V729" s="16"/>
      <c r="W729" s="16"/>
      <c r="X729" s="16"/>
      <c r="Y729" s="30"/>
      <c r="Z729" s="16" t="s">
        <v>174</v>
      </c>
    </row>
    <row r="730">
      <c r="A730" s="28" t="s">
        <v>174</v>
      </c>
      <c r="B730" s="16"/>
      <c r="F730" s="45"/>
      <c r="H730" s="21"/>
      <c r="J730" s="21"/>
      <c r="M730" s="21"/>
      <c r="N730" s="21"/>
      <c r="O730" s="42"/>
      <c r="P730" s="30"/>
      <c r="R730" s="21"/>
      <c r="S730" s="31"/>
      <c r="U730" s="16"/>
      <c r="V730" s="16"/>
      <c r="W730" s="16"/>
      <c r="X730" s="16"/>
      <c r="Y730" s="30"/>
      <c r="Z730" s="16" t="s">
        <v>174</v>
      </c>
    </row>
    <row r="731">
      <c r="A731" s="28" t="s">
        <v>174</v>
      </c>
      <c r="B731" s="16"/>
      <c r="F731" s="45"/>
      <c r="H731" s="21"/>
      <c r="J731" s="21"/>
      <c r="M731" s="21"/>
      <c r="N731" s="21"/>
      <c r="O731" s="42"/>
      <c r="P731" s="30"/>
      <c r="R731" s="21"/>
      <c r="S731" s="31"/>
      <c r="U731" s="16"/>
      <c r="V731" s="16"/>
      <c r="W731" s="16"/>
      <c r="X731" s="16"/>
      <c r="Y731" s="30"/>
      <c r="Z731" s="16" t="s">
        <v>174</v>
      </c>
    </row>
    <row r="732">
      <c r="A732" s="28" t="s">
        <v>174</v>
      </c>
      <c r="B732" s="16"/>
      <c r="F732" s="45"/>
      <c r="H732" s="21"/>
      <c r="J732" s="21"/>
      <c r="M732" s="21"/>
      <c r="N732" s="21"/>
      <c r="O732" s="42"/>
      <c r="P732" s="30"/>
      <c r="R732" s="21"/>
      <c r="S732" s="31"/>
      <c r="U732" s="16"/>
      <c r="V732" s="16"/>
      <c r="W732" s="16"/>
      <c r="X732" s="16"/>
      <c r="Y732" s="30"/>
      <c r="Z732" s="16" t="s">
        <v>174</v>
      </c>
    </row>
    <row r="733">
      <c r="A733" s="28" t="s">
        <v>174</v>
      </c>
      <c r="B733" s="16"/>
      <c r="F733" s="45"/>
      <c r="H733" s="21"/>
      <c r="J733" s="21"/>
      <c r="M733" s="21"/>
      <c r="N733" s="21"/>
      <c r="O733" s="42"/>
      <c r="P733" s="30"/>
      <c r="R733" s="21"/>
      <c r="S733" s="31"/>
      <c r="U733" s="16"/>
      <c r="V733" s="16"/>
      <c r="W733" s="16"/>
      <c r="X733" s="16"/>
      <c r="Y733" s="30"/>
      <c r="Z733" s="16" t="s">
        <v>174</v>
      </c>
    </row>
    <row r="734">
      <c r="A734" s="28" t="s">
        <v>174</v>
      </c>
      <c r="B734" s="16"/>
      <c r="F734" s="45"/>
      <c r="H734" s="21"/>
      <c r="J734" s="21"/>
      <c r="M734" s="21"/>
      <c r="N734" s="21"/>
      <c r="O734" s="42"/>
      <c r="P734" s="30"/>
      <c r="R734" s="21"/>
      <c r="S734" s="31"/>
      <c r="U734" s="16"/>
      <c r="V734" s="16"/>
      <c r="W734" s="16"/>
      <c r="X734" s="16"/>
      <c r="Y734" s="30"/>
      <c r="Z734" s="16" t="s">
        <v>174</v>
      </c>
    </row>
    <row r="735">
      <c r="A735" s="28" t="s">
        <v>174</v>
      </c>
      <c r="B735" s="16"/>
      <c r="F735" s="45"/>
      <c r="H735" s="21"/>
      <c r="J735" s="21"/>
      <c r="M735" s="21"/>
      <c r="N735" s="21"/>
      <c r="O735" s="42"/>
      <c r="P735" s="30"/>
      <c r="R735" s="21"/>
      <c r="S735" s="31"/>
      <c r="U735" s="16"/>
      <c r="V735" s="16"/>
      <c r="W735" s="16"/>
      <c r="X735" s="16"/>
      <c r="Y735" s="30"/>
      <c r="Z735" s="16" t="s">
        <v>174</v>
      </c>
    </row>
    <row r="736">
      <c r="A736" s="28" t="s">
        <v>174</v>
      </c>
      <c r="B736" s="16"/>
      <c r="F736" s="45"/>
      <c r="H736" s="21"/>
      <c r="J736" s="21"/>
      <c r="M736" s="21"/>
      <c r="N736" s="21"/>
      <c r="O736" s="42"/>
      <c r="P736" s="30"/>
      <c r="R736" s="21"/>
      <c r="S736" s="31"/>
      <c r="U736" s="16"/>
      <c r="V736" s="16"/>
      <c r="W736" s="16"/>
      <c r="X736" s="16"/>
      <c r="Y736" s="30"/>
      <c r="Z736" s="16" t="s">
        <v>174</v>
      </c>
    </row>
    <row r="737">
      <c r="A737" s="28" t="s">
        <v>174</v>
      </c>
      <c r="B737" s="16"/>
      <c r="F737" s="45"/>
      <c r="H737" s="21"/>
      <c r="J737" s="21"/>
      <c r="M737" s="21"/>
      <c r="N737" s="21"/>
      <c r="O737" s="42"/>
      <c r="P737" s="30"/>
      <c r="R737" s="21"/>
      <c r="S737" s="31"/>
      <c r="U737" s="16"/>
      <c r="V737" s="16"/>
      <c r="W737" s="16"/>
      <c r="X737" s="16"/>
      <c r="Y737" s="30"/>
      <c r="Z737" s="16" t="s">
        <v>174</v>
      </c>
    </row>
    <row r="738">
      <c r="A738" s="28" t="s">
        <v>174</v>
      </c>
      <c r="B738" s="16"/>
      <c r="F738" s="45"/>
      <c r="H738" s="21"/>
      <c r="J738" s="21"/>
      <c r="M738" s="21"/>
      <c r="N738" s="21"/>
      <c r="O738" s="42"/>
      <c r="P738" s="30"/>
      <c r="R738" s="21"/>
      <c r="S738" s="31"/>
      <c r="U738" s="16"/>
      <c r="V738" s="16"/>
      <c r="W738" s="16"/>
      <c r="X738" s="16"/>
      <c r="Y738" s="30"/>
      <c r="Z738" s="16" t="s">
        <v>174</v>
      </c>
    </row>
    <row r="739">
      <c r="A739" s="28" t="s">
        <v>174</v>
      </c>
      <c r="B739" s="16"/>
      <c r="F739" s="45"/>
      <c r="H739" s="21"/>
      <c r="J739" s="21"/>
      <c r="M739" s="21"/>
      <c r="N739" s="21"/>
      <c r="O739" s="42"/>
      <c r="P739" s="30"/>
      <c r="R739" s="21"/>
      <c r="S739" s="31"/>
      <c r="U739" s="16"/>
      <c r="V739" s="16"/>
      <c r="W739" s="16"/>
      <c r="X739" s="16"/>
      <c r="Y739" s="30"/>
      <c r="Z739" s="16" t="s">
        <v>174</v>
      </c>
    </row>
    <row r="740">
      <c r="A740" s="28" t="s">
        <v>174</v>
      </c>
      <c r="B740" s="16"/>
      <c r="F740" s="45"/>
      <c r="H740" s="21"/>
      <c r="J740" s="21"/>
      <c r="M740" s="21"/>
      <c r="N740" s="21"/>
      <c r="O740" s="42"/>
      <c r="P740" s="30"/>
      <c r="R740" s="21"/>
      <c r="S740" s="31"/>
      <c r="U740" s="16"/>
      <c r="V740" s="16"/>
      <c r="W740" s="16"/>
      <c r="X740" s="16"/>
      <c r="Y740" s="30"/>
      <c r="Z740" s="16" t="s">
        <v>174</v>
      </c>
    </row>
    <row r="741">
      <c r="A741" s="28" t="s">
        <v>174</v>
      </c>
      <c r="B741" s="16"/>
      <c r="F741" s="45"/>
      <c r="H741" s="21"/>
      <c r="J741" s="21"/>
      <c r="M741" s="21"/>
      <c r="N741" s="21"/>
      <c r="O741" s="42"/>
      <c r="P741" s="30"/>
      <c r="R741" s="21"/>
      <c r="S741" s="31"/>
      <c r="U741" s="16"/>
      <c r="V741" s="16"/>
      <c r="W741" s="16"/>
      <c r="X741" s="16"/>
      <c r="Y741" s="30"/>
      <c r="Z741" s="16" t="s">
        <v>174</v>
      </c>
    </row>
    <row r="742">
      <c r="A742" s="28" t="s">
        <v>174</v>
      </c>
      <c r="B742" s="16"/>
      <c r="F742" s="45"/>
      <c r="H742" s="21"/>
      <c r="J742" s="21"/>
      <c r="M742" s="21"/>
      <c r="N742" s="21"/>
      <c r="O742" s="42"/>
      <c r="P742" s="30"/>
      <c r="R742" s="21"/>
      <c r="S742" s="31"/>
      <c r="U742" s="16"/>
      <c r="V742" s="16"/>
      <c r="W742" s="16"/>
      <c r="X742" s="16"/>
      <c r="Y742" s="30"/>
      <c r="Z742" s="16" t="s">
        <v>174</v>
      </c>
    </row>
    <row r="743">
      <c r="A743" s="28" t="s">
        <v>174</v>
      </c>
      <c r="B743" s="16"/>
      <c r="F743" s="45"/>
      <c r="H743" s="21"/>
      <c r="J743" s="21"/>
      <c r="M743" s="21"/>
      <c r="N743" s="21"/>
      <c r="O743" s="42"/>
      <c r="P743" s="30"/>
      <c r="R743" s="21"/>
      <c r="S743" s="31"/>
      <c r="U743" s="16"/>
      <c r="V743" s="16"/>
      <c r="W743" s="16"/>
      <c r="X743" s="16"/>
      <c r="Y743" s="30"/>
      <c r="Z743" s="16" t="s">
        <v>174</v>
      </c>
    </row>
    <row r="744">
      <c r="A744" s="28" t="s">
        <v>174</v>
      </c>
      <c r="B744" s="16"/>
      <c r="F744" s="45"/>
      <c r="H744" s="21"/>
      <c r="J744" s="21"/>
      <c r="M744" s="21"/>
      <c r="N744" s="21"/>
      <c r="O744" s="42"/>
      <c r="P744" s="30"/>
      <c r="R744" s="21"/>
      <c r="S744" s="31"/>
      <c r="U744" s="16"/>
      <c r="V744" s="16"/>
      <c r="W744" s="16"/>
      <c r="X744" s="16"/>
      <c r="Y744" s="30"/>
      <c r="Z744" s="16" t="s">
        <v>174</v>
      </c>
    </row>
    <row r="745">
      <c r="A745" s="28" t="s">
        <v>174</v>
      </c>
      <c r="B745" s="16"/>
      <c r="F745" s="45"/>
      <c r="H745" s="21"/>
      <c r="J745" s="21"/>
      <c r="M745" s="21"/>
      <c r="N745" s="21"/>
      <c r="O745" s="42"/>
      <c r="P745" s="30"/>
      <c r="R745" s="21"/>
      <c r="S745" s="31"/>
      <c r="U745" s="16"/>
      <c r="V745" s="16"/>
      <c r="W745" s="16"/>
      <c r="X745" s="16"/>
      <c r="Y745" s="30"/>
      <c r="Z745" s="16" t="s">
        <v>174</v>
      </c>
    </row>
    <row r="746">
      <c r="A746" s="28" t="s">
        <v>174</v>
      </c>
      <c r="B746" s="16"/>
      <c r="F746" s="45"/>
      <c r="H746" s="21"/>
      <c r="J746" s="21"/>
      <c r="M746" s="21"/>
      <c r="N746" s="21"/>
      <c r="O746" s="42"/>
      <c r="P746" s="30"/>
      <c r="R746" s="21"/>
      <c r="S746" s="31"/>
      <c r="U746" s="16"/>
      <c r="V746" s="16"/>
      <c r="W746" s="16"/>
      <c r="X746" s="16"/>
      <c r="Y746" s="30"/>
      <c r="Z746" s="16" t="s">
        <v>174</v>
      </c>
    </row>
    <row r="747">
      <c r="A747" s="28" t="s">
        <v>174</v>
      </c>
      <c r="B747" s="16"/>
      <c r="F747" s="45"/>
      <c r="H747" s="21"/>
      <c r="J747" s="21"/>
      <c r="M747" s="21"/>
      <c r="N747" s="21"/>
      <c r="O747" s="42"/>
      <c r="P747" s="30"/>
      <c r="R747" s="21"/>
      <c r="S747" s="31"/>
      <c r="U747" s="16"/>
      <c r="V747" s="16"/>
      <c r="W747" s="16"/>
      <c r="X747" s="16"/>
      <c r="Y747" s="30"/>
      <c r="Z747" s="16" t="s">
        <v>174</v>
      </c>
    </row>
    <row r="748">
      <c r="A748" s="28" t="s">
        <v>174</v>
      </c>
      <c r="B748" s="16"/>
      <c r="F748" s="45"/>
      <c r="H748" s="21"/>
      <c r="J748" s="21"/>
      <c r="M748" s="21"/>
      <c r="N748" s="21"/>
      <c r="O748" s="42"/>
      <c r="P748" s="30"/>
      <c r="R748" s="21"/>
      <c r="S748" s="31"/>
      <c r="U748" s="16"/>
      <c r="V748" s="16"/>
      <c r="W748" s="16"/>
      <c r="X748" s="16"/>
      <c r="Y748" s="30"/>
      <c r="Z748" s="16" t="s">
        <v>174</v>
      </c>
    </row>
    <row r="749">
      <c r="A749" s="28" t="s">
        <v>174</v>
      </c>
      <c r="B749" s="16"/>
      <c r="F749" s="45"/>
      <c r="H749" s="21"/>
      <c r="J749" s="21"/>
      <c r="M749" s="21"/>
      <c r="N749" s="21"/>
      <c r="O749" s="42"/>
      <c r="P749" s="30"/>
      <c r="R749" s="21"/>
      <c r="S749" s="31"/>
      <c r="U749" s="16"/>
      <c r="V749" s="16"/>
      <c r="W749" s="16"/>
      <c r="X749" s="16"/>
      <c r="Y749" s="30"/>
      <c r="Z749" s="16" t="s">
        <v>174</v>
      </c>
    </row>
    <row r="750">
      <c r="A750" s="28" t="s">
        <v>174</v>
      </c>
      <c r="B750" s="16"/>
      <c r="F750" s="45"/>
      <c r="H750" s="21"/>
      <c r="J750" s="21"/>
      <c r="M750" s="21"/>
      <c r="N750" s="21"/>
      <c r="O750" s="42"/>
      <c r="P750" s="30"/>
      <c r="R750" s="21"/>
      <c r="S750" s="31"/>
      <c r="U750" s="16"/>
      <c r="V750" s="16"/>
      <c r="W750" s="16"/>
      <c r="X750" s="16"/>
      <c r="Y750" s="30"/>
      <c r="Z750" s="16" t="s">
        <v>174</v>
      </c>
    </row>
    <row r="751">
      <c r="A751" s="28" t="s">
        <v>174</v>
      </c>
      <c r="B751" s="16"/>
      <c r="F751" s="45"/>
      <c r="H751" s="21"/>
      <c r="J751" s="21"/>
      <c r="M751" s="21"/>
      <c r="N751" s="21"/>
      <c r="O751" s="42"/>
      <c r="P751" s="30"/>
      <c r="R751" s="21"/>
      <c r="S751" s="31"/>
      <c r="U751" s="16"/>
      <c r="V751" s="16"/>
      <c r="W751" s="16"/>
      <c r="X751" s="16"/>
      <c r="Y751" s="30"/>
      <c r="Z751" s="16" t="s">
        <v>174</v>
      </c>
    </row>
    <row r="752">
      <c r="A752" s="28" t="s">
        <v>174</v>
      </c>
      <c r="B752" s="16"/>
      <c r="F752" s="45"/>
      <c r="H752" s="21"/>
      <c r="J752" s="21"/>
      <c r="M752" s="21"/>
      <c r="N752" s="21"/>
      <c r="O752" s="42"/>
      <c r="P752" s="30"/>
      <c r="R752" s="21"/>
      <c r="S752" s="31"/>
      <c r="U752" s="16"/>
      <c r="V752" s="16"/>
      <c r="W752" s="16"/>
      <c r="X752" s="16"/>
      <c r="Y752" s="30"/>
      <c r="Z752" s="16" t="s">
        <v>174</v>
      </c>
    </row>
    <row r="753">
      <c r="A753" s="28" t="s">
        <v>174</v>
      </c>
      <c r="B753" s="16"/>
      <c r="F753" s="45"/>
      <c r="H753" s="21"/>
      <c r="J753" s="21"/>
      <c r="M753" s="21"/>
      <c r="N753" s="21"/>
      <c r="O753" s="42"/>
      <c r="P753" s="30"/>
      <c r="R753" s="21"/>
      <c r="S753" s="31"/>
      <c r="U753" s="16"/>
      <c r="V753" s="16"/>
      <c r="W753" s="16"/>
      <c r="X753" s="16"/>
      <c r="Y753" s="30"/>
      <c r="Z753" s="16" t="s">
        <v>174</v>
      </c>
    </row>
    <row r="754">
      <c r="A754" s="28" t="s">
        <v>174</v>
      </c>
      <c r="B754" s="16"/>
      <c r="F754" s="45"/>
      <c r="H754" s="21"/>
      <c r="J754" s="21"/>
      <c r="M754" s="21"/>
      <c r="N754" s="21"/>
      <c r="O754" s="42"/>
      <c r="P754" s="30"/>
      <c r="R754" s="21"/>
      <c r="S754" s="31"/>
      <c r="U754" s="16"/>
      <c r="V754" s="16"/>
      <c r="W754" s="16"/>
      <c r="X754" s="16"/>
      <c r="Y754" s="30"/>
      <c r="Z754" s="16" t="s">
        <v>174</v>
      </c>
    </row>
    <row r="755">
      <c r="A755" s="28" t="s">
        <v>174</v>
      </c>
      <c r="B755" s="16"/>
      <c r="F755" s="45"/>
      <c r="H755" s="21"/>
      <c r="J755" s="21"/>
      <c r="M755" s="21"/>
      <c r="N755" s="21"/>
      <c r="O755" s="42"/>
      <c r="P755" s="30"/>
      <c r="R755" s="21"/>
      <c r="S755" s="31"/>
      <c r="U755" s="16"/>
      <c r="V755" s="16"/>
      <c r="W755" s="16"/>
      <c r="X755" s="16"/>
      <c r="Y755" s="30"/>
      <c r="Z755" s="16" t="s">
        <v>174</v>
      </c>
    </row>
    <row r="756">
      <c r="A756" s="28" t="s">
        <v>174</v>
      </c>
      <c r="B756" s="16"/>
      <c r="F756" s="45"/>
      <c r="H756" s="21"/>
      <c r="J756" s="21"/>
      <c r="M756" s="21"/>
      <c r="N756" s="21"/>
      <c r="O756" s="42"/>
      <c r="P756" s="30"/>
      <c r="R756" s="21"/>
      <c r="S756" s="31"/>
      <c r="U756" s="16"/>
      <c r="V756" s="16"/>
      <c r="W756" s="16"/>
      <c r="X756" s="16"/>
      <c r="Y756" s="30"/>
      <c r="Z756" s="16" t="s">
        <v>174</v>
      </c>
    </row>
    <row r="757">
      <c r="A757" s="28" t="s">
        <v>174</v>
      </c>
      <c r="B757" s="16"/>
      <c r="F757" s="45"/>
      <c r="H757" s="21"/>
      <c r="J757" s="21"/>
      <c r="M757" s="21"/>
      <c r="N757" s="21"/>
      <c r="O757" s="42"/>
      <c r="P757" s="30"/>
      <c r="R757" s="21"/>
      <c r="S757" s="31"/>
      <c r="U757" s="16"/>
      <c r="V757" s="16"/>
      <c r="W757" s="16"/>
      <c r="X757" s="16"/>
      <c r="Y757" s="30"/>
      <c r="Z757" s="16" t="s">
        <v>174</v>
      </c>
    </row>
    <row r="758">
      <c r="A758" s="28" t="s">
        <v>174</v>
      </c>
      <c r="B758" s="16"/>
      <c r="F758" s="45"/>
      <c r="H758" s="21"/>
      <c r="J758" s="21"/>
      <c r="M758" s="21"/>
      <c r="N758" s="21"/>
      <c r="O758" s="42"/>
      <c r="P758" s="30"/>
      <c r="R758" s="21"/>
      <c r="S758" s="31"/>
      <c r="U758" s="16"/>
      <c r="V758" s="16"/>
      <c r="W758" s="16"/>
      <c r="X758" s="16"/>
      <c r="Y758" s="30"/>
      <c r="Z758" s="16" t="s">
        <v>174</v>
      </c>
    </row>
    <row r="759">
      <c r="A759" s="28" t="s">
        <v>174</v>
      </c>
      <c r="B759" s="16"/>
      <c r="F759" s="45"/>
      <c r="H759" s="21"/>
      <c r="J759" s="21"/>
      <c r="M759" s="21"/>
      <c r="N759" s="21"/>
      <c r="O759" s="42"/>
      <c r="P759" s="30"/>
      <c r="R759" s="21"/>
      <c r="S759" s="31"/>
      <c r="U759" s="16"/>
      <c r="V759" s="16"/>
      <c r="W759" s="16"/>
      <c r="X759" s="16"/>
      <c r="Y759" s="30"/>
      <c r="Z759" s="16" t="s">
        <v>174</v>
      </c>
    </row>
    <row r="760">
      <c r="A760" s="28" t="s">
        <v>174</v>
      </c>
      <c r="B760" s="16"/>
      <c r="F760" s="45"/>
      <c r="H760" s="21"/>
      <c r="J760" s="21"/>
      <c r="M760" s="21"/>
      <c r="N760" s="21"/>
      <c r="O760" s="42"/>
      <c r="P760" s="30"/>
      <c r="R760" s="21"/>
      <c r="S760" s="31"/>
      <c r="U760" s="16"/>
      <c r="V760" s="16"/>
      <c r="W760" s="16"/>
      <c r="X760" s="16"/>
      <c r="Y760" s="30"/>
      <c r="Z760" s="16" t="s">
        <v>174</v>
      </c>
    </row>
    <row r="761">
      <c r="A761" s="28" t="s">
        <v>174</v>
      </c>
      <c r="B761" s="16"/>
      <c r="F761" s="45"/>
      <c r="H761" s="21"/>
      <c r="J761" s="21"/>
      <c r="M761" s="21"/>
      <c r="N761" s="21"/>
      <c r="O761" s="42"/>
      <c r="P761" s="30"/>
      <c r="R761" s="21"/>
      <c r="S761" s="31"/>
      <c r="U761" s="16"/>
      <c r="V761" s="16"/>
      <c r="W761" s="16"/>
      <c r="X761" s="16"/>
      <c r="Y761" s="30"/>
      <c r="Z761" s="16" t="s">
        <v>174</v>
      </c>
    </row>
    <row r="762">
      <c r="A762" s="28" t="s">
        <v>174</v>
      </c>
      <c r="B762" s="16"/>
      <c r="F762" s="45"/>
      <c r="H762" s="21"/>
      <c r="J762" s="21"/>
      <c r="M762" s="21"/>
      <c r="N762" s="21"/>
      <c r="O762" s="42"/>
      <c r="P762" s="30"/>
      <c r="R762" s="21"/>
      <c r="S762" s="31"/>
      <c r="U762" s="16"/>
      <c r="V762" s="16"/>
      <c r="W762" s="16"/>
      <c r="X762" s="16"/>
      <c r="Y762" s="30"/>
      <c r="Z762" s="16" t="s">
        <v>174</v>
      </c>
    </row>
    <row r="763">
      <c r="A763" s="28" t="s">
        <v>174</v>
      </c>
      <c r="B763" s="16"/>
      <c r="F763" s="45"/>
      <c r="H763" s="21"/>
      <c r="J763" s="21"/>
      <c r="M763" s="21"/>
      <c r="N763" s="21"/>
      <c r="O763" s="42"/>
      <c r="P763" s="30"/>
      <c r="R763" s="21"/>
      <c r="S763" s="31"/>
      <c r="U763" s="16"/>
      <c r="V763" s="16"/>
      <c r="W763" s="16"/>
      <c r="X763" s="16"/>
      <c r="Y763" s="30"/>
      <c r="Z763" s="16" t="s">
        <v>174</v>
      </c>
    </row>
    <row r="764">
      <c r="A764" s="28" t="s">
        <v>174</v>
      </c>
      <c r="B764" s="16"/>
      <c r="F764" s="45"/>
      <c r="H764" s="21"/>
      <c r="J764" s="21"/>
      <c r="M764" s="21"/>
      <c r="N764" s="21"/>
      <c r="O764" s="42"/>
      <c r="P764" s="30"/>
      <c r="R764" s="21"/>
      <c r="S764" s="31"/>
      <c r="U764" s="16"/>
      <c r="V764" s="16"/>
      <c r="W764" s="16"/>
      <c r="X764" s="16"/>
      <c r="Y764" s="30"/>
      <c r="Z764" s="16" t="s">
        <v>174</v>
      </c>
    </row>
    <row r="765">
      <c r="A765" s="28" t="s">
        <v>174</v>
      </c>
      <c r="B765" s="16"/>
      <c r="F765" s="45"/>
      <c r="H765" s="21"/>
      <c r="J765" s="21"/>
      <c r="M765" s="21"/>
      <c r="N765" s="21"/>
      <c r="O765" s="42"/>
      <c r="P765" s="30"/>
      <c r="R765" s="21"/>
      <c r="S765" s="31"/>
      <c r="U765" s="16"/>
      <c r="V765" s="16"/>
      <c r="W765" s="16"/>
      <c r="X765" s="16"/>
      <c r="Y765" s="30"/>
      <c r="Z765" s="16" t="s">
        <v>174</v>
      </c>
    </row>
    <row r="766">
      <c r="A766" s="28" t="s">
        <v>174</v>
      </c>
      <c r="B766" s="16"/>
      <c r="F766" s="45"/>
      <c r="H766" s="21"/>
      <c r="J766" s="21"/>
      <c r="M766" s="21"/>
      <c r="N766" s="21"/>
      <c r="O766" s="42"/>
      <c r="P766" s="30"/>
      <c r="R766" s="21"/>
      <c r="S766" s="31"/>
      <c r="U766" s="16"/>
      <c r="V766" s="16"/>
      <c r="W766" s="16"/>
      <c r="X766" s="16"/>
      <c r="Y766" s="30"/>
      <c r="Z766" s="16" t="s">
        <v>174</v>
      </c>
    </row>
    <row r="767">
      <c r="A767" s="28" t="s">
        <v>174</v>
      </c>
      <c r="B767" s="16"/>
      <c r="F767" s="45"/>
      <c r="H767" s="21"/>
      <c r="J767" s="21"/>
      <c r="M767" s="21"/>
      <c r="N767" s="21"/>
      <c r="O767" s="42"/>
      <c r="P767" s="30"/>
      <c r="R767" s="21"/>
      <c r="S767" s="31"/>
      <c r="U767" s="16"/>
      <c r="V767" s="16"/>
      <c r="W767" s="16"/>
      <c r="X767" s="16"/>
      <c r="Y767" s="30"/>
      <c r="Z767" s="16" t="s">
        <v>174</v>
      </c>
    </row>
    <row r="768">
      <c r="A768" s="28" t="s">
        <v>174</v>
      </c>
      <c r="B768" s="16"/>
      <c r="F768" s="45"/>
      <c r="H768" s="21"/>
      <c r="J768" s="21"/>
      <c r="M768" s="21"/>
      <c r="N768" s="21"/>
      <c r="O768" s="42"/>
      <c r="P768" s="30"/>
      <c r="R768" s="21"/>
      <c r="S768" s="31"/>
      <c r="U768" s="16"/>
      <c r="V768" s="16"/>
      <c r="W768" s="16"/>
      <c r="X768" s="16"/>
      <c r="Y768" s="30"/>
      <c r="Z768" s="16" t="s">
        <v>174</v>
      </c>
    </row>
    <row r="769">
      <c r="A769" s="28" t="s">
        <v>174</v>
      </c>
      <c r="B769" s="16"/>
      <c r="F769" s="45"/>
      <c r="H769" s="21"/>
      <c r="J769" s="21"/>
      <c r="M769" s="21"/>
      <c r="N769" s="21"/>
      <c r="O769" s="42"/>
      <c r="P769" s="30"/>
      <c r="R769" s="21"/>
      <c r="S769" s="31"/>
      <c r="U769" s="16"/>
      <c r="V769" s="16"/>
      <c r="W769" s="16"/>
      <c r="X769" s="16"/>
      <c r="Y769" s="30"/>
      <c r="Z769" s="16" t="s">
        <v>174</v>
      </c>
    </row>
    <row r="770">
      <c r="A770" s="28" t="s">
        <v>174</v>
      </c>
      <c r="B770" s="16"/>
      <c r="F770" s="45"/>
      <c r="H770" s="21"/>
      <c r="J770" s="21"/>
      <c r="M770" s="21"/>
      <c r="N770" s="21"/>
      <c r="O770" s="42"/>
      <c r="P770" s="30"/>
      <c r="R770" s="21"/>
      <c r="S770" s="31"/>
      <c r="U770" s="16"/>
      <c r="V770" s="16"/>
      <c r="W770" s="16"/>
      <c r="X770" s="16"/>
      <c r="Y770" s="30"/>
      <c r="Z770" s="16" t="s">
        <v>174</v>
      </c>
    </row>
    <row r="771">
      <c r="A771" s="28" t="s">
        <v>174</v>
      </c>
      <c r="B771" s="16"/>
      <c r="F771" s="45"/>
      <c r="H771" s="21"/>
      <c r="J771" s="21"/>
      <c r="M771" s="21"/>
      <c r="N771" s="21"/>
      <c r="O771" s="42"/>
      <c r="P771" s="30"/>
      <c r="R771" s="21"/>
      <c r="S771" s="31"/>
      <c r="U771" s="16"/>
      <c r="V771" s="16"/>
      <c r="W771" s="16"/>
      <c r="X771" s="16"/>
      <c r="Y771" s="30"/>
      <c r="Z771" s="16" t="s">
        <v>174</v>
      </c>
    </row>
    <row r="772">
      <c r="A772" s="28" t="s">
        <v>174</v>
      </c>
      <c r="B772" s="16"/>
      <c r="F772" s="45"/>
      <c r="H772" s="21"/>
      <c r="J772" s="21"/>
      <c r="M772" s="21"/>
      <c r="N772" s="21"/>
      <c r="O772" s="42"/>
      <c r="P772" s="30"/>
      <c r="R772" s="21"/>
      <c r="S772" s="31"/>
      <c r="U772" s="16"/>
      <c r="V772" s="16"/>
      <c r="W772" s="16"/>
      <c r="X772" s="16"/>
      <c r="Y772" s="30"/>
      <c r="Z772" s="16" t="s">
        <v>174</v>
      </c>
    </row>
    <row r="773">
      <c r="A773" s="28" t="s">
        <v>174</v>
      </c>
      <c r="B773" s="16"/>
      <c r="F773" s="45"/>
      <c r="H773" s="21"/>
      <c r="J773" s="21"/>
      <c r="M773" s="21"/>
      <c r="N773" s="21"/>
      <c r="O773" s="42"/>
      <c r="P773" s="30"/>
      <c r="R773" s="21"/>
      <c r="S773" s="31"/>
      <c r="U773" s="16"/>
      <c r="V773" s="16"/>
      <c r="W773" s="16"/>
      <c r="X773" s="16"/>
      <c r="Y773" s="30"/>
      <c r="Z773" s="16" t="s">
        <v>174</v>
      </c>
    </row>
    <row r="774">
      <c r="A774" s="28" t="s">
        <v>174</v>
      </c>
      <c r="B774" s="16"/>
      <c r="F774" s="45"/>
      <c r="H774" s="21"/>
      <c r="J774" s="21"/>
      <c r="M774" s="21"/>
      <c r="N774" s="21"/>
      <c r="O774" s="42"/>
      <c r="P774" s="30"/>
      <c r="R774" s="21"/>
      <c r="S774" s="31"/>
      <c r="U774" s="16"/>
      <c r="V774" s="16"/>
      <c r="W774" s="16"/>
      <c r="X774" s="16"/>
      <c r="Y774" s="30"/>
      <c r="Z774" s="16" t="s">
        <v>174</v>
      </c>
    </row>
    <row r="775">
      <c r="A775" s="28" t="s">
        <v>174</v>
      </c>
      <c r="B775" s="16"/>
      <c r="F775" s="45"/>
      <c r="H775" s="21"/>
      <c r="J775" s="21"/>
      <c r="M775" s="21"/>
      <c r="N775" s="21"/>
      <c r="O775" s="42"/>
      <c r="P775" s="30"/>
      <c r="R775" s="21"/>
      <c r="S775" s="31"/>
      <c r="U775" s="16"/>
      <c r="V775" s="16"/>
      <c r="W775" s="16"/>
      <c r="X775" s="16"/>
      <c r="Y775" s="30"/>
      <c r="Z775" s="16" t="s">
        <v>174</v>
      </c>
    </row>
    <row r="776">
      <c r="A776" s="28" t="s">
        <v>174</v>
      </c>
      <c r="B776" s="16"/>
      <c r="F776" s="45"/>
      <c r="H776" s="21"/>
      <c r="J776" s="21"/>
      <c r="M776" s="21"/>
      <c r="N776" s="21"/>
      <c r="O776" s="42"/>
      <c r="P776" s="30"/>
      <c r="R776" s="21"/>
      <c r="S776" s="31"/>
      <c r="U776" s="16"/>
      <c r="V776" s="16"/>
      <c r="W776" s="16"/>
      <c r="X776" s="16"/>
      <c r="Y776" s="30"/>
      <c r="Z776" s="16" t="s">
        <v>174</v>
      </c>
    </row>
    <row r="777">
      <c r="A777" s="28" t="s">
        <v>174</v>
      </c>
      <c r="B777" s="16"/>
      <c r="F777" s="45"/>
      <c r="H777" s="21"/>
      <c r="J777" s="21"/>
      <c r="M777" s="21"/>
      <c r="N777" s="21"/>
      <c r="O777" s="42"/>
      <c r="P777" s="30"/>
      <c r="R777" s="21"/>
      <c r="S777" s="31"/>
      <c r="U777" s="16"/>
      <c r="V777" s="16"/>
      <c r="W777" s="16"/>
      <c r="X777" s="16"/>
      <c r="Y777" s="30"/>
      <c r="Z777" s="16" t="s">
        <v>174</v>
      </c>
    </row>
    <row r="778">
      <c r="A778" s="28" t="s">
        <v>174</v>
      </c>
      <c r="B778" s="16"/>
      <c r="F778" s="45"/>
      <c r="H778" s="21"/>
      <c r="J778" s="21"/>
      <c r="M778" s="21"/>
      <c r="N778" s="21"/>
      <c r="O778" s="42"/>
      <c r="P778" s="30"/>
      <c r="R778" s="21"/>
      <c r="S778" s="31"/>
      <c r="U778" s="16"/>
      <c r="V778" s="16"/>
      <c r="W778" s="16"/>
      <c r="X778" s="16"/>
      <c r="Y778" s="30"/>
      <c r="Z778" s="16" t="s">
        <v>174</v>
      </c>
    </row>
    <row r="779">
      <c r="A779" s="28" t="s">
        <v>174</v>
      </c>
      <c r="B779" s="16"/>
      <c r="F779" s="45"/>
      <c r="H779" s="21"/>
      <c r="J779" s="21"/>
      <c r="M779" s="21"/>
      <c r="N779" s="21"/>
      <c r="O779" s="42"/>
      <c r="P779" s="30"/>
      <c r="R779" s="21"/>
      <c r="S779" s="31"/>
      <c r="U779" s="16"/>
      <c r="V779" s="16"/>
      <c r="W779" s="16"/>
      <c r="X779" s="16"/>
      <c r="Y779" s="30"/>
      <c r="Z779" s="16" t="s">
        <v>174</v>
      </c>
    </row>
    <row r="780">
      <c r="A780" s="28" t="s">
        <v>174</v>
      </c>
      <c r="B780" s="16"/>
      <c r="F780" s="45"/>
      <c r="H780" s="21"/>
      <c r="J780" s="21"/>
      <c r="M780" s="21"/>
      <c r="N780" s="21"/>
      <c r="O780" s="42"/>
      <c r="P780" s="30"/>
      <c r="R780" s="21"/>
      <c r="S780" s="31"/>
      <c r="U780" s="16"/>
      <c r="V780" s="16"/>
      <c r="W780" s="16"/>
      <c r="X780" s="16"/>
      <c r="Y780" s="30"/>
      <c r="Z780" s="16" t="s">
        <v>174</v>
      </c>
    </row>
    <row r="781">
      <c r="A781" s="28" t="s">
        <v>174</v>
      </c>
      <c r="B781" s="16"/>
      <c r="F781" s="45"/>
      <c r="H781" s="21"/>
      <c r="J781" s="21"/>
      <c r="M781" s="21"/>
      <c r="N781" s="21"/>
      <c r="O781" s="42"/>
      <c r="P781" s="30"/>
      <c r="R781" s="21"/>
      <c r="S781" s="31"/>
      <c r="U781" s="16"/>
      <c r="V781" s="16"/>
      <c r="W781" s="16"/>
      <c r="X781" s="16"/>
      <c r="Y781" s="30"/>
      <c r="Z781" s="16" t="s">
        <v>174</v>
      </c>
    </row>
    <row r="782">
      <c r="A782" s="28" t="s">
        <v>174</v>
      </c>
      <c r="B782" s="16"/>
      <c r="F782" s="45"/>
      <c r="H782" s="21"/>
      <c r="J782" s="21"/>
      <c r="M782" s="21"/>
      <c r="N782" s="21"/>
      <c r="O782" s="42"/>
      <c r="P782" s="30"/>
      <c r="R782" s="21"/>
      <c r="S782" s="31"/>
      <c r="U782" s="16"/>
      <c r="V782" s="16"/>
      <c r="W782" s="16"/>
      <c r="X782" s="16"/>
      <c r="Y782" s="30"/>
      <c r="Z782" s="16" t="s">
        <v>174</v>
      </c>
    </row>
    <row r="783">
      <c r="A783" s="28" t="s">
        <v>174</v>
      </c>
      <c r="B783" s="16"/>
      <c r="F783" s="45"/>
      <c r="H783" s="21"/>
      <c r="J783" s="21"/>
      <c r="M783" s="21"/>
      <c r="N783" s="21"/>
      <c r="O783" s="42"/>
      <c r="P783" s="30"/>
      <c r="R783" s="21"/>
      <c r="S783" s="31"/>
      <c r="U783" s="16"/>
      <c r="V783" s="16"/>
      <c r="W783" s="16"/>
      <c r="X783" s="16"/>
      <c r="Y783" s="30"/>
      <c r="Z783" s="16" t="s">
        <v>174</v>
      </c>
    </row>
    <row r="784">
      <c r="A784" s="28" t="s">
        <v>174</v>
      </c>
      <c r="B784" s="16"/>
      <c r="F784" s="45"/>
      <c r="H784" s="21"/>
      <c r="J784" s="21"/>
      <c r="M784" s="21"/>
      <c r="N784" s="21"/>
      <c r="O784" s="42"/>
      <c r="P784" s="30"/>
      <c r="R784" s="21"/>
      <c r="S784" s="31"/>
      <c r="U784" s="16"/>
      <c r="V784" s="16"/>
      <c r="W784" s="16"/>
      <c r="X784" s="16"/>
      <c r="Y784" s="30"/>
      <c r="Z784" s="16" t="s">
        <v>174</v>
      </c>
    </row>
    <row r="785">
      <c r="A785" s="28" t="s">
        <v>174</v>
      </c>
      <c r="B785" s="16"/>
      <c r="F785" s="45"/>
      <c r="H785" s="21"/>
      <c r="J785" s="21"/>
      <c r="M785" s="21"/>
      <c r="N785" s="21"/>
      <c r="O785" s="42"/>
      <c r="P785" s="30"/>
      <c r="R785" s="21"/>
      <c r="S785" s="31"/>
      <c r="U785" s="16"/>
      <c r="V785" s="16"/>
      <c r="W785" s="16"/>
      <c r="X785" s="16"/>
      <c r="Y785" s="30"/>
      <c r="Z785" s="16" t="s">
        <v>174</v>
      </c>
    </row>
    <row r="786">
      <c r="A786" s="28" t="s">
        <v>174</v>
      </c>
      <c r="B786" s="16"/>
      <c r="F786" s="45"/>
      <c r="H786" s="21"/>
      <c r="J786" s="21"/>
      <c r="M786" s="21"/>
      <c r="N786" s="21"/>
      <c r="O786" s="42"/>
      <c r="P786" s="30"/>
      <c r="R786" s="21"/>
      <c r="S786" s="31"/>
      <c r="U786" s="16"/>
      <c r="V786" s="16"/>
      <c r="W786" s="16"/>
      <c r="X786" s="16"/>
      <c r="Y786" s="30"/>
      <c r="Z786" s="16" t="s">
        <v>174</v>
      </c>
    </row>
    <row r="787">
      <c r="A787" s="28" t="s">
        <v>174</v>
      </c>
      <c r="B787" s="16"/>
      <c r="F787" s="45"/>
      <c r="H787" s="21"/>
      <c r="J787" s="21"/>
      <c r="M787" s="21"/>
      <c r="N787" s="21"/>
      <c r="O787" s="42"/>
      <c r="P787" s="30"/>
      <c r="R787" s="21"/>
      <c r="S787" s="31"/>
      <c r="U787" s="16"/>
      <c r="V787" s="16"/>
      <c r="W787" s="16"/>
      <c r="X787" s="16"/>
      <c r="Y787" s="30"/>
      <c r="Z787" s="16" t="s">
        <v>174</v>
      </c>
    </row>
    <row r="788">
      <c r="A788" s="28" t="s">
        <v>174</v>
      </c>
      <c r="B788" s="16"/>
      <c r="F788" s="45"/>
      <c r="H788" s="21"/>
      <c r="J788" s="21"/>
      <c r="M788" s="21"/>
      <c r="N788" s="21"/>
      <c r="O788" s="42"/>
      <c r="P788" s="30"/>
      <c r="R788" s="21"/>
      <c r="S788" s="31"/>
      <c r="U788" s="16"/>
      <c r="V788" s="16"/>
      <c r="W788" s="16"/>
      <c r="X788" s="16"/>
      <c r="Y788" s="30"/>
      <c r="Z788" s="16" t="s">
        <v>174</v>
      </c>
    </row>
    <row r="789">
      <c r="A789" s="28" t="s">
        <v>174</v>
      </c>
      <c r="B789" s="16"/>
      <c r="F789" s="45"/>
      <c r="H789" s="21"/>
      <c r="J789" s="21"/>
      <c r="M789" s="21"/>
      <c r="N789" s="21"/>
      <c r="O789" s="42"/>
      <c r="P789" s="30"/>
      <c r="R789" s="21"/>
      <c r="S789" s="31"/>
      <c r="U789" s="16"/>
      <c r="V789" s="16"/>
      <c r="W789" s="16"/>
      <c r="X789" s="16"/>
      <c r="Y789" s="30"/>
      <c r="Z789" s="16" t="s">
        <v>174</v>
      </c>
    </row>
    <row r="790">
      <c r="A790" s="28" t="s">
        <v>174</v>
      </c>
      <c r="B790" s="16"/>
      <c r="F790" s="45"/>
      <c r="H790" s="21"/>
      <c r="J790" s="21"/>
      <c r="M790" s="21"/>
      <c r="N790" s="21"/>
      <c r="O790" s="42"/>
      <c r="P790" s="30"/>
      <c r="R790" s="21"/>
      <c r="S790" s="31"/>
      <c r="U790" s="16"/>
      <c r="V790" s="16"/>
      <c r="W790" s="16"/>
      <c r="X790" s="16"/>
      <c r="Y790" s="30"/>
      <c r="Z790" s="16" t="s">
        <v>174</v>
      </c>
    </row>
    <row r="791">
      <c r="A791" s="28" t="s">
        <v>174</v>
      </c>
      <c r="B791" s="16"/>
      <c r="F791" s="45"/>
      <c r="H791" s="21"/>
      <c r="J791" s="21"/>
      <c r="M791" s="21"/>
      <c r="N791" s="21"/>
      <c r="O791" s="42"/>
      <c r="P791" s="30"/>
      <c r="R791" s="21"/>
      <c r="S791" s="31"/>
      <c r="U791" s="16"/>
      <c r="V791" s="16"/>
      <c r="W791" s="16"/>
      <c r="X791" s="16"/>
      <c r="Y791" s="30"/>
      <c r="Z791" s="16" t="s">
        <v>174</v>
      </c>
    </row>
    <row r="792">
      <c r="A792" s="28" t="s">
        <v>174</v>
      </c>
      <c r="B792" s="16"/>
      <c r="F792" s="45"/>
      <c r="H792" s="21"/>
      <c r="J792" s="21"/>
      <c r="M792" s="21"/>
      <c r="N792" s="21"/>
      <c r="O792" s="42"/>
      <c r="P792" s="30"/>
      <c r="R792" s="21"/>
      <c r="S792" s="31"/>
      <c r="U792" s="16"/>
      <c r="V792" s="16"/>
      <c r="W792" s="16"/>
      <c r="X792" s="16"/>
      <c r="Y792" s="30"/>
      <c r="Z792" s="16" t="s">
        <v>174</v>
      </c>
    </row>
    <row r="793">
      <c r="A793" s="28" t="s">
        <v>174</v>
      </c>
      <c r="B793" s="16"/>
      <c r="F793" s="45"/>
      <c r="H793" s="21"/>
      <c r="J793" s="21"/>
      <c r="M793" s="21"/>
      <c r="N793" s="21"/>
      <c r="O793" s="42"/>
      <c r="P793" s="30"/>
      <c r="R793" s="21"/>
      <c r="S793" s="31"/>
      <c r="U793" s="16"/>
      <c r="V793" s="16"/>
      <c r="W793" s="16"/>
      <c r="X793" s="16"/>
      <c r="Y793" s="30"/>
      <c r="Z793" s="16" t="s">
        <v>174</v>
      </c>
    </row>
    <row r="794">
      <c r="A794" s="28" t="s">
        <v>174</v>
      </c>
      <c r="B794" s="16"/>
      <c r="F794" s="45"/>
      <c r="H794" s="21"/>
      <c r="J794" s="21"/>
      <c r="M794" s="21"/>
      <c r="N794" s="21"/>
      <c r="O794" s="42"/>
      <c r="P794" s="30"/>
      <c r="R794" s="21"/>
      <c r="S794" s="31"/>
      <c r="U794" s="16"/>
      <c r="V794" s="16"/>
      <c r="W794" s="16"/>
      <c r="X794" s="16"/>
      <c r="Y794" s="30"/>
      <c r="Z794" s="16" t="s">
        <v>174</v>
      </c>
    </row>
    <row r="795">
      <c r="A795" s="28" t="s">
        <v>174</v>
      </c>
      <c r="B795" s="16"/>
      <c r="F795" s="45"/>
      <c r="H795" s="21"/>
      <c r="J795" s="21"/>
      <c r="M795" s="21"/>
      <c r="N795" s="21"/>
      <c r="O795" s="42"/>
      <c r="P795" s="30"/>
      <c r="R795" s="21"/>
      <c r="S795" s="31"/>
      <c r="U795" s="16"/>
      <c r="V795" s="16"/>
      <c r="W795" s="16"/>
      <c r="X795" s="16"/>
      <c r="Y795" s="30"/>
      <c r="Z795" s="16" t="s">
        <v>174</v>
      </c>
    </row>
    <row r="796">
      <c r="A796" s="28" t="s">
        <v>174</v>
      </c>
      <c r="B796" s="16"/>
      <c r="F796" s="45"/>
      <c r="H796" s="21"/>
      <c r="J796" s="21"/>
      <c r="M796" s="21"/>
      <c r="N796" s="21"/>
      <c r="O796" s="42"/>
      <c r="P796" s="30"/>
      <c r="R796" s="21"/>
      <c r="S796" s="31"/>
      <c r="U796" s="16"/>
      <c r="V796" s="16"/>
      <c r="W796" s="16"/>
      <c r="X796" s="16"/>
      <c r="Y796" s="30"/>
      <c r="Z796" s="16" t="s">
        <v>174</v>
      </c>
    </row>
    <row r="797">
      <c r="A797" s="28" t="s">
        <v>174</v>
      </c>
      <c r="B797" s="16"/>
      <c r="F797" s="45"/>
      <c r="H797" s="21"/>
      <c r="J797" s="21"/>
      <c r="M797" s="21"/>
      <c r="N797" s="21"/>
      <c r="O797" s="42"/>
      <c r="P797" s="30"/>
      <c r="R797" s="21"/>
      <c r="S797" s="31"/>
      <c r="U797" s="16"/>
      <c r="V797" s="16"/>
      <c r="W797" s="16"/>
      <c r="X797" s="16"/>
      <c r="Y797" s="30"/>
      <c r="Z797" s="16" t="s">
        <v>174</v>
      </c>
    </row>
    <row r="798">
      <c r="A798" s="28" t="s">
        <v>174</v>
      </c>
      <c r="B798" s="16"/>
      <c r="F798" s="45"/>
      <c r="H798" s="21"/>
      <c r="J798" s="21"/>
      <c r="M798" s="21"/>
      <c r="N798" s="21"/>
      <c r="O798" s="42"/>
      <c r="P798" s="30"/>
      <c r="R798" s="21"/>
      <c r="S798" s="31"/>
      <c r="U798" s="16"/>
      <c r="V798" s="16"/>
      <c r="W798" s="16"/>
      <c r="X798" s="16"/>
      <c r="Y798" s="30"/>
      <c r="Z798" s="16" t="s">
        <v>174</v>
      </c>
    </row>
    <row r="799">
      <c r="A799" s="28" t="s">
        <v>174</v>
      </c>
      <c r="B799" s="16"/>
      <c r="F799" s="45"/>
      <c r="H799" s="21"/>
      <c r="J799" s="21"/>
      <c r="M799" s="21"/>
      <c r="N799" s="21"/>
      <c r="O799" s="42"/>
      <c r="P799" s="30"/>
      <c r="R799" s="21"/>
      <c r="S799" s="31"/>
      <c r="U799" s="16"/>
      <c r="V799" s="16"/>
      <c r="W799" s="16"/>
      <c r="X799" s="16"/>
      <c r="Y799" s="30"/>
      <c r="Z799" s="16" t="s">
        <v>174</v>
      </c>
    </row>
    <row r="800">
      <c r="A800" s="28" t="s">
        <v>174</v>
      </c>
      <c r="B800" s="16"/>
      <c r="F800" s="45"/>
      <c r="H800" s="21"/>
      <c r="J800" s="21"/>
      <c r="M800" s="21"/>
      <c r="N800" s="21"/>
      <c r="O800" s="42"/>
      <c r="P800" s="30"/>
      <c r="R800" s="21"/>
      <c r="S800" s="31"/>
      <c r="U800" s="16"/>
      <c r="V800" s="16"/>
      <c r="W800" s="16"/>
      <c r="X800" s="16"/>
      <c r="Y800" s="30"/>
      <c r="Z800" s="16" t="s">
        <v>174</v>
      </c>
    </row>
    <row r="801">
      <c r="A801" s="28" t="s">
        <v>174</v>
      </c>
      <c r="B801" s="16"/>
      <c r="F801" s="45"/>
      <c r="H801" s="21"/>
      <c r="J801" s="21"/>
      <c r="M801" s="21"/>
      <c r="N801" s="21"/>
      <c r="O801" s="42"/>
      <c r="P801" s="30"/>
      <c r="R801" s="21"/>
      <c r="S801" s="31"/>
      <c r="U801" s="16"/>
      <c r="V801" s="16"/>
      <c r="W801" s="16"/>
      <c r="X801" s="16"/>
      <c r="Y801" s="30"/>
      <c r="Z801" s="16" t="s">
        <v>174</v>
      </c>
    </row>
    <row r="802">
      <c r="A802" s="28" t="s">
        <v>174</v>
      </c>
      <c r="B802" s="16"/>
      <c r="F802" s="45"/>
      <c r="H802" s="21"/>
      <c r="J802" s="21"/>
      <c r="M802" s="21"/>
      <c r="N802" s="21"/>
      <c r="O802" s="42"/>
      <c r="P802" s="30"/>
      <c r="R802" s="21"/>
      <c r="S802" s="31"/>
      <c r="U802" s="16"/>
      <c r="V802" s="16"/>
      <c r="W802" s="16"/>
      <c r="X802" s="16"/>
      <c r="Y802" s="30"/>
      <c r="Z802" s="16" t="s">
        <v>174</v>
      </c>
    </row>
    <row r="803">
      <c r="A803" s="28" t="s">
        <v>174</v>
      </c>
      <c r="B803" s="16"/>
      <c r="F803" s="45"/>
      <c r="H803" s="21"/>
      <c r="J803" s="21"/>
      <c r="M803" s="21"/>
      <c r="N803" s="21"/>
      <c r="O803" s="42"/>
      <c r="P803" s="30"/>
      <c r="R803" s="21"/>
      <c r="S803" s="31"/>
      <c r="U803" s="16"/>
      <c r="V803" s="16"/>
      <c r="W803" s="16"/>
      <c r="X803" s="16"/>
      <c r="Y803" s="30"/>
      <c r="Z803" s="16" t="s">
        <v>174</v>
      </c>
    </row>
    <row r="804">
      <c r="A804" s="28" t="s">
        <v>174</v>
      </c>
      <c r="B804" s="16"/>
      <c r="F804" s="45"/>
      <c r="H804" s="21"/>
      <c r="J804" s="21"/>
      <c r="M804" s="21"/>
      <c r="N804" s="21"/>
      <c r="O804" s="42"/>
      <c r="P804" s="30"/>
      <c r="R804" s="21"/>
      <c r="S804" s="31"/>
      <c r="U804" s="16"/>
      <c r="V804" s="16"/>
      <c r="W804" s="16"/>
      <c r="X804" s="16"/>
      <c r="Y804" s="30"/>
      <c r="Z804" s="16" t="s">
        <v>174</v>
      </c>
    </row>
    <row r="805">
      <c r="A805" s="28" t="s">
        <v>174</v>
      </c>
      <c r="B805" s="16"/>
      <c r="F805" s="45"/>
      <c r="H805" s="21"/>
      <c r="J805" s="21"/>
      <c r="M805" s="21"/>
      <c r="N805" s="21"/>
      <c r="O805" s="42"/>
      <c r="P805" s="30"/>
      <c r="R805" s="21"/>
      <c r="S805" s="31"/>
      <c r="U805" s="16"/>
      <c r="V805" s="16"/>
      <c r="W805" s="16"/>
      <c r="X805" s="16"/>
      <c r="Y805" s="30"/>
      <c r="Z805" s="16" t="s">
        <v>174</v>
      </c>
    </row>
    <row r="806">
      <c r="A806" s="28" t="s">
        <v>174</v>
      </c>
      <c r="B806" s="16"/>
      <c r="F806" s="45"/>
      <c r="H806" s="21"/>
      <c r="J806" s="21"/>
      <c r="M806" s="21"/>
      <c r="N806" s="21"/>
      <c r="O806" s="42"/>
      <c r="P806" s="30"/>
      <c r="R806" s="21"/>
      <c r="S806" s="31"/>
      <c r="U806" s="16"/>
      <c r="V806" s="16"/>
      <c r="W806" s="16"/>
      <c r="X806" s="16"/>
      <c r="Y806" s="30"/>
      <c r="Z806" s="16" t="s">
        <v>174</v>
      </c>
    </row>
    <row r="807">
      <c r="A807" s="28" t="s">
        <v>174</v>
      </c>
      <c r="B807" s="16"/>
      <c r="F807" s="45"/>
      <c r="H807" s="21"/>
      <c r="J807" s="21"/>
      <c r="M807" s="21"/>
      <c r="N807" s="21"/>
      <c r="O807" s="42"/>
      <c r="P807" s="30"/>
      <c r="R807" s="21"/>
      <c r="S807" s="31"/>
      <c r="U807" s="16"/>
      <c r="V807" s="16"/>
      <c r="W807" s="16"/>
      <c r="X807" s="16"/>
      <c r="Y807" s="30"/>
      <c r="Z807" s="16" t="s">
        <v>174</v>
      </c>
    </row>
    <row r="808">
      <c r="A808" s="28" t="s">
        <v>174</v>
      </c>
      <c r="B808" s="16"/>
      <c r="F808" s="45"/>
      <c r="H808" s="21"/>
      <c r="J808" s="21"/>
      <c r="M808" s="21"/>
      <c r="N808" s="21"/>
      <c r="O808" s="42"/>
      <c r="P808" s="30"/>
      <c r="R808" s="21"/>
      <c r="S808" s="31"/>
      <c r="U808" s="16"/>
      <c r="V808" s="16"/>
      <c r="W808" s="16"/>
      <c r="X808" s="16"/>
      <c r="Y808" s="30"/>
      <c r="Z808" s="16" t="s">
        <v>174</v>
      </c>
    </row>
    <row r="809">
      <c r="A809" s="28" t="s">
        <v>174</v>
      </c>
      <c r="B809" s="16"/>
      <c r="F809" s="45"/>
      <c r="H809" s="21"/>
      <c r="J809" s="21"/>
      <c r="M809" s="21"/>
      <c r="N809" s="21"/>
      <c r="O809" s="42"/>
      <c r="P809" s="30"/>
      <c r="R809" s="21"/>
      <c r="S809" s="31"/>
      <c r="U809" s="16"/>
      <c r="V809" s="16"/>
      <c r="W809" s="16"/>
      <c r="X809" s="16"/>
      <c r="Y809" s="30"/>
      <c r="Z809" s="16" t="s">
        <v>174</v>
      </c>
    </row>
    <row r="810">
      <c r="A810" s="28" t="s">
        <v>174</v>
      </c>
      <c r="B810" s="16"/>
      <c r="F810" s="45"/>
      <c r="H810" s="21"/>
      <c r="J810" s="21"/>
      <c r="M810" s="21"/>
      <c r="N810" s="21"/>
      <c r="O810" s="42"/>
      <c r="P810" s="30"/>
      <c r="R810" s="21"/>
      <c r="S810" s="31"/>
      <c r="U810" s="16"/>
      <c r="V810" s="16"/>
      <c r="W810" s="16"/>
      <c r="X810" s="16"/>
      <c r="Y810" s="30"/>
      <c r="Z810" s="16" t="s">
        <v>174</v>
      </c>
    </row>
    <row r="811">
      <c r="A811" s="28" t="s">
        <v>174</v>
      </c>
      <c r="B811" s="16"/>
      <c r="F811" s="45"/>
      <c r="H811" s="21"/>
      <c r="J811" s="21"/>
      <c r="M811" s="21"/>
      <c r="N811" s="21"/>
      <c r="O811" s="42"/>
      <c r="P811" s="30"/>
      <c r="R811" s="21"/>
      <c r="S811" s="31"/>
      <c r="U811" s="16"/>
      <c r="V811" s="16"/>
      <c r="W811" s="16"/>
      <c r="X811" s="16"/>
      <c r="Y811" s="30"/>
      <c r="Z811" s="16" t="s">
        <v>174</v>
      </c>
    </row>
    <row r="812">
      <c r="A812" s="28" t="s">
        <v>174</v>
      </c>
      <c r="B812" s="16"/>
      <c r="F812" s="45"/>
      <c r="H812" s="21"/>
      <c r="J812" s="21"/>
      <c r="M812" s="21"/>
      <c r="N812" s="21"/>
      <c r="O812" s="42"/>
      <c r="P812" s="30"/>
      <c r="R812" s="21"/>
      <c r="S812" s="31"/>
      <c r="U812" s="16"/>
      <c r="V812" s="16"/>
      <c r="W812" s="16"/>
      <c r="X812" s="16"/>
      <c r="Y812" s="30"/>
      <c r="Z812" s="16" t="s">
        <v>174</v>
      </c>
    </row>
    <row r="813">
      <c r="A813" s="28" t="s">
        <v>174</v>
      </c>
      <c r="B813" s="16"/>
      <c r="F813" s="45"/>
      <c r="H813" s="21"/>
      <c r="J813" s="21"/>
      <c r="M813" s="21"/>
      <c r="N813" s="21"/>
      <c r="O813" s="42"/>
      <c r="P813" s="30"/>
      <c r="R813" s="21"/>
      <c r="S813" s="31"/>
      <c r="U813" s="16"/>
      <c r="V813" s="16"/>
      <c r="W813" s="16"/>
      <c r="X813" s="16"/>
      <c r="Y813" s="30"/>
      <c r="Z813" s="16" t="s">
        <v>174</v>
      </c>
    </row>
    <row r="814">
      <c r="A814" s="28" t="s">
        <v>174</v>
      </c>
      <c r="B814" s="16"/>
      <c r="F814" s="45"/>
      <c r="H814" s="21"/>
      <c r="J814" s="21"/>
      <c r="M814" s="21"/>
      <c r="N814" s="21"/>
      <c r="O814" s="42"/>
      <c r="P814" s="30"/>
      <c r="R814" s="21"/>
      <c r="S814" s="31"/>
      <c r="U814" s="16"/>
      <c r="V814" s="16"/>
      <c r="W814" s="16"/>
      <c r="X814" s="16"/>
      <c r="Y814" s="30"/>
      <c r="Z814" s="16" t="s">
        <v>174</v>
      </c>
    </row>
    <row r="815">
      <c r="A815" s="28" t="s">
        <v>174</v>
      </c>
      <c r="B815" s="16"/>
      <c r="F815" s="45"/>
      <c r="H815" s="21"/>
      <c r="J815" s="21"/>
      <c r="M815" s="21"/>
      <c r="N815" s="21"/>
      <c r="O815" s="42"/>
      <c r="P815" s="30"/>
      <c r="R815" s="21"/>
      <c r="S815" s="31"/>
      <c r="U815" s="16"/>
      <c r="V815" s="16"/>
      <c r="W815" s="16"/>
      <c r="X815" s="16"/>
      <c r="Y815" s="30"/>
      <c r="Z815" s="16" t="s">
        <v>174</v>
      </c>
    </row>
    <row r="816">
      <c r="A816" s="28" t="s">
        <v>174</v>
      </c>
      <c r="B816" s="16"/>
      <c r="F816" s="45"/>
      <c r="H816" s="21"/>
      <c r="J816" s="21"/>
      <c r="M816" s="21"/>
      <c r="N816" s="21"/>
      <c r="O816" s="42"/>
      <c r="P816" s="30"/>
      <c r="R816" s="21"/>
      <c r="S816" s="31"/>
      <c r="U816" s="16"/>
      <c r="V816" s="16"/>
      <c r="W816" s="16"/>
      <c r="X816" s="16"/>
      <c r="Y816" s="30"/>
      <c r="Z816" s="16" t="s">
        <v>174</v>
      </c>
    </row>
    <row r="817">
      <c r="A817" s="28" t="s">
        <v>174</v>
      </c>
      <c r="B817" s="16"/>
      <c r="F817" s="45"/>
      <c r="H817" s="21"/>
      <c r="J817" s="21"/>
      <c r="M817" s="21"/>
      <c r="N817" s="21"/>
      <c r="O817" s="42"/>
      <c r="P817" s="30"/>
      <c r="R817" s="21"/>
      <c r="S817" s="31"/>
      <c r="U817" s="16"/>
      <c r="V817" s="16"/>
      <c r="W817" s="16"/>
      <c r="X817" s="16"/>
      <c r="Y817" s="30"/>
      <c r="Z817" s="16" t="s">
        <v>174</v>
      </c>
    </row>
    <row r="818">
      <c r="A818" s="28" t="s">
        <v>174</v>
      </c>
      <c r="B818" s="16"/>
      <c r="F818" s="45"/>
      <c r="H818" s="21"/>
      <c r="J818" s="21"/>
      <c r="M818" s="21"/>
      <c r="N818" s="21"/>
      <c r="O818" s="42"/>
      <c r="P818" s="30"/>
      <c r="R818" s="21"/>
      <c r="S818" s="31"/>
      <c r="U818" s="16"/>
      <c r="V818" s="16"/>
      <c r="W818" s="16"/>
      <c r="X818" s="16"/>
      <c r="Y818" s="30"/>
      <c r="Z818" s="16" t="s">
        <v>174</v>
      </c>
    </row>
    <row r="819">
      <c r="A819" s="28" t="s">
        <v>174</v>
      </c>
      <c r="B819" s="16"/>
      <c r="F819" s="45"/>
      <c r="H819" s="21"/>
      <c r="J819" s="21"/>
      <c r="M819" s="21"/>
      <c r="N819" s="21"/>
      <c r="O819" s="42"/>
      <c r="P819" s="30"/>
      <c r="R819" s="21"/>
      <c r="S819" s="31"/>
      <c r="U819" s="16"/>
      <c r="V819" s="16"/>
      <c r="W819" s="16"/>
      <c r="X819" s="16"/>
      <c r="Y819" s="30"/>
      <c r="Z819" s="16" t="s">
        <v>174</v>
      </c>
    </row>
    <row r="820">
      <c r="A820" s="28" t="s">
        <v>174</v>
      </c>
      <c r="B820" s="16"/>
      <c r="F820" s="45"/>
      <c r="H820" s="21"/>
      <c r="J820" s="21"/>
      <c r="M820" s="21"/>
      <c r="N820" s="21"/>
      <c r="O820" s="42"/>
      <c r="P820" s="30"/>
      <c r="R820" s="21"/>
      <c r="S820" s="31"/>
      <c r="U820" s="16"/>
      <c r="V820" s="16"/>
      <c r="W820" s="16"/>
      <c r="X820" s="16"/>
      <c r="Y820" s="30"/>
      <c r="Z820" s="16" t="s">
        <v>174</v>
      </c>
    </row>
    <row r="821">
      <c r="A821" s="28" t="s">
        <v>174</v>
      </c>
      <c r="B821" s="16"/>
      <c r="F821" s="45"/>
      <c r="H821" s="21"/>
      <c r="J821" s="21"/>
      <c r="M821" s="21"/>
      <c r="N821" s="21"/>
      <c r="O821" s="42"/>
      <c r="P821" s="30"/>
      <c r="R821" s="21"/>
      <c r="S821" s="31"/>
      <c r="U821" s="16"/>
      <c r="V821" s="16"/>
      <c r="W821" s="16"/>
      <c r="X821" s="16"/>
      <c r="Y821" s="30"/>
      <c r="Z821" s="16" t="s">
        <v>174</v>
      </c>
    </row>
    <row r="822">
      <c r="A822" s="28" t="s">
        <v>174</v>
      </c>
      <c r="B822" s="16"/>
      <c r="F822" s="45"/>
      <c r="H822" s="21"/>
      <c r="J822" s="21"/>
      <c r="M822" s="21"/>
      <c r="N822" s="21"/>
      <c r="O822" s="42"/>
      <c r="P822" s="30"/>
      <c r="R822" s="21"/>
      <c r="S822" s="31"/>
      <c r="U822" s="16"/>
      <c r="V822" s="16"/>
      <c r="W822" s="16"/>
      <c r="X822" s="16"/>
      <c r="Y822" s="30"/>
      <c r="Z822" s="16" t="s">
        <v>174</v>
      </c>
    </row>
    <row r="823">
      <c r="A823" s="28" t="s">
        <v>174</v>
      </c>
      <c r="B823" s="16"/>
      <c r="F823" s="45"/>
      <c r="H823" s="21"/>
      <c r="J823" s="21"/>
      <c r="M823" s="21"/>
      <c r="N823" s="21"/>
      <c r="O823" s="42"/>
      <c r="P823" s="30"/>
      <c r="R823" s="21"/>
      <c r="S823" s="31"/>
      <c r="U823" s="16"/>
      <c r="V823" s="16"/>
      <c r="W823" s="16"/>
      <c r="X823" s="16"/>
      <c r="Y823" s="30"/>
      <c r="Z823" s="16" t="s">
        <v>174</v>
      </c>
    </row>
    <row r="824">
      <c r="A824" s="28" t="s">
        <v>174</v>
      </c>
      <c r="B824" s="16"/>
      <c r="F824" s="45"/>
      <c r="H824" s="21"/>
      <c r="J824" s="21"/>
      <c r="M824" s="21"/>
      <c r="N824" s="21"/>
      <c r="O824" s="42"/>
      <c r="P824" s="30"/>
      <c r="R824" s="21"/>
      <c r="S824" s="31"/>
      <c r="U824" s="16"/>
      <c r="V824" s="16"/>
      <c r="W824" s="16"/>
      <c r="X824" s="16"/>
      <c r="Y824" s="30"/>
      <c r="Z824" s="16" t="s">
        <v>174</v>
      </c>
    </row>
    <row r="825">
      <c r="A825" s="28" t="s">
        <v>174</v>
      </c>
      <c r="B825" s="16"/>
      <c r="F825" s="45"/>
      <c r="H825" s="21"/>
      <c r="J825" s="21"/>
      <c r="M825" s="21"/>
      <c r="N825" s="21"/>
      <c r="O825" s="42"/>
      <c r="P825" s="30"/>
      <c r="R825" s="21"/>
      <c r="S825" s="31"/>
      <c r="U825" s="16"/>
      <c r="V825" s="16"/>
      <c r="W825" s="16"/>
      <c r="X825" s="16"/>
      <c r="Y825" s="30"/>
      <c r="Z825" s="16" t="s">
        <v>174</v>
      </c>
    </row>
    <row r="826">
      <c r="A826" s="28" t="s">
        <v>174</v>
      </c>
      <c r="B826" s="16"/>
      <c r="F826" s="45"/>
      <c r="H826" s="21"/>
      <c r="J826" s="21"/>
      <c r="M826" s="21"/>
      <c r="N826" s="21"/>
      <c r="O826" s="42"/>
      <c r="P826" s="30"/>
      <c r="R826" s="21"/>
      <c r="S826" s="31"/>
      <c r="U826" s="16"/>
      <c r="V826" s="16"/>
      <c r="W826" s="16"/>
      <c r="X826" s="16"/>
      <c r="Y826" s="30"/>
      <c r="Z826" s="16" t="s">
        <v>174</v>
      </c>
    </row>
    <row r="827">
      <c r="A827" s="28" t="s">
        <v>174</v>
      </c>
      <c r="B827" s="16"/>
      <c r="F827" s="45"/>
      <c r="H827" s="21"/>
      <c r="J827" s="21"/>
      <c r="M827" s="21"/>
      <c r="N827" s="21"/>
      <c r="O827" s="42"/>
      <c r="P827" s="30"/>
      <c r="R827" s="21"/>
      <c r="S827" s="31"/>
      <c r="U827" s="16"/>
      <c r="V827" s="16"/>
      <c r="W827" s="16"/>
      <c r="X827" s="16"/>
      <c r="Y827" s="30"/>
      <c r="Z827" s="16" t="s">
        <v>174</v>
      </c>
    </row>
    <row r="828">
      <c r="A828" s="28" t="s">
        <v>174</v>
      </c>
      <c r="B828" s="16"/>
      <c r="F828" s="45"/>
      <c r="H828" s="21"/>
      <c r="J828" s="21"/>
      <c r="M828" s="21"/>
      <c r="N828" s="21"/>
      <c r="O828" s="42"/>
      <c r="P828" s="30"/>
      <c r="R828" s="21"/>
      <c r="S828" s="31"/>
      <c r="U828" s="16"/>
      <c r="V828" s="16"/>
      <c r="W828" s="16"/>
      <c r="X828" s="16"/>
      <c r="Y828" s="30"/>
      <c r="Z828" s="16" t="s">
        <v>174</v>
      </c>
    </row>
    <row r="829">
      <c r="A829" s="28" t="s">
        <v>174</v>
      </c>
      <c r="B829" s="16"/>
      <c r="F829" s="45"/>
      <c r="H829" s="21"/>
      <c r="J829" s="21"/>
      <c r="M829" s="21"/>
      <c r="N829" s="21"/>
      <c r="O829" s="42"/>
      <c r="P829" s="30"/>
      <c r="R829" s="21"/>
      <c r="S829" s="31"/>
      <c r="U829" s="16"/>
      <c r="V829" s="16"/>
      <c r="W829" s="16"/>
      <c r="X829" s="16"/>
      <c r="Y829" s="30"/>
      <c r="Z829" s="16" t="s">
        <v>174</v>
      </c>
    </row>
    <row r="830">
      <c r="A830" s="28" t="s">
        <v>174</v>
      </c>
      <c r="B830" s="16"/>
      <c r="F830" s="45"/>
      <c r="H830" s="21"/>
      <c r="J830" s="21"/>
      <c r="M830" s="21"/>
      <c r="N830" s="21"/>
      <c r="O830" s="42"/>
      <c r="P830" s="30"/>
      <c r="R830" s="21"/>
      <c r="S830" s="31"/>
      <c r="U830" s="16"/>
      <c r="V830" s="16"/>
      <c r="W830" s="16"/>
      <c r="X830" s="16"/>
      <c r="Y830" s="30"/>
      <c r="Z830" s="16" t="s">
        <v>174</v>
      </c>
    </row>
    <row r="831">
      <c r="A831" s="28" t="s">
        <v>174</v>
      </c>
      <c r="B831" s="16"/>
      <c r="F831" s="45"/>
      <c r="H831" s="21"/>
      <c r="J831" s="21"/>
      <c r="M831" s="21"/>
      <c r="N831" s="21"/>
      <c r="O831" s="42"/>
      <c r="P831" s="30"/>
      <c r="R831" s="21"/>
      <c r="S831" s="31"/>
      <c r="U831" s="16"/>
      <c r="V831" s="16"/>
      <c r="W831" s="16"/>
      <c r="X831" s="16"/>
      <c r="Y831" s="30"/>
      <c r="Z831" s="16" t="s">
        <v>174</v>
      </c>
    </row>
    <row r="832">
      <c r="A832" s="28" t="s">
        <v>174</v>
      </c>
      <c r="B832" s="16"/>
      <c r="F832" s="45"/>
      <c r="H832" s="21"/>
      <c r="J832" s="21"/>
      <c r="M832" s="21"/>
      <c r="N832" s="21"/>
      <c r="O832" s="42"/>
      <c r="P832" s="30"/>
      <c r="R832" s="21"/>
      <c r="S832" s="31"/>
      <c r="U832" s="16"/>
      <c r="V832" s="16"/>
      <c r="W832" s="16"/>
      <c r="X832" s="16"/>
      <c r="Y832" s="30"/>
      <c r="Z832" s="16" t="s">
        <v>174</v>
      </c>
    </row>
    <row r="833">
      <c r="A833" s="28" t="s">
        <v>174</v>
      </c>
      <c r="B833" s="16"/>
      <c r="F833" s="45"/>
      <c r="H833" s="21"/>
      <c r="J833" s="21"/>
      <c r="M833" s="21"/>
      <c r="N833" s="21"/>
      <c r="O833" s="42"/>
      <c r="P833" s="30"/>
      <c r="R833" s="21"/>
      <c r="S833" s="31"/>
      <c r="U833" s="16"/>
      <c r="V833" s="16"/>
      <c r="W833" s="16"/>
      <c r="X833" s="16"/>
      <c r="Y833" s="30"/>
      <c r="Z833" s="16" t="s">
        <v>174</v>
      </c>
    </row>
    <row r="834">
      <c r="A834" s="28" t="s">
        <v>174</v>
      </c>
      <c r="B834" s="16"/>
      <c r="F834" s="45"/>
      <c r="H834" s="21"/>
      <c r="J834" s="21"/>
      <c r="M834" s="21"/>
      <c r="N834" s="21"/>
      <c r="O834" s="42"/>
      <c r="P834" s="30"/>
      <c r="R834" s="21"/>
      <c r="S834" s="31"/>
      <c r="U834" s="16"/>
      <c r="V834" s="16"/>
      <c r="W834" s="16"/>
      <c r="X834" s="16"/>
      <c r="Y834" s="30"/>
      <c r="Z834" s="16" t="s">
        <v>174</v>
      </c>
    </row>
    <row r="835">
      <c r="A835" s="28" t="s">
        <v>174</v>
      </c>
      <c r="B835" s="16"/>
      <c r="F835" s="45"/>
      <c r="H835" s="21"/>
      <c r="J835" s="21"/>
      <c r="M835" s="21"/>
      <c r="N835" s="21"/>
      <c r="O835" s="42"/>
      <c r="P835" s="30"/>
      <c r="R835" s="21"/>
      <c r="S835" s="31"/>
      <c r="U835" s="16"/>
      <c r="V835" s="16"/>
      <c r="W835" s="16"/>
      <c r="X835" s="16"/>
      <c r="Y835" s="30"/>
      <c r="Z835" s="16" t="s">
        <v>174</v>
      </c>
    </row>
    <row r="836">
      <c r="A836" s="28" t="s">
        <v>174</v>
      </c>
      <c r="B836" s="16"/>
      <c r="F836" s="45"/>
      <c r="H836" s="21"/>
      <c r="J836" s="21"/>
      <c r="M836" s="21"/>
      <c r="N836" s="21"/>
      <c r="O836" s="42"/>
      <c r="P836" s="30"/>
      <c r="R836" s="21"/>
      <c r="S836" s="31"/>
      <c r="U836" s="16"/>
      <c r="V836" s="16"/>
      <c r="W836" s="16"/>
      <c r="X836" s="16"/>
      <c r="Y836" s="30"/>
      <c r="Z836" s="16" t="s">
        <v>174</v>
      </c>
    </row>
    <row r="837">
      <c r="A837" s="28" t="s">
        <v>174</v>
      </c>
      <c r="B837" s="16"/>
      <c r="F837" s="45"/>
      <c r="H837" s="21"/>
      <c r="J837" s="21"/>
      <c r="M837" s="21"/>
      <c r="N837" s="21"/>
      <c r="O837" s="42"/>
      <c r="P837" s="30"/>
      <c r="R837" s="21"/>
      <c r="S837" s="31"/>
      <c r="U837" s="16"/>
      <c r="V837" s="16"/>
      <c r="W837" s="16"/>
      <c r="X837" s="16"/>
      <c r="Y837" s="30"/>
      <c r="Z837" s="16" t="s">
        <v>174</v>
      </c>
    </row>
    <row r="838">
      <c r="A838" s="28" t="s">
        <v>174</v>
      </c>
      <c r="B838" s="16"/>
      <c r="F838" s="45"/>
      <c r="H838" s="21"/>
      <c r="J838" s="21"/>
      <c r="M838" s="21"/>
      <c r="N838" s="21"/>
      <c r="O838" s="42"/>
      <c r="P838" s="30"/>
      <c r="R838" s="21"/>
      <c r="S838" s="31"/>
      <c r="U838" s="16"/>
      <c r="V838" s="16"/>
      <c r="W838" s="16"/>
      <c r="X838" s="16"/>
      <c r="Y838" s="30"/>
      <c r="Z838" s="16" t="s">
        <v>174</v>
      </c>
    </row>
    <row r="839">
      <c r="A839" s="28" t="s">
        <v>174</v>
      </c>
      <c r="B839" s="16"/>
      <c r="F839" s="45"/>
      <c r="H839" s="21"/>
      <c r="J839" s="21"/>
      <c r="M839" s="21"/>
      <c r="N839" s="21"/>
      <c r="O839" s="42"/>
      <c r="P839" s="30"/>
      <c r="R839" s="21"/>
      <c r="S839" s="31"/>
      <c r="U839" s="16"/>
      <c r="V839" s="16"/>
      <c r="W839" s="16"/>
      <c r="X839" s="16"/>
      <c r="Y839" s="30"/>
      <c r="Z839" s="16" t="s">
        <v>174</v>
      </c>
    </row>
    <row r="840">
      <c r="A840" s="28" t="s">
        <v>174</v>
      </c>
      <c r="B840" s="16"/>
      <c r="F840" s="45"/>
      <c r="H840" s="21"/>
      <c r="J840" s="21"/>
      <c r="M840" s="21"/>
      <c r="N840" s="21"/>
      <c r="O840" s="42"/>
      <c r="P840" s="30"/>
      <c r="R840" s="21"/>
      <c r="S840" s="31"/>
      <c r="U840" s="16"/>
      <c r="V840" s="16"/>
      <c r="W840" s="16"/>
      <c r="X840" s="16"/>
      <c r="Y840" s="30"/>
      <c r="Z840" s="16" t="s">
        <v>174</v>
      </c>
    </row>
    <row r="841">
      <c r="A841" s="28" t="s">
        <v>174</v>
      </c>
      <c r="B841" s="16"/>
      <c r="F841" s="45"/>
      <c r="H841" s="21"/>
      <c r="J841" s="21"/>
      <c r="M841" s="21"/>
      <c r="N841" s="21"/>
      <c r="O841" s="42"/>
      <c r="P841" s="30"/>
      <c r="R841" s="21"/>
      <c r="S841" s="31"/>
      <c r="U841" s="16"/>
      <c r="V841" s="16"/>
      <c r="W841" s="16"/>
      <c r="X841" s="16"/>
      <c r="Y841" s="30"/>
      <c r="Z841" s="16" t="s">
        <v>174</v>
      </c>
    </row>
    <row r="842">
      <c r="A842" s="28" t="s">
        <v>174</v>
      </c>
      <c r="B842" s="16"/>
      <c r="F842" s="45"/>
      <c r="H842" s="21"/>
      <c r="J842" s="21"/>
      <c r="M842" s="21"/>
      <c r="N842" s="21"/>
      <c r="O842" s="42"/>
      <c r="P842" s="30"/>
      <c r="R842" s="21"/>
      <c r="S842" s="31"/>
      <c r="U842" s="16"/>
      <c r="V842" s="16"/>
      <c r="W842" s="16"/>
      <c r="X842" s="16"/>
      <c r="Y842" s="30"/>
      <c r="Z842" s="16" t="s">
        <v>174</v>
      </c>
    </row>
    <row r="843">
      <c r="A843" s="28" t="s">
        <v>174</v>
      </c>
      <c r="B843" s="16"/>
      <c r="F843" s="45"/>
      <c r="H843" s="21"/>
      <c r="J843" s="21"/>
      <c r="M843" s="21"/>
      <c r="N843" s="21"/>
      <c r="O843" s="42"/>
      <c r="P843" s="30"/>
      <c r="R843" s="21"/>
      <c r="S843" s="31"/>
      <c r="U843" s="16"/>
      <c r="V843" s="16"/>
      <c r="W843" s="16"/>
      <c r="X843" s="16"/>
      <c r="Y843" s="30"/>
      <c r="Z843" s="16" t="s">
        <v>174</v>
      </c>
    </row>
    <row r="844">
      <c r="A844" s="28" t="s">
        <v>174</v>
      </c>
      <c r="B844" s="16"/>
      <c r="F844" s="45"/>
      <c r="H844" s="21"/>
      <c r="J844" s="21"/>
      <c r="M844" s="21"/>
      <c r="N844" s="21"/>
      <c r="O844" s="42"/>
      <c r="P844" s="30"/>
      <c r="R844" s="21"/>
      <c r="S844" s="31"/>
      <c r="U844" s="16"/>
      <c r="V844" s="16"/>
      <c r="W844" s="16"/>
      <c r="X844" s="16"/>
      <c r="Y844" s="30"/>
      <c r="Z844" s="16" t="s">
        <v>174</v>
      </c>
    </row>
    <row r="845">
      <c r="A845" s="28" t="s">
        <v>174</v>
      </c>
      <c r="B845" s="16"/>
      <c r="F845" s="45"/>
      <c r="H845" s="21"/>
      <c r="J845" s="21"/>
      <c r="M845" s="21"/>
      <c r="N845" s="21"/>
      <c r="O845" s="42"/>
      <c r="P845" s="30"/>
      <c r="R845" s="21"/>
      <c r="S845" s="31"/>
      <c r="U845" s="16"/>
      <c r="V845" s="16"/>
      <c r="W845" s="16"/>
      <c r="X845" s="16"/>
      <c r="Y845" s="30"/>
      <c r="Z845" s="16" t="s">
        <v>174</v>
      </c>
    </row>
    <row r="846">
      <c r="A846" s="28" t="s">
        <v>174</v>
      </c>
      <c r="B846" s="16"/>
      <c r="F846" s="45"/>
      <c r="H846" s="21"/>
      <c r="J846" s="21"/>
      <c r="M846" s="21"/>
      <c r="N846" s="21"/>
      <c r="O846" s="42"/>
      <c r="P846" s="30"/>
      <c r="R846" s="21"/>
      <c r="S846" s="31"/>
      <c r="U846" s="16"/>
      <c r="V846" s="16"/>
      <c r="W846" s="16"/>
      <c r="X846" s="16"/>
      <c r="Y846" s="30"/>
      <c r="Z846" s="16" t="s">
        <v>174</v>
      </c>
    </row>
    <row r="847">
      <c r="A847" s="28" t="s">
        <v>174</v>
      </c>
      <c r="B847" s="16"/>
      <c r="F847" s="45"/>
      <c r="H847" s="21"/>
      <c r="J847" s="21"/>
      <c r="M847" s="21"/>
      <c r="N847" s="21"/>
      <c r="O847" s="42"/>
      <c r="P847" s="30"/>
      <c r="R847" s="21"/>
      <c r="S847" s="31"/>
      <c r="U847" s="16"/>
      <c r="V847" s="16"/>
      <c r="W847" s="16"/>
      <c r="X847" s="16"/>
      <c r="Y847" s="30"/>
      <c r="Z847" s="16" t="s">
        <v>174</v>
      </c>
    </row>
    <row r="848">
      <c r="A848" s="28" t="s">
        <v>174</v>
      </c>
      <c r="B848" s="16"/>
      <c r="F848" s="45"/>
      <c r="H848" s="21"/>
      <c r="J848" s="21"/>
      <c r="M848" s="21"/>
      <c r="N848" s="21"/>
      <c r="O848" s="42"/>
      <c r="P848" s="30"/>
      <c r="R848" s="21"/>
      <c r="S848" s="31"/>
      <c r="U848" s="16"/>
      <c r="V848" s="16"/>
      <c r="W848" s="16"/>
      <c r="X848" s="16"/>
      <c r="Y848" s="30"/>
      <c r="Z848" s="16" t="s">
        <v>174</v>
      </c>
    </row>
    <row r="849">
      <c r="A849" s="28" t="s">
        <v>174</v>
      </c>
      <c r="B849" s="16"/>
      <c r="F849" s="45"/>
      <c r="H849" s="21"/>
      <c r="J849" s="21"/>
      <c r="M849" s="21"/>
      <c r="N849" s="21"/>
      <c r="O849" s="42"/>
      <c r="P849" s="30"/>
      <c r="R849" s="21"/>
      <c r="S849" s="31"/>
      <c r="U849" s="16"/>
      <c r="V849" s="16"/>
      <c r="W849" s="16"/>
      <c r="X849" s="16"/>
      <c r="Y849" s="30"/>
      <c r="Z849" s="16" t="s">
        <v>174</v>
      </c>
    </row>
    <row r="850">
      <c r="A850" s="28" t="s">
        <v>174</v>
      </c>
      <c r="B850" s="16"/>
      <c r="F850" s="45"/>
      <c r="H850" s="21"/>
      <c r="J850" s="21"/>
      <c r="M850" s="21"/>
      <c r="N850" s="21"/>
      <c r="O850" s="42"/>
      <c r="P850" s="30"/>
      <c r="R850" s="21"/>
      <c r="S850" s="31"/>
      <c r="U850" s="16"/>
      <c r="V850" s="16"/>
      <c r="W850" s="16"/>
      <c r="X850" s="16"/>
      <c r="Y850" s="30"/>
      <c r="Z850" s="16" t="s">
        <v>174</v>
      </c>
    </row>
    <row r="851">
      <c r="A851" s="28" t="s">
        <v>174</v>
      </c>
      <c r="B851" s="16"/>
      <c r="F851" s="45"/>
      <c r="H851" s="21"/>
      <c r="J851" s="21"/>
      <c r="M851" s="21"/>
      <c r="N851" s="21"/>
      <c r="O851" s="42"/>
      <c r="P851" s="30"/>
      <c r="R851" s="21"/>
      <c r="S851" s="31"/>
      <c r="U851" s="16"/>
      <c r="V851" s="16"/>
      <c r="W851" s="16"/>
      <c r="X851" s="16"/>
      <c r="Y851" s="30"/>
      <c r="Z851" s="16" t="s">
        <v>174</v>
      </c>
    </row>
    <row r="852">
      <c r="A852" s="28" t="s">
        <v>174</v>
      </c>
      <c r="B852" s="16"/>
      <c r="F852" s="45"/>
      <c r="H852" s="21"/>
      <c r="J852" s="21"/>
      <c r="M852" s="21"/>
      <c r="N852" s="21"/>
      <c r="O852" s="42"/>
      <c r="P852" s="30"/>
      <c r="R852" s="21"/>
      <c r="S852" s="31"/>
      <c r="U852" s="16"/>
      <c r="V852" s="16"/>
      <c r="W852" s="16"/>
      <c r="X852" s="16"/>
      <c r="Y852" s="30"/>
      <c r="Z852" s="16" t="s">
        <v>174</v>
      </c>
    </row>
    <row r="853">
      <c r="A853" s="28" t="s">
        <v>174</v>
      </c>
      <c r="B853" s="16"/>
      <c r="F853" s="45"/>
      <c r="H853" s="21"/>
      <c r="J853" s="21"/>
      <c r="M853" s="21"/>
      <c r="N853" s="21"/>
      <c r="O853" s="42"/>
      <c r="P853" s="30"/>
      <c r="R853" s="21"/>
      <c r="S853" s="31"/>
      <c r="U853" s="16"/>
      <c r="V853" s="16"/>
      <c r="W853" s="16"/>
      <c r="X853" s="16"/>
      <c r="Y853" s="30"/>
      <c r="Z853" s="16" t="s">
        <v>174</v>
      </c>
    </row>
    <row r="854">
      <c r="A854" s="28" t="s">
        <v>174</v>
      </c>
      <c r="B854" s="16"/>
      <c r="F854" s="45"/>
      <c r="H854" s="21"/>
      <c r="J854" s="21"/>
      <c r="M854" s="21"/>
      <c r="N854" s="21"/>
      <c r="O854" s="42"/>
      <c r="P854" s="30"/>
      <c r="R854" s="21"/>
      <c r="S854" s="31"/>
      <c r="U854" s="16"/>
      <c r="V854" s="16"/>
      <c r="W854" s="16"/>
      <c r="X854" s="16"/>
      <c r="Y854" s="30"/>
      <c r="Z854" s="16" t="s">
        <v>174</v>
      </c>
    </row>
    <row r="855">
      <c r="A855" s="28" t="s">
        <v>174</v>
      </c>
      <c r="B855" s="16"/>
      <c r="F855" s="45"/>
      <c r="H855" s="21"/>
      <c r="J855" s="21"/>
      <c r="M855" s="21"/>
      <c r="N855" s="21"/>
      <c r="O855" s="42"/>
      <c r="P855" s="30"/>
      <c r="R855" s="21"/>
      <c r="S855" s="31"/>
      <c r="U855" s="16"/>
      <c r="V855" s="16"/>
      <c r="W855" s="16"/>
      <c r="X855" s="16"/>
      <c r="Y855" s="30"/>
      <c r="Z855" s="16" t="s">
        <v>174</v>
      </c>
    </row>
    <row r="856">
      <c r="A856" s="28" t="s">
        <v>174</v>
      </c>
      <c r="B856" s="16"/>
      <c r="F856" s="45"/>
      <c r="H856" s="21"/>
      <c r="J856" s="21"/>
      <c r="M856" s="21"/>
      <c r="N856" s="21"/>
      <c r="O856" s="42"/>
      <c r="P856" s="30"/>
      <c r="R856" s="21"/>
      <c r="S856" s="31"/>
      <c r="U856" s="16"/>
      <c r="V856" s="16"/>
      <c r="W856" s="16"/>
      <c r="X856" s="16"/>
      <c r="Y856" s="30"/>
      <c r="Z856" s="16" t="s">
        <v>174</v>
      </c>
    </row>
    <row r="857">
      <c r="A857" s="28" t="s">
        <v>174</v>
      </c>
      <c r="B857" s="16"/>
      <c r="F857" s="45"/>
      <c r="H857" s="21"/>
      <c r="J857" s="21"/>
      <c r="M857" s="21"/>
      <c r="N857" s="21"/>
      <c r="O857" s="42"/>
      <c r="P857" s="30"/>
      <c r="R857" s="21"/>
      <c r="S857" s="31"/>
      <c r="U857" s="16"/>
      <c r="V857" s="16"/>
      <c r="W857" s="16"/>
      <c r="X857" s="16"/>
      <c r="Y857" s="30"/>
      <c r="Z857" s="16" t="s">
        <v>174</v>
      </c>
    </row>
    <row r="858">
      <c r="A858" s="28" t="s">
        <v>174</v>
      </c>
      <c r="B858" s="16"/>
      <c r="F858" s="45"/>
      <c r="H858" s="21"/>
      <c r="J858" s="21"/>
      <c r="M858" s="21"/>
      <c r="N858" s="21"/>
      <c r="O858" s="42"/>
      <c r="P858" s="30"/>
      <c r="R858" s="21"/>
      <c r="S858" s="31"/>
      <c r="U858" s="16"/>
      <c r="V858" s="16"/>
      <c r="W858" s="16"/>
      <c r="X858" s="16"/>
      <c r="Y858" s="30"/>
      <c r="Z858" s="16" t="s">
        <v>174</v>
      </c>
    </row>
    <row r="859">
      <c r="A859" s="28" t="s">
        <v>174</v>
      </c>
      <c r="B859" s="16"/>
      <c r="F859" s="45"/>
      <c r="H859" s="21"/>
      <c r="J859" s="21"/>
      <c r="M859" s="21"/>
      <c r="N859" s="21"/>
      <c r="O859" s="42"/>
      <c r="P859" s="30"/>
      <c r="R859" s="21"/>
      <c r="S859" s="31"/>
      <c r="U859" s="16"/>
      <c r="V859" s="16"/>
      <c r="W859" s="16"/>
      <c r="X859" s="16"/>
      <c r="Y859" s="30"/>
      <c r="Z859" s="16" t="s">
        <v>174</v>
      </c>
    </row>
    <row r="860">
      <c r="A860" s="28" t="s">
        <v>174</v>
      </c>
      <c r="B860" s="16"/>
      <c r="F860" s="45"/>
      <c r="H860" s="21"/>
      <c r="J860" s="21"/>
      <c r="M860" s="21"/>
      <c r="N860" s="21"/>
      <c r="O860" s="42"/>
      <c r="P860" s="30"/>
      <c r="R860" s="21"/>
      <c r="S860" s="31"/>
      <c r="U860" s="16"/>
      <c r="V860" s="16"/>
      <c r="W860" s="16"/>
      <c r="X860" s="16"/>
      <c r="Y860" s="30"/>
      <c r="Z860" s="16" t="s">
        <v>174</v>
      </c>
    </row>
    <row r="861">
      <c r="A861" s="28" t="s">
        <v>174</v>
      </c>
      <c r="B861" s="16"/>
      <c r="F861" s="45"/>
      <c r="H861" s="21"/>
      <c r="J861" s="21"/>
      <c r="M861" s="21"/>
      <c r="N861" s="21"/>
      <c r="O861" s="42"/>
      <c r="P861" s="30"/>
      <c r="R861" s="21"/>
      <c r="S861" s="31"/>
      <c r="U861" s="16"/>
      <c r="V861" s="16"/>
      <c r="W861" s="16"/>
      <c r="X861" s="16"/>
      <c r="Y861" s="30"/>
      <c r="Z861" s="16" t="s">
        <v>174</v>
      </c>
    </row>
    <row r="862">
      <c r="A862" s="28" t="s">
        <v>174</v>
      </c>
      <c r="B862" s="16"/>
      <c r="F862" s="45"/>
      <c r="H862" s="21"/>
      <c r="J862" s="21"/>
      <c r="M862" s="21"/>
      <c r="N862" s="21"/>
      <c r="O862" s="42"/>
      <c r="P862" s="30"/>
      <c r="R862" s="21"/>
      <c r="S862" s="31"/>
      <c r="U862" s="16"/>
      <c r="V862" s="16"/>
      <c r="W862" s="16"/>
      <c r="X862" s="16"/>
      <c r="Y862" s="30"/>
      <c r="Z862" s="16" t="s">
        <v>174</v>
      </c>
    </row>
    <row r="863">
      <c r="A863" s="28" t="s">
        <v>174</v>
      </c>
      <c r="B863" s="16"/>
      <c r="F863" s="45"/>
      <c r="H863" s="21"/>
      <c r="J863" s="21"/>
      <c r="M863" s="21"/>
      <c r="N863" s="21"/>
      <c r="O863" s="42"/>
      <c r="P863" s="30"/>
      <c r="R863" s="21"/>
      <c r="S863" s="31"/>
      <c r="U863" s="16"/>
      <c r="V863" s="16"/>
      <c r="W863" s="16"/>
      <c r="X863" s="16"/>
      <c r="Y863" s="30"/>
      <c r="Z863" s="16" t="s">
        <v>174</v>
      </c>
    </row>
    <row r="864">
      <c r="A864" s="28" t="s">
        <v>174</v>
      </c>
      <c r="B864" s="16"/>
      <c r="F864" s="45"/>
      <c r="H864" s="21"/>
      <c r="J864" s="21"/>
      <c r="M864" s="21"/>
      <c r="N864" s="21"/>
      <c r="O864" s="42"/>
      <c r="P864" s="30"/>
      <c r="R864" s="21"/>
      <c r="S864" s="31"/>
      <c r="U864" s="16"/>
      <c r="V864" s="16"/>
      <c r="W864" s="16"/>
      <c r="X864" s="16"/>
      <c r="Y864" s="30"/>
      <c r="Z864" s="16" t="s">
        <v>174</v>
      </c>
    </row>
    <row r="865">
      <c r="A865" s="28" t="s">
        <v>174</v>
      </c>
      <c r="B865" s="16"/>
      <c r="F865" s="45"/>
      <c r="H865" s="21"/>
      <c r="J865" s="21"/>
      <c r="M865" s="21"/>
      <c r="N865" s="21"/>
      <c r="O865" s="42"/>
      <c r="P865" s="30"/>
      <c r="R865" s="21"/>
      <c r="S865" s="31"/>
      <c r="U865" s="16"/>
      <c r="V865" s="16"/>
      <c r="W865" s="16"/>
      <c r="X865" s="16"/>
      <c r="Y865" s="30"/>
      <c r="Z865" s="16" t="s">
        <v>174</v>
      </c>
    </row>
    <row r="866">
      <c r="A866" s="28" t="s">
        <v>174</v>
      </c>
      <c r="B866" s="16"/>
      <c r="F866" s="45"/>
      <c r="H866" s="21"/>
      <c r="J866" s="21"/>
      <c r="M866" s="21"/>
      <c r="N866" s="21"/>
      <c r="O866" s="42"/>
      <c r="P866" s="30"/>
      <c r="R866" s="21"/>
      <c r="S866" s="31"/>
      <c r="U866" s="16"/>
      <c r="V866" s="16"/>
      <c r="W866" s="16"/>
      <c r="X866" s="16"/>
      <c r="Y866" s="30"/>
      <c r="Z866" s="16" t="s">
        <v>174</v>
      </c>
    </row>
    <row r="867">
      <c r="A867" s="28" t="s">
        <v>174</v>
      </c>
      <c r="B867" s="16"/>
      <c r="F867" s="45"/>
      <c r="H867" s="21"/>
      <c r="J867" s="21"/>
      <c r="M867" s="21"/>
      <c r="N867" s="21"/>
      <c r="O867" s="42"/>
      <c r="P867" s="30"/>
      <c r="R867" s="21"/>
      <c r="S867" s="31"/>
      <c r="U867" s="16"/>
      <c r="V867" s="16"/>
      <c r="W867" s="16"/>
      <c r="X867" s="16"/>
      <c r="Y867" s="30"/>
      <c r="Z867" s="16" t="s">
        <v>174</v>
      </c>
    </row>
    <row r="868">
      <c r="A868" s="28" t="s">
        <v>174</v>
      </c>
      <c r="B868" s="16"/>
      <c r="F868" s="45"/>
      <c r="H868" s="21"/>
      <c r="J868" s="21"/>
      <c r="M868" s="21"/>
      <c r="N868" s="21"/>
      <c r="O868" s="42"/>
      <c r="P868" s="30"/>
      <c r="R868" s="21"/>
      <c r="S868" s="31"/>
      <c r="U868" s="16"/>
      <c r="V868" s="16"/>
      <c r="W868" s="16"/>
      <c r="X868" s="16"/>
      <c r="Y868" s="30"/>
      <c r="Z868" s="16" t="s">
        <v>174</v>
      </c>
    </row>
  </sheetData>
  <dataValidations>
    <dataValidation type="list" allowBlank="1" showErrorMessage="1" sqref="R2:R868">
      <formula1>"Intro Email Sent,Company Profile Shared,Product Brochure Shared,Contact Details Verified,Called Client,Intro Call Scheduled,Lead Qualified,Assign to Sales Rep,Follow Up Sent"</formula1>
    </dataValidation>
    <dataValidation type="list" allowBlank="1" showErrorMessage="1" sqref="J2:J868">
      <formula1>"Ed-Tech,AI Solutions,Publishing,Localization,Technology,Recruitment,BPO,Edtech and Ai"</formula1>
    </dataValidation>
    <dataValidation type="list" allowBlank="1" showErrorMessage="1" sqref="H2:H868">
      <formula1>"LinkedIn,Twitter,Instagram,Facebook,Youtube,By Refrence"</formula1>
    </dataValidation>
    <dataValidation type="list" allowBlank="1" showErrorMessage="1" sqref="N2:N868">
      <formula1>"Sandeep Kumar,Bakhshish,Vaibhavi Priya"</formula1>
    </dataValidation>
    <dataValidation type="list" allowBlank="1" showErrorMessage="1" sqref="M2:M868">
      <formula1>"India,United States,United Kingdom,Singapore,Dubai,Canada,Australia,Poland"</formula1>
    </dataValidation>
    <dataValidation type="list" allowBlank="1" showErrorMessage="1" sqref="O2:O868">
      <formula1>"New,In Discussion,Proposal Sent,Won,Lost,Follow up,Ready"</formula1>
    </dataValidation>
  </dataValidations>
  <hyperlinks>
    <hyperlink r:id="rId1" ref="K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0</v>
      </c>
      <c r="B1" s="2" t="s">
        <v>1</v>
      </c>
      <c r="C1" s="2" t="s">
        <v>2</v>
      </c>
      <c r="D1" s="2" t="s">
        <v>3</v>
      </c>
      <c r="E1" s="2" t="s">
        <v>4</v>
      </c>
      <c r="F1" s="6" t="s">
        <v>5</v>
      </c>
      <c r="G1" s="1" t="s">
        <v>6</v>
      </c>
      <c r="H1" s="2" t="s">
        <v>7</v>
      </c>
      <c r="I1" s="2" t="s">
        <v>8</v>
      </c>
      <c r="J1" s="2" t="s">
        <v>9</v>
      </c>
      <c r="K1" s="2" t="s">
        <v>10</v>
      </c>
      <c r="L1" s="2" t="s">
        <v>11</v>
      </c>
      <c r="M1" s="2" t="s">
        <v>12</v>
      </c>
      <c r="N1" s="2" t="s">
        <v>14</v>
      </c>
      <c r="O1" s="2" t="s">
        <v>15</v>
      </c>
      <c r="P1" s="3" t="s">
        <v>16</v>
      </c>
      <c r="Q1" s="2" t="s">
        <v>17</v>
      </c>
      <c r="R1" s="2" t="s">
        <v>18</v>
      </c>
      <c r="S1" s="9" t="s">
        <v>19</v>
      </c>
      <c r="T1" s="3" t="s">
        <v>20</v>
      </c>
      <c r="U1" s="2" t="s">
        <v>22</v>
      </c>
      <c r="V1" s="2" t="s">
        <v>23</v>
      </c>
      <c r="W1" s="2" t="s">
        <v>24</v>
      </c>
      <c r="X1" s="2" t="s">
        <v>25</v>
      </c>
      <c r="Y1" s="3" t="s">
        <v>26</v>
      </c>
      <c r="Z1" s="6" t="s">
        <v>27</v>
      </c>
      <c r="AA1" s="12"/>
    </row>
    <row r="2" hidden="1">
      <c r="A2" s="15" t="str">
        <f t="array" ref="A2:A3">IF(C2:C998&lt;&gt;"",IF(A2:A998="",TODAY(),A2:A998),"")</f>
        <v>#REF!</v>
      </c>
      <c r="B2" s="16" t="str">
        <f t="array" ref="B2:B3">IF(C2:C998&lt;&gt;"","MLD-"&amp;TEXT(ROW(C2:C998)-1,"000"),)</f>
        <v>#REF!</v>
      </c>
      <c r="C2" s="17" t="s">
        <v>33</v>
      </c>
      <c r="D2" s="17">
        <v>6.377809826E9</v>
      </c>
      <c r="E2" s="17" t="s">
        <v>34</v>
      </c>
      <c r="F2" s="18" t="s">
        <v>35</v>
      </c>
      <c r="H2" s="17" t="s">
        <v>37</v>
      </c>
      <c r="I2" s="19" t="s">
        <v>38</v>
      </c>
      <c r="J2" s="17" t="s">
        <v>40</v>
      </c>
      <c r="K2" s="24" t="s">
        <v>41</v>
      </c>
      <c r="L2" s="19" t="s">
        <v>43</v>
      </c>
      <c r="M2" s="17" t="s">
        <v>47</v>
      </c>
      <c r="N2" s="17"/>
      <c r="O2" s="26" t="s">
        <v>52</v>
      </c>
      <c r="P2" s="29" t="str">
        <f t="array" ref="P2:P3">IF(T2:T998&lt;&gt;"", T2:T998 + 15, )</f>
        <v>#REF!</v>
      </c>
      <c r="R2" s="21"/>
      <c r="S2" s="31"/>
      <c r="T2" s="29"/>
      <c r="U2" s="32" t="str">
        <f t="array" ref="U2:U4">IF(T2:T998&lt;&gt;"",
    INT(TODAY() - T2:T998) &amp; " days ago",
    )
</f>
        <v>#REF!</v>
      </c>
      <c r="V2" s="16" t="str">
        <f t="array" ref="V2:V4">IF(P2:P998&lt;&gt;"", P2:P998&lt;TODAY(), )</f>
        <v>#REF!</v>
      </c>
      <c r="W2" s="32" t="str">
        <f t="array" ref="W2:W4">IF(P2:P998&lt;&gt;"", IF(P2:P998&lt;TODAY(), TODAY()-P2:P998, 0), )</f>
        <v>#REF!</v>
      </c>
      <c r="X2" s="16" t="str">
        <f t="array" ref="X2:X4">IF(O2:O998&lt;&gt;"",
   IF(O2:O998="New",2,
   IF(O2:O998="In Discussion",3,
   IF(O2:O998="Proposal Sent",5,
   IF(O2:O998="Won",0,
   IF(O2:O998="Lost",0,0))))),
)
</f>
        <v>#REF!</v>
      </c>
      <c r="Y2" s="29" t="str">
        <f t="array" ref="Y2:Y3">IF(P2:P998&lt;&gt;"", P2:P998 + X2:X998, )
</f>
        <v>#REF!</v>
      </c>
      <c r="Z2" s="33" t="str">
        <f t="array" ref="Z2:Z4">IF(O2:O998="","",
   SWITCH(O2:O998,
     "Won", 100,
     "Loss", 0,
     "In Discussion", 50,
     "Proposal Sent", 10,
     "New", 0,
     0
   )
 )
</f>
        <v>#REF!</v>
      </c>
    </row>
    <row r="3">
      <c r="A3" s="15">
        <v>46253.0</v>
      </c>
      <c r="B3" s="19" t="s">
        <v>105</v>
      </c>
      <c r="C3" s="17" t="s">
        <v>106</v>
      </c>
      <c r="D3" s="19" t="s">
        <v>107</v>
      </c>
      <c r="E3" s="19" t="s">
        <v>108</v>
      </c>
      <c r="F3" s="19" t="s">
        <v>109</v>
      </c>
      <c r="H3" s="17"/>
      <c r="I3" s="19" t="s">
        <v>110</v>
      </c>
      <c r="O3" s="19" t="s">
        <v>112</v>
      </c>
      <c r="P3" s="15">
        <v>46286.52970332176</v>
      </c>
      <c r="R3" s="21"/>
      <c r="S3" s="34">
        <v>46256.52970332176</v>
      </c>
      <c r="T3" s="15">
        <v>46256.52970332176</v>
      </c>
      <c r="U3" s="16"/>
      <c r="V3" s="16"/>
      <c r="W3" s="16"/>
      <c r="X3" s="16"/>
      <c r="Y3" s="15">
        <v>46316.52970332176</v>
      </c>
      <c r="Z3" s="16"/>
    </row>
    <row r="4">
      <c r="A4" s="15">
        <v>46263.0</v>
      </c>
      <c r="B4" s="19" t="s">
        <v>116</v>
      </c>
      <c r="C4" s="19" t="s">
        <v>117</v>
      </c>
      <c r="H4" s="17" t="s">
        <v>37</v>
      </c>
      <c r="J4" s="19" t="s">
        <v>40</v>
      </c>
      <c r="O4" s="19" t="s">
        <v>112</v>
      </c>
      <c r="P4" s="15">
        <v>46293.67197555555</v>
      </c>
      <c r="R4" s="21"/>
      <c r="S4" s="34">
        <v>46263.67197555555</v>
      </c>
      <c r="T4" s="15">
        <v>46263.67197555555</v>
      </c>
      <c r="U4" s="19" t="s">
        <v>119</v>
      </c>
      <c r="V4" s="19" t="b">
        <v>0</v>
      </c>
      <c r="W4" s="25">
        <v>0.0</v>
      </c>
      <c r="X4" s="25">
        <v>5.0</v>
      </c>
      <c r="Y4" s="15">
        <v>46323.67197555555</v>
      </c>
      <c r="Z4" s="25">
        <v>10.0</v>
      </c>
    </row>
    <row r="5">
      <c r="A5" s="15"/>
      <c r="H5" s="17"/>
      <c r="O5" s="16"/>
      <c r="P5" s="15"/>
      <c r="R5" s="21"/>
      <c r="S5" s="34"/>
      <c r="T5" s="15"/>
      <c r="Y5" s="15"/>
    </row>
    <row r="6">
      <c r="A6" s="29"/>
      <c r="H6" s="17"/>
      <c r="O6" s="16"/>
      <c r="P6" s="29"/>
      <c r="R6" s="21"/>
      <c r="T6" s="29"/>
      <c r="Y6" s="29"/>
    </row>
    <row r="7">
      <c r="A7" s="29"/>
      <c r="H7" s="17"/>
      <c r="O7" s="16"/>
      <c r="P7" s="29"/>
      <c r="R7" s="21"/>
      <c r="T7" s="29"/>
      <c r="Y7" s="29"/>
    </row>
    <row r="8">
      <c r="A8" s="29"/>
      <c r="H8" s="17"/>
      <c r="O8" s="16"/>
      <c r="P8" s="29"/>
      <c r="R8" s="21"/>
      <c r="T8" s="29"/>
      <c r="Y8" s="29"/>
    </row>
    <row r="9">
      <c r="A9" s="15"/>
      <c r="H9" s="17"/>
      <c r="O9" s="16"/>
      <c r="P9" s="15"/>
      <c r="R9" s="21"/>
      <c r="S9" s="35"/>
      <c r="T9" s="15"/>
      <c r="Y9" s="15"/>
    </row>
    <row r="10">
      <c r="A10" s="29"/>
      <c r="H10" s="17"/>
      <c r="O10" s="16"/>
      <c r="P10" s="29"/>
      <c r="R10" s="21"/>
      <c r="T10" s="29"/>
      <c r="Y10" s="29"/>
    </row>
    <row r="11">
      <c r="A11" s="29"/>
      <c r="H11" s="17"/>
      <c r="O11" s="16"/>
      <c r="P11" s="29"/>
      <c r="R11" s="21"/>
      <c r="T11" s="29"/>
      <c r="Y11" s="29"/>
    </row>
    <row r="12">
      <c r="A12" s="29"/>
      <c r="H12" s="17"/>
      <c r="O12" s="16"/>
      <c r="P12" s="29"/>
      <c r="R12" s="21"/>
      <c r="T12" s="29"/>
      <c r="Y12" s="29"/>
    </row>
    <row r="13">
      <c r="A13" s="29"/>
      <c r="H13" s="17"/>
      <c r="O13" s="16"/>
      <c r="P13" s="29"/>
      <c r="R13" s="21"/>
      <c r="T13" s="29"/>
      <c r="Y13" s="29"/>
    </row>
    <row r="14">
      <c r="A14" s="29"/>
      <c r="H14" s="17"/>
      <c r="O14" s="16"/>
      <c r="P14" s="29"/>
      <c r="R14" s="21"/>
      <c r="T14" s="29"/>
      <c r="Y14" s="29"/>
    </row>
    <row r="15">
      <c r="A15" s="29"/>
      <c r="H15" s="17"/>
      <c r="O15" s="16"/>
      <c r="P15" s="29"/>
      <c r="R15" s="21"/>
      <c r="T15" s="29"/>
      <c r="Y15" s="29"/>
    </row>
    <row r="16">
      <c r="A16" s="29"/>
      <c r="H16" s="17"/>
      <c r="O16" s="16"/>
      <c r="P16" s="29"/>
      <c r="R16" s="21"/>
      <c r="T16" s="29"/>
      <c r="Y16" s="29"/>
    </row>
    <row r="17">
      <c r="A17" s="29"/>
      <c r="H17" s="17"/>
      <c r="O17" s="16"/>
      <c r="P17" s="29"/>
      <c r="R17" s="21"/>
      <c r="T17" s="29"/>
      <c r="Y17" s="29"/>
    </row>
    <row r="18">
      <c r="A18" s="29"/>
      <c r="H18" s="17"/>
      <c r="O18" s="16"/>
      <c r="P18" s="29"/>
      <c r="R18" s="21"/>
      <c r="T18" s="29"/>
      <c r="Y18" s="29"/>
    </row>
    <row r="19">
      <c r="A19" s="29"/>
      <c r="H19" s="17"/>
      <c r="O19" s="16"/>
      <c r="P19" s="29"/>
      <c r="R19" s="21"/>
      <c r="T19" s="29"/>
      <c r="Y19" s="29"/>
    </row>
    <row r="20">
      <c r="A20" s="29"/>
      <c r="H20" s="17"/>
      <c r="O20" s="16"/>
      <c r="P20" s="29"/>
      <c r="R20" s="21"/>
      <c r="T20" s="29"/>
      <c r="Y20" s="29"/>
    </row>
    <row r="21">
      <c r="A21" s="29"/>
      <c r="H21" s="17"/>
      <c r="O21" s="16"/>
      <c r="P21" s="29"/>
      <c r="R21" s="21"/>
      <c r="T21" s="29"/>
      <c r="Y21" s="29"/>
    </row>
    <row r="22">
      <c r="A22" s="29"/>
      <c r="H22" s="17"/>
      <c r="O22" s="16"/>
      <c r="P22" s="29"/>
      <c r="R22" s="21"/>
      <c r="T22" s="29"/>
      <c r="Y22" s="29"/>
    </row>
    <row r="23">
      <c r="A23" s="29"/>
      <c r="H23" s="17"/>
      <c r="O23" s="16"/>
      <c r="P23" s="29"/>
      <c r="R23" s="21"/>
      <c r="T23" s="29"/>
      <c r="Y23" s="29"/>
    </row>
    <row r="24">
      <c r="A24" s="29"/>
      <c r="H24" s="17"/>
      <c r="O24" s="16"/>
      <c r="P24" s="29"/>
      <c r="R24" s="21"/>
      <c r="T24" s="29"/>
      <c r="Y24" s="29"/>
    </row>
    <row r="25">
      <c r="A25" s="29"/>
      <c r="H25" s="17"/>
      <c r="O25" s="16"/>
      <c r="P25" s="29"/>
      <c r="R25" s="21"/>
      <c r="T25" s="29"/>
      <c r="Y25" s="29"/>
    </row>
    <row r="26">
      <c r="A26" s="29"/>
      <c r="H26" s="17"/>
      <c r="O26" s="16"/>
      <c r="P26" s="29"/>
      <c r="R26" s="21"/>
      <c r="T26" s="29"/>
      <c r="Y26" s="29"/>
    </row>
    <row r="27">
      <c r="A27" s="29"/>
      <c r="H27" s="17"/>
      <c r="O27" s="16"/>
      <c r="P27" s="29"/>
      <c r="R27" s="21"/>
      <c r="T27" s="29"/>
      <c r="Y27" s="29"/>
    </row>
    <row r="28">
      <c r="A28" s="29"/>
      <c r="H28" s="17"/>
      <c r="O28" s="16"/>
      <c r="P28" s="29"/>
      <c r="R28" s="21"/>
      <c r="T28" s="29"/>
      <c r="Y28" s="29"/>
    </row>
    <row r="29">
      <c r="A29" s="29"/>
      <c r="H29" s="17"/>
      <c r="O29" s="16"/>
      <c r="P29" s="29"/>
      <c r="R29" s="21"/>
      <c r="T29" s="29"/>
      <c r="Y29" s="29"/>
    </row>
    <row r="30">
      <c r="A30" s="29"/>
      <c r="H30" s="17"/>
      <c r="O30" s="16"/>
      <c r="P30" s="29"/>
      <c r="R30" s="21"/>
      <c r="T30" s="29"/>
      <c r="Y30" s="29"/>
    </row>
    <row r="31">
      <c r="A31" s="29"/>
      <c r="H31" s="17"/>
      <c r="O31" s="16"/>
      <c r="P31" s="29"/>
      <c r="R31" s="21"/>
      <c r="T31" s="29"/>
      <c r="Y31" s="29"/>
    </row>
    <row r="32">
      <c r="A32" s="29"/>
      <c r="H32" s="17"/>
      <c r="O32" s="16"/>
      <c r="P32" s="29"/>
      <c r="R32" s="21"/>
      <c r="T32" s="29"/>
      <c r="Y32" s="29"/>
    </row>
    <row r="33">
      <c r="A33" s="29"/>
      <c r="H33" s="17"/>
      <c r="O33" s="16"/>
      <c r="P33" s="29"/>
      <c r="R33" s="21"/>
      <c r="T33" s="29"/>
      <c r="Y33" s="29"/>
    </row>
    <row r="34">
      <c r="A34" s="29"/>
      <c r="H34" s="17"/>
      <c r="O34" s="16"/>
      <c r="P34" s="29"/>
      <c r="R34" s="21"/>
      <c r="T34" s="29"/>
      <c r="Y34" s="29"/>
    </row>
    <row r="35">
      <c r="A35" s="29"/>
      <c r="H35" s="17"/>
      <c r="O35" s="16"/>
      <c r="P35" s="29"/>
      <c r="R35" s="21"/>
      <c r="T35" s="29"/>
      <c r="Y35" s="29"/>
    </row>
    <row r="36">
      <c r="A36" s="29"/>
      <c r="H36" s="17"/>
      <c r="O36" s="16"/>
      <c r="P36" s="29"/>
      <c r="R36" s="21"/>
      <c r="T36" s="29"/>
      <c r="Y36" s="29"/>
    </row>
    <row r="37">
      <c r="A37" s="29"/>
      <c r="H37" s="17"/>
      <c r="O37" s="16"/>
      <c r="P37" s="29"/>
      <c r="R37" s="21"/>
      <c r="T37" s="29"/>
      <c r="Y37" s="29"/>
    </row>
    <row r="38">
      <c r="A38" s="29"/>
      <c r="H38" s="17"/>
      <c r="O38" s="16"/>
      <c r="P38" s="29"/>
      <c r="R38" s="21"/>
      <c r="T38" s="29"/>
      <c r="Y38" s="29"/>
    </row>
    <row r="39">
      <c r="A39" s="29"/>
      <c r="H39" s="17"/>
      <c r="O39" s="16"/>
      <c r="P39" s="29"/>
      <c r="R39" s="21"/>
      <c r="T39" s="29"/>
      <c r="Y39" s="29"/>
    </row>
    <row r="40">
      <c r="A40" s="29"/>
      <c r="H40" s="17"/>
      <c r="O40" s="16"/>
      <c r="P40" s="29"/>
      <c r="R40" s="21"/>
      <c r="T40" s="29"/>
      <c r="Y40" s="29"/>
    </row>
    <row r="41">
      <c r="A41" s="29"/>
      <c r="H41" s="17"/>
      <c r="O41" s="16"/>
      <c r="P41" s="29"/>
      <c r="R41" s="21"/>
      <c r="T41" s="29"/>
      <c r="Y41" s="29"/>
    </row>
    <row r="42">
      <c r="A42" s="29"/>
      <c r="H42" s="17"/>
      <c r="O42" s="16"/>
      <c r="P42" s="29"/>
      <c r="R42" s="21"/>
      <c r="T42" s="29"/>
      <c r="Y42" s="29"/>
    </row>
    <row r="43">
      <c r="A43" s="29"/>
      <c r="H43" s="17"/>
      <c r="O43" s="16"/>
      <c r="P43" s="29"/>
      <c r="R43" s="21"/>
      <c r="T43" s="29"/>
      <c r="Y43" s="29"/>
    </row>
    <row r="44">
      <c r="A44" s="29"/>
      <c r="H44" s="17"/>
      <c r="O44" s="16"/>
      <c r="P44" s="29"/>
      <c r="R44" s="21"/>
      <c r="T44" s="29"/>
      <c r="Y44" s="29"/>
    </row>
    <row r="45">
      <c r="A45" s="29"/>
      <c r="H45" s="17"/>
      <c r="O45" s="16"/>
      <c r="P45" s="29"/>
      <c r="R45" s="21"/>
      <c r="T45" s="29"/>
      <c r="Y45" s="29"/>
    </row>
    <row r="46">
      <c r="A46" s="29"/>
      <c r="H46" s="17"/>
      <c r="O46" s="16"/>
      <c r="P46" s="29"/>
      <c r="R46" s="21"/>
      <c r="T46" s="29"/>
      <c r="Y46" s="29"/>
    </row>
    <row r="47">
      <c r="A47" s="29"/>
      <c r="H47" s="17"/>
      <c r="O47" s="16"/>
      <c r="P47" s="29"/>
      <c r="R47" s="21"/>
      <c r="T47" s="29"/>
      <c r="Y47" s="29"/>
    </row>
    <row r="48">
      <c r="A48" s="29"/>
      <c r="H48" s="17"/>
      <c r="O48" s="16"/>
      <c r="P48" s="29"/>
      <c r="R48" s="21"/>
      <c r="T48" s="29"/>
      <c r="Y48" s="29"/>
    </row>
    <row r="49">
      <c r="A49" s="29"/>
      <c r="H49" s="17"/>
      <c r="O49" s="16"/>
      <c r="P49" s="29"/>
      <c r="R49" s="21"/>
      <c r="T49" s="29"/>
      <c r="Y49" s="29"/>
    </row>
    <row r="50">
      <c r="A50" s="29"/>
      <c r="H50" s="17"/>
      <c r="O50" s="16"/>
      <c r="P50" s="29"/>
      <c r="R50" s="21"/>
      <c r="T50" s="29"/>
      <c r="Y50" s="29"/>
    </row>
    <row r="51">
      <c r="A51" s="29"/>
      <c r="H51" s="17"/>
      <c r="O51" s="16"/>
      <c r="P51" s="29"/>
      <c r="R51" s="21"/>
      <c r="T51" s="29"/>
      <c r="Y51" s="29"/>
    </row>
    <row r="52">
      <c r="A52" s="29"/>
      <c r="H52" s="17"/>
      <c r="O52" s="16"/>
      <c r="P52" s="29"/>
      <c r="R52" s="21"/>
      <c r="T52" s="29"/>
      <c r="Y52" s="29"/>
    </row>
    <row r="53">
      <c r="A53" s="29"/>
      <c r="H53" s="17"/>
      <c r="O53" s="16"/>
      <c r="P53" s="29"/>
      <c r="R53" s="21"/>
      <c r="T53" s="29"/>
      <c r="Y53" s="29"/>
    </row>
    <row r="54">
      <c r="A54" s="29"/>
      <c r="H54" s="17"/>
      <c r="O54" s="16"/>
      <c r="P54" s="29"/>
      <c r="R54" s="21"/>
      <c r="T54" s="29"/>
      <c r="Y54" s="29"/>
    </row>
    <row r="55">
      <c r="A55" s="29"/>
      <c r="H55" s="17"/>
      <c r="O55" s="16"/>
      <c r="P55" s="29"/>
      <c r="R55" s="21"/>
      <c r="T55" s="29"/>
      <c r="Y55" s="29"/>
    </row>
    <row r="56">
      <c r="A56" s="29"/>
      <c r="H56" s="17"/>
      <c r="O56" s="16"/>
      <c r="P56" s="29"/>
      <c r="R56" s="21"/>
      <c r="T56" s="29"/>
      <c r="Y56" s="29"/>
    </row>
    <row r="57">
      <c r="A57" s="29"/>
      <c r="H57" s="17"/>
      <c r="O57" s="16"/>
      <c r="P57" s="29"/>
      <c r="R57" s="21"/>
      <c r="T57" s="29"/>
      <c r="Y57" s="29"/>
    </row>
    <row r="58">
      <c r="A58" s="29"/>
      <c r="H58" s="17"/>
      <c r="O58" s="16"/>
      <c r="P58" s="29"/>
      <c r="R58" s="21"/>
      <c r="T58" s="29"/>
      <c r="Y58" s="29"/>
    </row>
    <row r="59">
      <c r="A59" s="29"/>
      <c r="H59" s="17"/>
      <c r="O59" s="16"/>
      <c r="P59" s="29"/>
      <c r="R59" s="21"/>
      <c r="T59" s="29"/>
      <c r="Y59" s="29"/>
    </row>
    <row r="60">
      <c r="A60" s="29"/>
      <c r="H60" s="17"/>
      <c r="O60" s="16"/>
      <c r="P60" s="29"/>
      <c r="R60" s="21"/>
      <c r="T60" s="29"/>
      <c r="Y60" s="29"/>
    </row>
    <row r="61">
      <c r="A61" s="29"/>
      <c r="H61" s="17"/>
      <c r="O61" s="16"/>
      <c r="P61" s="29"/>
      <c r="R61" s="21"/>
      <c r="T61" s="29"/>
      <c r="Y61" s="29"/>
    </row>
    <row r="62">
      <c r="A62" s="29"/>
      <c r="H62" s="17"/>
      <c r="O62" s="16"/>
      <c r="P62" s="29"/>
      <c r="R62" s="21"/>
      <c r="T62" s="29"/>
      <c r="Y62" s="29"/>
    </row>
    <row r="63">
      <c r="A63" s="29"/>
      <c r="H63" s="17"/>
      <c r="O63" s="16"/>
      <c r="P63" s="29"/>
      <c r="R63" s="21"/>
      <c r="T63" s="29"/>
      <c r="Y63" s="29"/>
    </row>
    <row r="64">
      <c r="A64" s="29"/>
      <c r="H64" s="17"/>
      <c r="O64" s="16"/>
      <c r="P64" s="29"/>
      <c r="R64" s="21"/>
      <c r="T64" s="29"/>
      <c r="Y64" s="29"/>
    </row>
    <row r="65">
      <c r="A65" s="29"/>
      <c r="H65" s="17"/>
      <c r="O65" s="16"/>
      <c r="P65" s="29"/>
      <c r="R65" s="21"/>
      <c r="T65" s="29"/>
      <c r="Y65" s="29"/>
    </row>
    <row r="66">
      <c r="A66" s="29"/>
      <c r="H66" s="17"/>
      <c r="O66" s="16"/>
      <c r="P66" s="29"/>
      <c r="R66" s="21"/>
      <c r="T66" s="29"/>
      <c r="Y66" s="29"/>
    </row>
    <row r="67">
      <c r="A67" s="29"/>
      <c r="H67" s="17"/>
      <c r="O67" s="16"/>
      <c r="P67" s="29"/>
      <c r="R67" s="21"/>
      <c r="T67" s="29"/>
      <c r="Y67" s="29"/>
    </row>
    <row r="68">
      <c r="A68" s="29"/>
      <c r="H68" s="17"/>
      <c r="O68" s="16"/>
      <c r="P68" s="29"/>
      <c r="R68" s="21"/>
      <c r="T68" s="29"/>
      <c r="Y68" s="29"/>
    </row>
    <row r="69">
      <c r="A69" s="29"/>
      <c r="H69" s="17"/>
      <c r="O69" s="16"/>
      <c r="P69" s="29"/>
      <c r="R69" s="21"/>
      <c r="T69" s="29"/>
      <c r="Y69" s="29"/>
    </row>
    <row r="70">
      <c r="A70" s="29"/>
      <c r="H70" s="17"/>
      <c r="O70" s="16"/>
      <c r="P70" s="29"/>
      <c r="R70" s="21"/>
      <c r="T70" s="29"/>
      <c r="Y70" s="29"/>
    </row>
    <row r="71">
      <c r="A71" s="29"/>
      <c r="H71" s="17"/>
      <c r="O71" s="16"/>
      <c r="P71" s="29"/>
      <c r="R71" s="21"/>
      <c r="T71" s="29"/>
      <c r="Y71" s="29"/>
    </row>
    <row r="72">
      <c r="A72" s="29"/>
      <c r="H72" s="17"/>
      <c r="O72" s="16"/>
      <c r="P72" s="29"/>
      <c r="R72" s="21"/>
      <c r="T72" s="29"/>
      <c r="Y72" s="29"/>
    </row>
    <row r="73">
      <c r="A73" s="29"/>
      <c r="H73" s="17"/>
      <c r="O73" s="16"/>
      <c r="P73" s="29"/>
      <c r="R73" s="21"/>
      <c r="T73" s="29"/>
      <c r="Y73" s="29"/>
    </row>
    <row r="74">
      <c r="A74" s="29"/>
      <c r="H74" s="17"/>
      <c r="O74" s="16"/>
      <c r="P74" s="29"/>
      <c r="R74" s="21"/>
      <c r="T74" s="29"/>
      <c r="Y74" s="29"/>
    </row>
    <row r="75">
      <c r="A75" s="29"/>
      <c r="H75" s="17"/>
      <c r="O75" s="16"/>
      <c r="P75" s="29"/>
      <c r="R75" s="21"/>
      <c r="T75" s="29"/>
      <c r="Y75" s="29"/>
    </row>
    <row r="76">
      <c r="A76" s="29"/>
      <c r="H76" s="17"/>
      <c r="O76" s="16"/>
      <c r="P76" s="29"/>
      <c r="R76" s="21"/>
      <c r="T76" s="29"/>
      <c r="Y76" s="29"/>
    </row>
    <row r="77">
      <c r="A77" s="29"/>
      <c r="H77" s="17"/>
      <c r="O77" s="16"/>
      <c r="P77" s="29"/>
      <c r="R77" s="21"/>
      <c r="T77" s="29"/>
      <c r="Y77" s="29"/>
    </row>
    <row r="78">
      <c r="A78" s="29"/>
      <c r="H78" s="17"/>
      <c r="O78" s="16"/>
      <c r="P78" s="29"/>
      <c r="R78" s="21"/>
      <c r="T78" s="29"/>
      <c r="Y78" s="29"/>
    </row>
    <row r="79">
      <c r="A79" s="29"/>
      <c r="H79" s="17"/>
      <c r="O79" s="16"/>
      <c r="P79" s="29"/>
      <c r="R79" s="21"/>
      <c r="T79" s="29"/>
      <c r="Y79" s="29"/>
    </row>
    <row r="80">
      <c r="A80" s="29"/>
      <c r="H80" s="17"/>
      <c r="O80" s="16"/>
      <c r="P80" s="29"/>
      <c r="R80" s="21"/>
      <c r="T80" s="29"/>
      <c r="Y80" s="29"/>
    </row>
    <row r="81">
      <c r="A81" s="29"/>
      <c r="H81" s="17"/>
      <c r="O81" s="16"/>
      <c r="P81" s="29"/>
      <c r="R81" s="21"/>
      <c r="T81" s="29"/>
      <c r="Y81" s="29"/>
    </row>
    <row r="82">
      <c r="A82" s="29"/>
      <c r="H82" s="17"/>
      <c r="O82" s="16"/>
      <c r="P82" s="29"/>
      <c r="R82" s="21"/>
      <c r="T82" s="29"/>
      <c r="Y82" s="29"/>
    </row>
    <row r="83">
      <c r="A83" s="29"/>
      <c r="H83" s="17"/>
      <c r="O83" s="16"/>
      <c r="P83" s="29"/>
      <c r="R83" s="21"/>
      <c r="T83" s="29"/>
      <c r="Y83" s="29"/>
    </row>
    <row r="84">
      <c r="A84" s="29"/>
      <c r="H84" s="17"/>
      <c r="O84" s="16"/>
      <c r="P84" s="29"/>
      <c r="R84" s="21"/>
      <c r="T84" s="29"/>
      <c r="Y84" s="29"/>
    </row>
    <row r="85">
      <c r="A85" s="29"/>
      <c r="H85" s="17"/>
      <c r="O85" s="16"/>
      <c r="P85" s="29"/>
      <c r="R85" s="21"/>
      <c r="T85" s="29"/>
      <c r="Y85" s="29"/>
    </row>
    <row r="86">
      <c r="A86" s="29"/>
      <c r="H86" s="17"/>
      <c r="O86" s="16"/>
      <c r="P86" s="29"/>
      <c r="R86" s="21"/>
      <c r="T86" s="29"/>
      <c r="Y86" s="29"/>
    </row>
    <row r="87">
      <c r="A87" s="29"/>
      <c r="H87" s="17"/>
      <c r="O87" s="16"/>
      <c r="P87" s="29"/>
      <c r="R87" s="21"/>
      <c r="T87" s="29"/>
      <c r="Y87" s="29"/>
    </row>
    <row r="88">
      <c r="A88" s="29"/>
      <c r="H88" s="17"/>
      <c r="O88" s="16"/>
      <c r="P88" s="29"/>
      <c r="R88" s="21"/>
      <c r="T88" s="29"/>
      <c r="Y88" s="29"/>
    </row>
    <row r="89">
      <c r="A89" s="29"/>
      <c r="H89" s="17"/>
      <c r="O89" s="16"/>
      <c r="P89" s="29"/>
      <c r="R89" s="21"/>
      <c r="T89" s="29"/>
      <c r="Y89" s="29"/>
    </row>
    <row r="90">
      <c r="A90" s="29"/>
      <c r="H90" s="17"/>
      <c r="O90" s="16"/>
      <c r="P90" s="29"/>
      <c r="R90" s="21"/>
      <c r="T90" s="29"/>
      <c r="Y90" s="29"/>
    </row>
    <row r="91">
      <c r="A91" s="29"/>
      <c r="H91" s="17"/>
      <c r="O91" s="16"/>
      <c r="P91" s="29"/>
      <c r="R91" s="21"/>
      <c r="T91" s="29"/>
      <c r="Y91" s="29"/>
    </row>
    <row r="92">
      <c r="A92" s="29"/>
      <c r="H92" s="17"/>
      <c r="O92" s="16"/>
      <c r="P92" s="29"/>
      <c r="R92" s="21"/>
      <c r="T92" s="29"/>
      <c r="Y92" s="29"/>
    </row>
    <row r="93">
      <c r="A93" s="29"/>
      <c r="H93" s="17"/>
      <c r="O93" s="16"/>
      <c r="P93" s="29"/>
      <c r="R93" s="21"/>
      <c r="T93" s="29"/>
      <c r="Y93" s="29"/>
    </row>
    <row r="94">
      <c r="A94" s="29"/>
      <c r="H94" s="17"/>
      <c r="O94" s="16"/>
      <c r="P94" s="29"/>
      <c r="R94" s="21"/>
      <c r="T94" s="29"/>
      <c r="Y94" s="29"/>
    </row>
    <row r="95">
      <c r="A95" s="29"/>
      <c r="H95" s="17"/>
      <c r="O95" s="16"/>
      <c r="P95" s="29"/>
      <c r="R95" s="21"/>
      <c r="T95" s="29"/>
      <c r="Y95" s="29"/>
    </row>
    <row r="96">
      <c r="A96" s="29"/>
      <c r="H96" s="17"/>
      <c r="O96" s="16"/>
      <c r="P96" s="29"/>
      <c r="R96" s="21"/>
      <c r="T96" s="29"/>
      <c r="Y96" s="29"/>
    </row>
    <row r="97">
      <c r="A97" s="29"/>
      <c r="H97" s="17"/>
      <c r="O97" s="16"/>
      <c r="P97" s="29"/>
      <c r="R97" s="21"/>
      <c r="T97" s="29"/>
      <c r="Y97" s="29"/>
    </row>
    <row r="98">
      <c r="A98" s="29"/>
      <c r="H98" s="17"/>
      <c r="O98" s="16"/>
      <c r="P98" s="29"/>
      <c r="R98" s="21"/>
      <c r="T98" s="29"/>
      <c r="Y98" s="29"/>
    </row>
    <row r="99">
      <c r="A99" s="29"/>
      <c r="H99" s="17"/>
      <c r="O99" s="16"/>
      <c r="P99" s="29"/>
      <c r="R99" s="21"/>
      <c r="T99" s="29"/>
      <c r="Y99" s="29"/>
    </row>
    <row r="100">
      <c r="A100" s="29"/>
      <c r="H100" s="17"/>
      <c r="O100" s="16"/>
      <c r="P100" s="29"/>
      <c r="R100" s="21"/>
      <c r="T100" s="29"/>
      <c r="Y100" s="29"/>
    </row>
    <row r="101">
      <c r="A101" s="29"/>
      <c r="H101" s="17"/>
      <c r="O101" s="16"/>
      <c r="P101" s="29"/>
      <c r="R101" s="21"/>
      <c r="T101" s="29"/>
      <c r="Y101" s="29"/>
    </row>
    <row r="102">
      <c r="A102" s="29"/>
      <c r="H102" s="17"/>
      <c r="O102" s="16"/>
      <c r="P102" s="29"/>
      <c r="R102" s="21"/>
      <c r="T102" s="29"/>
      <c r="Y102" s="29"/>
    </row>
    <row r="103">
      <c r="A103" s="29"/>
      <c r="H103" s="17"/>
      <c r="O103" s="16"/>
      <c r="P103" s="29"/>
      <c r="R103" s="21"/>
      <c r="T103" s="29"/>
      <c r="Y103" s="29"/>
    </row>
    <row r="104">
      <c r="A104" s="29"/>
      <c r="H104" s="17"/>
      <c r="O104" s="16"/>
      <c r="P104" s="29"/>
      <c r="R104" s="21"/>
      <c r="T104" s="29"/>
      <c r="Y104" s="29"/>
    </row>
    <row r="105">
      <c r="A105" s="29"/>
      <c r="H105" s="17"/>
      <c r="O105" s="16"/>
      <c r="P105" s="29"/>
      <c r="R105" s="21"/>
      <c r="T105" s="29"/>
      <c r="Y105" s="29"/>
    </row>
    <row r="106">
      <c r="A106" s="29"/>
      <c r="H106" s="17"/>
      <c r="O106" s="16"/>
      <c r="P106" s="29"/>
      <c r="R106" s="21"/>
      <c r="T106" s="29"/>
      <c r="Y106" s="29"/>
    </row>
    <row r="107">
      <c r="A107" s="29"/>
      <c r="H107" s="17"/>
      <c r="O107" s="16"/>
      <c r="P107" s="29"/>
      <c r="R107" s="21"/>
      <c r="T107" s="29"/>
      <c r="Y107" s="29"/>
    </row>
    <row r="108">
      <c r="A108" s="29"/>
      <c r="H108" s="17"/>
      <c r="O108" s="16"/>
      <c r="P108" s="29"/>
      <c r="R108" s="21"/>
      <c r="T108" s="29"/>
      <c r="Y108" s="29"/>
    </row>
    <row r="109">
      <c r="A109" s="29"/>
      <c r="H109" s="17"/>
      <c r="O109" s="16"/>
      <c r="P109" s="29"/>
      <c r="R109" s="21"/>
      <c r="T109" s="29"/>
      <c r="Y109" s="29"/>
    </row>
    <row r="110">
      <c r="A110" s="29"/>
      <c r="H110" s="17"/>
      <c r="O110" s="16"/>
      <c r="P110" s="29"/>
      <c r="R110" s="21"/>
      <c r="T110" s="29"/>
      <c r="Y110" s="29"/>
    </row>
    <row r="111">
      <c r="A111" s="29"/>
      <c r="H111" s="17"/>
      <c r="O111" s="16"/>
      <c r="P111" s="29"/>
      <c r="R111" s="21"/>
      <c r="T111" s="29"/>
      <c r="Y111" s="29"/>
    </row>
    <row r="112">
      <c r="A112" s="29"/>
      <c r="H112" s="17"/>
      <c r="O112" s="16"/>
      <c r="P112" s="29"/>
      <c r="R112" s="21"/>
      <c r="T112" s="29"/>
      <c r="Y112" s="29"/>
    </row>
    <row r="113">
      <c r="A113" s="29"/>
      <c r="H113" s="17"/>
      <c r="O113" s="16"/>
      <c r="P113" s="29"/>
      <c r="R113" s="21"/>
      <c r="T113" s="29"/>
      <c r="Y113" s="29"/>
    </row>
    <row r="114">
      <c r="A114" s="29"/>
      <c r="H114" s="17"/>
      <c r="O114" s="16"/>
      <c r="P114" s="29"/>
      <c r="R114" s="21"/>
      <c r="T114" s="29"/>
      <c r="Y114" s="29"/>
    </row>
    <row r="115">
      <c r="A115" s="29"/>
      <c r="H115" s="17"/>
      <c r="O115" s="16"/>
      <c r="P115" s="29"/>
      <c r="R115" s="21"/>
      <c r="T115" s="29"/>
      <c r="Y115" s="29"/>
    </row>
    <row r="116">
      <c r="A116" s="29"/>
      <c r="H116" s="17"/>
      <c r="O116" s="16"/>
      <c r="P116" s="29"/>
      <c r="R116" s="21"/>
      <c r="T116" s="29"/>
      <c r="Y116" s="29"/>
    </row>
    <row r="117">
      <c r="A117" s="29"/>
      <c r="H117" s="17"/>
      <c r="O117" s="16"/>
      <c r="P117" s="29"/>
      <c r="R117" s="21"/>
      <c r="T117" s="29"/>
      <c r="Y117" s="29"/>
    </row>
    <row r="118">
      <c r="A118" s="29"/>
      <c r="H118" s="17"/>
      <c r="O118" s="16"/>
      <c r="P118" s="29"/>
      <c r="R118" s="21"/>
      <c r="T118" s="29"/>
      <c r="Y118" s="29"/>
    </row>
    <row r="119">
      <c r="A119" s="29"/>
      <c r="H119" s="17"/>
      <c r="O119" s="16"/>
      <c r="P119" s="29"/>
      <c r="R119" s="21"/>
      <c r="T119" s="29"/>
      <c r="Y119" s="29"/>
    </row>
    <row r="120">
      <c r="A120" s="29"/>
      <c r="H120" s="17"/>
      <c r="O120" s="16"/>
      <c r="P120" s="29"/>
      <c r="R120" s="21"/>
      <c r="T120" s="29"/>
      <c r="Y120" s="29"/>
    </row>
    <row r="121">
      <c r="A121" s="29"/>
      <c r="H121" s="17"/>
      <c r="O121" s="16"/>
      <c r="P121" s="29"/>
      <c r="R121" s="21"/>
      <c r="T121" s="29"/>
      <c r="Y121" s="29"/>
    </row>
    <row r="122">
      <c r="A122" s="29"/>
      <c r="H122" s="17"/>
      <c r="O122" s="16"/>
      <c r="P122" s="29"/>
      <c r="R122" s="21"/>
      <c r="T122" s="29"/>
      <c r="Y122" s="29"/>
    </row>
    <row r="123">
      <c r="A123" s="29"/>
      <c r="H123" s="17"/>
      <c r="O123" s="16"/>
      <c r="P123" s="29"/>
      <c r="R123" s="21"/>
      <c r="T123" s="29"/>
      <c r="Y123" s="29"/>
    </row>
    <row r="124">
      <c r="A124" s="29"/>
      <c r="H124" s="17"/>
      <c r="O124" s="16"/>
      <c r="P124" s="29"/>
      <c r="R124" s="21"/>
      <c r="T124" s="29"/>
      <c r="Y124" s="29"/>
    </row>
    <row r="125">
      <c r="A125" s="29"/>
      <c r="H125" s="17"/>
      <c r="O125" s="16"/>
      <c r="P125" s="29"/>
      <c r="R125" s="21"/>
      <c r="T125" s="29"/>
      <c r="Y125" s="29"/>
    </row>
    <row r="126">
      <c r="A126" s="29"/>
      <c r="H126" s="17"/>
      <c r="O126" s="16"/>
      <c r="P126" s="29"/>
      <c r="R126" s="21"/>
      <c r="T126" s="29"/>
      <c r="Y126" s="29"/>
    </row>
    <row r="127">
      <c r="A127" s="29"/>
      <c r="H127" s="17"/>
      <c r="O127" s="16"/>
      <c r="P127" s="29"/>
      <c r="R127" s="21"/>
      <c r="T127" s="29"/>
      <c r="Y127" s="29"/>
    </row>
    <row r="128">
      <c r="A128" s="29"/>
      <c r="H128" s="17"/>
      <c r="O128" s="16"/>
      <c r="P128" s="29"/>
      <c r="R128" s="21"/>
      <c r="T128" s="29"/>
      <c r="Y128" s="29"/>
    </row>
    <row r="129">
      <c r="A129" s="29"/>
      <c r="H129" s="17"/>
      <c r="O129" s="16"/>
      <c r="P129" s="29"/>
      <c r="R129" s="21"/>
      <c r="T129" s="29"/>
      <c r="Y129" s="29"/>
    </row>
    <row r="130">
      <c r="A130" s="29"/>
      <c r="H130" s="17"/>
      <c r="O130" s="16"/>
      <c r="P130" s="29"/>
      <c r="R130" s="21"/>
      <c r="T130" s="29"/>
      <c r="Y130" s="29"/>
    </row>
    <row r="131">
      <c r="A131" s="29"/>
      <c r="H131" s="17"/>
      <c r="O131" s="16"/>
      <c r="P131" s="29"/>
      <c r="R131" s="21"/>
      <c r="T131" s="29"/>
      <c r="Y131" s="29"/>
    </row>
    <row r="132">
      <c r="A132" s="29"/>
      <c r="H132" s="17"/>
      <c r="O132" s="16"/>
      <c r="P132" s="29"/>
      <c r="R132" s="21"/>
      <c r="T132" s="29"/>
      <c r="Y132" s="29"/>
    </row>
    <row r="133">
      <c r="A133" s="29"/>
      <c r="H133" s="17"/>
      <c r="O133" s="16"/>
      <c r="P133" s="29"/>
      <c r="R133" s="21"/>
      <c r="T133" s="29"/>
      <c r="Y133" s="29"/>
    </row>
    <row r="134">
      <c r="A134" s="29"/>
      <c r="H134" s="17"/>
      <c r="O134" s="16"/>
      <c r="P134" s="29"/>
      <c r="R134" s="21"/>
      <c r="T134" s="29"/>
      <c r="Y134" s="29"/>
    </row>
    <row r="135">
      <c r="A135" s="29"/>
      <c r="H135" s="17"/>
      <c r="O135" s="16"/>
      <c r="P135" s="29"/>
      <c r="R135" s="21"/>
      <c r="T135" s="29"/>
      <c r="Y135" s="29"/>
    </row>
    <row r="136">
      <c r="A136" s="29"/>
      <c r="H136" s="17"/>
      <c r="O136" s="16"/>
      <c r="P136" s="29"/>
      <c r="R136" s="21"/>
      <c r="T136" s="29"/>
      <c r="Y136" s="29"/>
    </row>
    <row r="137">
      <c r="A137" s="29"/>
      <c r="H137" s="17"/>
      <c r="O137" s="16"/>
      <c r="P137" s="29"/>
      <c r="R137" s="21"/>
      <c r="T137" s="29"/>
      <c r="Y137" s="29"/>
    </row>
    <row r="138">
      <c r="A138" s="29"/>
      <c r="H138" s="17"/>
      <c r="O138" s="16"/>
      <c r="P138" s="29"/>
      <c r="R138" s="21"/>
      <c r="T138" s="29"/>
      <c r="Y138" s="29"/>
    </row>
    <row r="139">
      <c r="A139" s="29"/>
      <c r="H139" s="17"/>
      <c r="O139" s="16"/>
      <c r="P139" s="29"/>
      <c r="R139" s="21"/>
      <c r="T139" s="29"/>
      <c r="Y139" s="29"/>
    </row>
    <row r="140">
      <c r="A140" s="29"/>
      <c r="H140" s="17"/>
      <c r="O140" s="16"/>
      <c r="P140" s="29"/>
      <c r="R140" s="21"/>
      <c r="T140" s="29"/>
      <c r="Y140" s="29"/>
    </row>
    <row r="141">
      <c r="A141" s="29"/>
      <c r="H141" s="17"/>
      <c r="O141" s="16"/>
      <c r="P141" s="29"/>
      <c r="R141" s="21"/>
      <c r="T141" s="29"/>
      <c r="Y141" s="29"/>
    </row>
    <row r="142">
      <c r="A142" s="29"/>
      <c r="H142" s="17"/>
      <c r="O142" s="16"/>
      <c r="P142" s="29"/>
      <c r="R142" s="21"/>
      <c r="T142" s="29"/>
      <c r="Y142" s="29"/>
    </row>
    <row r="143">
      <c r="A143" s="29"/>
      <c r="H143" s="17"/>
      <c r="O143" s="16"/>
      <c r="P143" s="29"/>
      <c r="R143" s="21"/>
      <c r="T143" s="29"/>
      <c r="Y143" s="29"/>
    </row>
    <row r="144">
      <c r="A144" s="29"/>
      <c r="H144" s="17"/>
      <c r="O144" s="16"/>
      <c r="P144" s="29"/>
      <c r="R144" s="21"/>
      <c r="T144" s="29"/>
      <c r="Y144" s="29"/>
    </row>
    <row r="145">
      <c r="A145" s="29"/>
      <c r="H145" s="17"/>
      <c r="O145" s="16"/>
      <c r="P145" s="29"/>
      <c r="R145" s="21"/>
      <c r="T145" s="29"/>
      <c r="Y145" s="29"/>
    </row>
    <row r="146">
      <c r="A146" s="29"/>
      <c r="H146" s="17"/>
      <c r="O146" s="16"/>
      <c r="P146" s="29"/>
      <c r="R146" s="21"/>
      <c r="T146" s="29"/>
      <c r="Y146" s="29"/>
    </row>
    <row r="147">
      <c r="A147" s="29"/>
      <c r="H147" s="17"/>
      <c r="O147" s="16"/>
      <c r="P147" s="29"/>
      <c r="R147" s="21"/>
      <c r="T147" s="29"/>
      <c r="Y147" s="29"/>
    </row>
    <row r="148">
      <c r="A148" s="29"/>
      <c r="H148" s="17"/>
      <c r="O148" s="16"/>
      <c r="P148" s="29"/>
      <c r="R148" s="21"/>
      <c r="T148" s="29"/>
      <c r="Y148" s="29"/>
    </row>
    <row r="149">
      <c r="A149" s="29"/>
      <c r="H149" s="17"/>
      <c r="O149" s="16"/>
      <c r="P149" s="29"/>
      <c r="R149" s="21"/>
      <c r="T149" s="29"/>
      <c r="Y149" s="29"/>
    </row>
    <row r="150">
      <c r="A150" s="29"/>
      <c r="H150" s="17"/>
      <c r="O150" s="16"/>
      <c r="P150" s="29"/>
      <c r="R150" s="21"/>
      <c r="T150" s="29"/>
      <c r="Y150" s="29"/>
    </row>
    <row r="151">
      <c r="A151" s="29"/>
      <c r="H151" s="17"/>
      <c r="O151" s="16"/>
      <c r="P151" s="29"/>
      <c r="R151" s="21"/>
      <c r="T151" s="29"/>
      <c r="Y151" s="29"/>
    </row>
    <row r="152">
      <c r="A152" s="29"/>
      <c r="H152" s="17"/>
      <c r="O152" s="16"/>
      <c r="P152" s="29"/>
      <c r="R152" s="21"/>
      <c r="T152" s="29"/>
      <c r="Y152" s="29"/>
    </row>
    <row r="153">
      <c r="A153" s="29"/>
      <c r="H153" s="17"/>
      <c r="O153" s="16"/>
      <c r="P153" s="29"/>
      <c r="R153" s="21"/>
      <c r="T153" s="29"/>
      <c r="Y153" s="29"/>
    </row>
    <row r="154">
      <c r="A154" s="29"/>
      <c r="H154" s="17"/>
      <c r="O154" s="16"/>
      <c r="P154" s="29"/>
      <c r="R154" s="21"/>
      <c r="T154" s="29"/>
      <c r="Y154" s="29"/>
    </row>
    <row r="155">
      <c r="A155" s="29"/>
      <c r="H155" s="17"/>
      <c r="O155" s="16"/>
      <c r="P155" s="29"/>
      <c r="R155" s="21"/>
      <c r="T155" s="29"/>
      <c r="Y155" s="29"/>
    </row>
    <row r="156">
      <c r="A156" s="29"/>
      <c r="H156" s="17"/>
      <c r="O156" s="16"/>
      <c r="P156" s="29"/>
      <c r="R156" s="21"/>
      <c r="T156" s="29"/>
      <c r="Y156" s="29"/>
    </row>
    <row r="157">
      <c r="A157" s="29"/>
      <c r="H157" s="17"/>
      <c r="O157" s="16"/>
      <c r="P157" s="29"/>
      <c r="R157" s="21"/>
      <c r="T157" s="29"/>
      <c r="Y157" s="29"/>
    </row>
    <row r="158">
      <c r="A158" s="29"/>
      <c r="H158" s="17"/>
      <c r="O158" s="16"/>
      <c r="P158" s="29"/>
      <c r="R158" s="21"/>
      <c r="T158" s="29"/>
      <c r="Y158" s="29"/>
    </row>
    <row r="159">
      <c r="A159" s="29"/>
      <c r="H159" s="17"/>
      <c r="O159" s="16"/>
      <c r="P159" s="29"/>
      <c r="R159" s="21"/>
      <c r="T159" s="29"/>
      <c r="Y159" s="29"/>
    </row>
    <row r="160">
      <c r="A160" s="29"/>
      <c r="H160" s="17"/>
      <c r="O160" s="16"/>
      <c r="P160" s="29"/>
      <c r="R160" s="21"/>
      <c r="T160" s="29"/>
      <c r="Y160" s="29"/>
    </row>
    <row r="161">
      <c r="A161" s="29"/>
      <c r="H161" s="17"/>
      <c r="O161" s="16"/>
      <c r="P161" s="29"/>
      <c r="R161" s="21"/>
      <c r="T161" s="29"/>
      <c r="Y161" s="29"/>
    </row>
    <row r="162">
      <c r="A162" s="29"/>
      <c r="H162" s="17"/>
      <c r="O162" s="16"/>
      <c r="P162" s="29"/>
      <c r="R162" s="21"/>
      <c r="T162" s="29"/>
      <c r="Y162" s="29"/>
    </row>
    <row r="163">
      <c r="A163" s="29"/>
      <c r="H163" s="17"/>
      <c r="O163" s="16"/>
      <c r="P163" s="29"/>
      <c r="R163" s="21"/>
      <c r="T163" s="29"/>
      <c r="Y163" s="29"/>
    </row>
    <row r="164">
      <c r="A164" s="29"/>
      <c r="H164" s="17"/>
      <c r="O164" s="16"/>
      <c r="P164" s="29"/>
      <c r="R164" s="21"/>
      <c r="T164" s="29"/>
      <c r="Y164" s="29"/>
    </row>
    <row r="165">
      <c r="A165" s="29"/>
      <c r="H165" s="17"/>
      <c r="O165" s="16"/>
      <c r="P165" s="29"/>
      <c r="R165" s="21"/>
      <c r="T165" s="29"/>
      <c r="Y165" s="29"/>
    </row>
    <row r="166">
      <c r="A166" s="29"/>
      <c r="H166" s="17"/>
      <c r="O166" s="16"/>
      <c r="P166" s="29"/>
      <c r="R166" s="21"/>
      <c r="T166" s="29"/>
      <c r="Y166" s="29"/>
    </row>
    <row r="167">
      <c r="A167" s="29"/>
      <c r="H167" s="17"/>
      <c r="O167" s="16"/>
      <c r="P167" s="29"/>
      <c r="R167" s="21"/>
      <c r="T167" s="29"/>
      <c r="Y167" s="29"/>
    </row>
    <row r="168">
      <c r="A168" s="29"/>
      <c r="H168" s="17"/>
      <c r="O168" s="16"/>
      <c r="P168" s="29"/>
      <c r="R168" s="21"/>
      <c r="T168" s="29"/>
      <c r="Y168" s="29"/>
    </row>
    <row r="169">
      <c r="A169" s="29"/>
      <c r="H169" s="17"/>
      <c r="O169" s="16"/>
      <c r="P169" s="29"/>
      <c r="R169" s="21"/>
      <c r="T169" s="29"/>
      <c r="Y169" s="29"/>
    </row>
    <row r="170">
      <c r="A170" s="29"/>
      <c r="H170" s="17"/>
      <c r="O170" s="16"/>
      <c r="P170" s="29"/>
      <c r="R170" s="21"/>
      <c r="T170" s="29"/>
      <c r="Y170" s="29"/>
    </row>
    <row r="171">
      <c r="A171" s="29"/>
      <c r="H171" s="17"/>
      <c r="O171" s="16"/>
      <c r="P171" s="29"/>
      <c r="R171" s="21"/>
      <c r="T171" s="29"/>
      <c r="Y171" s="29"/>
    </row>
    <row r="172">
      <c r="A172" s="29"/>
      <c r="H172" s="17"/>
      <c r="O172" s="16"/>
      <c r="P172" s="29"/>
      <c r="R172" s="21"/>
      <c r="T172" s="29"/>
      <c r="Y172" s="29"/>
    </row>
    <row r="173">
      <c r="A173" s="29"/>
      <c r="H173" s="17"/>
      <c r="O173" s="16"/>
      <c r="P173" s="29"/>
      <c r="R173" s="21"/>
      <c r="T173" s="29"/>
      <c r="Y173" s="29"/>
    </row>
    <row r="174">
      <c r="A174" s="29"/>
      <c r="H174" s="17"/>
      <c r="O174" s="16"/>
      <c r="P174" s="29"/>
      <c r="R174" s="21"/>
      <c r="T174" s="29"/>
      <c r="Y174" s="29"/>
    </row>
    <row r="175">
      <c r="A175" s="29"/>
      <c r="H175" s="17"/>
      <c r="O175" s="16"/>
      <c r="P175" s="29"/>
      <c r="R175" s="21"/>
      <c r="T175" s="29"/>
      <c r="Y175" s="29"/>
    </row>
    <row r="176">
      <c r="A176" s="29"/>
      <c r="H176" s="17"/>
      <c r="O176" s="16"/>
      <c r="P176" s="29"/>
      <c r="R176" s="21"/>
      <c r="T176" s="29"/>
      <c r="Y176" s="29"/>
    </row>
    <row r="177">
      <c r="A177" s="29"/>
      <c r="H177" s="17"/>
      <c r="O177" s="16"/>
      <c r="P177" s="29"/>
      <c r="R177" s="21"/>
      <c r="T177" s="29"/>
      <c r="Y177" s="29"/>
    </row>
    <row r="178">
      <c r="A178" s="29"/>
      <c r="H178" s="17"/>
      <c r="O178" s="16"/>
      <c r="P178" s="29"/>
      <c r="R178" s="21"/>
      <c r="T178" s="29"/>
      <c r="Y178" s="29"/>
    </row>
    <row r="179">
      <c r="A179" s="29"/>
      <c r="H179" s="17"/>
      <c r="O179" s="16"/>
      <c r="P179" s="29"/>
      <c r="R179" s="21"/>
      <c r="T179" s="29"/>
      <c r="Y179" s="29"/>
    </row>
    <row r="180">
      <c r="A180" s="29"/>
      <c r="H180" s="17"/>
      <c r="O180" s="16"/>
      <c r="P180" s="29"/>
      <c r="R180" s="21"/>
      <c r="T180" s="29"/>
      <c r="Y180" s="29"/>
    </row>
    <row r="181">
      <c r="A181" s="29"/>
      <c r="H181" s="17"/>
      <c r="O181" s="16"/>
      <c r="P181" s="29"/>
      <c r="R181" s="21"/>
      <c r="T181" s="29"/>
      <c r="Y181" s="29"/>
    </row>
    <row r="182">
      <c r="A182" s="29"/>
      <c r="H182" s="17"/>
      <c r="O182" s="16"/>
      <c r="P182" s="29"/>
      <c r="R182" s="21"/>
      <c r="T182" s="29"/>
      <c r="Y182" s="29"/>
    </row>
    <row r="183">
      <c r="A183" s="29"/>
      <c r="H183" s="17"/>
      <c r="O183" s="16"/>
      <c r="P183" s="29"/>
      <c r="R183" s="21"/>
      <c r="T183" s="29"/>
      <c r="Y183" s="29"/>
    </row>
    <row r="184">
      <c r="A184" s="29"/>
      <c r="H184" s="17"/>
      <c r="O184" s="16"/>
      <c r="P184" s="29"/>
      <c r="R184" s="21"/>
      <c r="T184" s="29"/>
      <c r="Y184" s="29"/>
    </row>
    <row r="185">
      <c r="A185" s="29"/>
      <c r="H185" s="17"/>
      <c r="O185" s="16"/>
      <c r="P185" s="29"/>
      <c r="R185" s="21"/>
      <c r="T185" s="29"/>
      <c r="Y185" s="29"/>
    </row>
    <row r="186">
      <c r="A186" s="29"/>
      <c r="H186" s="17"/>
      <c r="O186" s="16"/>
      <c r="P186" s="29"/>
      <c r="R186" s="21"/>
      <c r="T186" s="29"/>
      <c r="Y186" s="29"/>
    </row>
    <row r="187">
      <c r="A187" s="29"/>
      <c r="H187" s="17"/>
      <c r="O187" s="16"/>
      <c r="P187" s="29"/>
      <c r="R187" s="21"/>
      <c r="T187" s="29"/>
      <c r="Y187" s="29"/>
    </row>
    <row r="188">
      <c r="A188" s="29"/>
      <c r="H188" s="17"/>
      <c r="O188" s="16"/>
      <c r="P188" s="29"/>
      <c r="R188" s="21"/>
      <c r="T188" s="29"/>
      <c r="Y188" s="29"/>
    </row>
    <row r="189">
      <c r="A189" s="29"/>
      <c r="H189" s="17"/>
      <c r="O189" s="16"/>
      <c r="P189" s="29"/>
      <c r="R189" s="21"/>
      <c r="T189" s="29"/>
      <c r="Y189" s="29"/>
    </row>
    <row r="190">
      <c r="A190" s="29"/>
      <c r="H190" s="17"/>
      <c r="O190" s="16"/>
      <c r="P190" s="29"/>
      <c r="R190" s="21"/>
      <c r="T190" s="29"/>
      <c r="Y190" s="29"/>
    </row>
    <row r="191">
      <c r="A191" s="29"/>
      <c r="H191" s="17"/>
      <c r="O191" s="16"/>
      <c r="P191" s="29"/>
      <c r="R191" s="21"/>
      <c r="T191" s="29"/>
      <c r="Y191" s="29"/>
    </row>
    <row r="192">
      <c r="A192" s="29"/>
      <c r="H192" s="17"/>
      <c r="O192" s="16"/>
      <c r="P192" s="29"/>
      <c r="R192" s="21"/>
      <c r="T192" s="29"/>
      <c r="Y192" s="29"/>
    </row>
    <row r="193">
      <c r="A193" s="29"/>
      <c r="H193" s="17"/>
      <c r="O193" s="16"/>
      <c r="P193" s="29"/>
      <c r="R193" s="21"/>
      <c r="T193" s="29"/>
      <c r="Y193" s="29"/>
    </row>
    <row r="194">
      <c r="A194" s="29"/>
      <c r="H194" s="17"/>
      <c r="O194" s="16"/>
      <c r="P194" s="29"/>
      <c r="R194" s="21"/>
      <c r="T194" s="29"/>
      <c r="Y194" s="29"/>
    </row>
    <row r="195">
      <c r="A195" s="29"/>
      <c r="H195" s="17"/>
      <c r="O195" s="16"/>
      <c r="P195" s="29"/>
      <c r="R195" s="21"/>
      <c r="T195" s="29"/>
      <c r="Y195" s="29"/>
    </row>
    <row r="196">
      <c r="A196" s="29"/>
      <c r="H196" s="17"/>
      <c r="O196" s="16"/>
      <c r="P196" s="29"/>
      <c r="R196" s="21"/>
      <c r="T196" s="29"/>
      <c r="Y196" s="29"/>
    </row>
    <row r="197">
      <c r="A197" s="29"/>
      <c r="H197" s="17"/>
      <c r="O197" s="16"/>
      <c r="P197" s="29"/>
      <c r="R197" s="21"/>
      <c r="T197" s="29"/>
      <c r="Y197" s="29"/>
    </row>
    <row r="198">
      <c r="A198" s="29"/>
      <c r="H198" s="17"/>
      <c r="O198" s="16"/>
      <c r="P198" s="29"/>
      <c r="R198" s="21"/>
      <c r="T198" s="29"/>
      <c r="Y198" s="29"/>
    </row>
    <row r="199">
      <c r="A199" s="29"/>
      <c r="H199" s="17"/>
      <c r="O199" s="16"/>
      <c r="P199" s="29"/>
      <c r="R199" s="21"/>
      <c r="T199" s="29"/>
      <c r="Y199" s="29"/>
    </row>
    <row r="200">
      <c r="A200" s="29"/>
      <c r="H200" s="17"/>
      <c r="O200" s="16"/>
      <c r="P200" s="29"/>
      <c r="R200" s="21"/>
      <c r="T200" s="29"/>
      <c r="Y200" s="29"/>
    </row>
    <row r="201">
      <c r="A201" s="29"/>
      <c r="H201" s="17"/>
      <c r="O201" s="16"/>
      <c r="P201" s="29"/>
      <c r="R201" s="21"/>
      <c r="T201" s="29"/>
      <c r="Y201" s="29"/>
    </row>
    <row r="202">
      <c r="A202" s="29"/>
      <c r="H202" s="17"/>
      <c r="O202" s="16"/>
      <c r="P202" s="29"/>
      <c r="R202" s="21"/>
      <c r="T202" s="29"/>
      <c r="Y202" s="29"/>
    </row>
    <row r="203">
      <c r="A203" s="29"/>
      <c r="H203" s="17"/>
      <c r="O203" s="16"/>
      <c r="P203" s="29"/>
      <c r="R203" s="21"/>
      <c r="T203" s="29"/>
      <c r="Y203" s="29"/>
    </row>
    <row r="204">
      <c r="A204" s="29"/>
      <c r="H204" s="17"/>
      <c r="O204" s="16"/>
      <c r="P204" s="29"/>
      <c r="R204" s="21"/>
      <c r="T204" s="29"/>
      <c r="Y204" s="29"/>
    </row>
    <row r="205">
      <c r="A205" s="29"/>
      <c r="H205" s="17"/>
      <c r="O205" s="16"/>
      <c r="P205" s="29"/>
      <c r="R205" s="21"/>
      <c r="T205" s="29"/>
      <c r="Y205" s="29"/>
    </row>
    <row r="206">
      <c r="A206" s="29"/>
      <c r="H206" s="17"/>
      <c r="O206" s="16"/>
      <c r="P206" s="29"/>
      <c r="R206" s="21"/>
      <c r="T206" s="29"/>
      <c r="Y206" s="29"/>
    </row>
    <row r="207">
      <c r="A207" s="29"/>
      <c r="H207" s="17"/>
      <c r="O207" s="16"/>
      <c r="P207" s="29"/>
      <c r="R207" s="21"/>
      <c r="T207" s="29"/>
      <c r="Y207" s="29"/>
    </row>
    <row r="208">
      <c r="A208" s="29"/>
      <c r="H208" s="17"/>
      <c r="O208" s="16"/>
      <c r="P208" s="29"/>
      <c r="R208" s="21"/>
      <c r="T208" s="29"/>
      <c r="Y208" s="29"/>
    </row>
    <row r="209">
      <c r="A209" s="29"/>
      <c r="H209" s="17"/>
      <c r="O209" s="16"/>
      <c r="P209" s="29"/>
      <c r="R209" s="21"/>
      <c r="T209" s="29"/>
      <c r="Y209" s="29"/>
    </row>
    <row r="210">
      <c r="A210" s="29"/>
      <c r="H210" s="17"/>
      <c r="O210" s="16"/>
      <c r="P210" s="29"/>
      <c r="R210" s="21"/>
      <c r="T210" s="29"/>
      <c r="Y210" s="29"/>
    </row>
    <row r="211">
      <c r="A211" s="29"/>
      <c r="H211" s="17"/>
      <c r="O211" s="16"/>
      <c r="P211" s="29"/>
      <c r="R211" s="21"/>
      <c r="T211" s="29"/>
      <c r="Y211" s="29"/>
    </row>
    <row r="212">
      <c r="A212" s="29"/>
      <c r="H212" s="17"/>
      <c r="O212" s="16"/>
      <c r="P212" s="29"/>
      <c r="R212" s="21"/>
      <c r="T212" s="29"/>
      <c r="Y212" s="29"/>
    </row>
    <row r="213">
      <c r="A213" s="29"/>
      <c r="H213" s="17"/>
      <c r="O213" s="16"/>
      <c r="P213" s="29"/>
      <c r="R213" s="21"/>
      <c r="T213" s="29"/>
      <c r="Y213" s="29"/>
    </row>
    <row r="214">
      <c r="A214" s="29"/>
      <c r="H214" s="17"/>
      <c r="O214" s="16"/>
      <c r="P214" s="29"/>
      <c r="R214" s="21"/>
      <c r="T214" s="29"/>
      <c r="Y214" s="29"/>
    </row>
    <row r="215">
      <c r="A215" s="29"/>
      <c r="H215" s="17"/>
      <c r="O215" s="16"/>
      <c r="P215" s="29"/>
      <c r="R215" s="21"/>
      <c r="T215" s="29"/>
      <c r="Y215" s="29"/>
    </row>
    <row r="216">
      <c r="A216" s="29"/>
      <c r="H216" s="17"/>
      <c r="O216" s="16"/>
      <c r="P216" s="29"/>
      <c r="R216" s="21"/>
      <c r="T216" s="29"/>
      <c r="Y216" s="29"/>
    </row>
    <row r="217">
      <c r="A217" s="29"/>
      <c r="H217" s="17"/>
      <c r="O217" s="16"/>
      <c r="P217" s="29"/>
      <c r="R217" s="21"/>
      <c r="T217" s="29"/>
      <c r="Y217" s="29"/>
    </row>
    <row r="218">
      <c r="A218" s="29"/>
      <c r="H218" s="17"/>
      <c r="O218" s="16"/>
      <c r="P218" s="29"/>
      <c r="R218" s="21"/>
      <c r="T218" s="29"/>
      <c r="Y218" s="29"/>
    </row>
    <row r="219">
      <c r="A219" s="29"/>
      <c r="H219" s="17"/>
      <c r="O219" s="16"/>
      <c r="P219" s="29"/>
      <c r="R219" s="21"/>
      <c r="T219" s="29"/>
      <c r="Y219" s="29"/>
    </row>
    <row r="220">
      <c r="A220" s="29"/>
      <c r="H220" s="17"/>
      <c r="O220" s="16"/>
      <c r="P220" s="29"/>
      <c r="R220" s="21"/>
      <c r="T220" s="29"/>
      <c r="Y220" s="29"/>
    </row>
    <row r="221">
      <c r="A221" s="29"/>
      <c r="H221" s="17"/>
      <c r="O221" s="16"/>
      <c r="P221" s="29"/>
      <c r="R221" s="21"/>
      <c r="T221" s="29"/>
      <c r="Y221" s="29"/>
    </row>
    <row r="222">
      <c r="A222" s="29"/>
      <c r="H222" s="17"/>
      <c r="O222" s="16"/>
      <c r="P222" s="29"/>
      <c r="R222" s="21"/>
      <c r="T222" s="29"/>
      <c r="Y222" s="29"/>
    </row>
    <row r="223">
      <c r="A223" s="29"/>
      <c r="H223" s="17"/>
      <c r="O223" s="16"/>
      <c r="P223" s="29"/>
      <c r="R223" s="21"/>
      <c r="T223" s="29"/>
      <c r="Y223" s="29"/>
    </row>
    <row r="224">
      <c r="A224" s="29"/>
      <c r="H224" s="17"/>
      <c r="O224" s="16"/>
      <c r="P224" s="29"/>
      <c r="R224" s="21"/>
      <c r="T224" s="29"/>
      <c r="Y224" s="29"/>
    </row>
    <row r="225">
      <c r="A225" s="29"/>
      <c r="H225" s="17"/>
      <c r="O225" s="16"/>
      <c r="P225" s="29"/>
      <c r="R225" s="21"/>
      <c r="T225" s="29"/>
      <c r="Y225" s="29"/>
    </row>
    <row r="226">
      <c r="A226" s="29"/>
      <c r="H226" s="17"/>
      <c r="O226" s="16"/>
      <c r="P226" s="29"/>
      <c r="R226" s="21"/>
      <c r="T226" s="29"/>
      <c r="Y226" s="29"/>
    </row>
    <row r="227">
      <c r="A227" s="29"/>
      <c r="H227" s="17"/>
      <c r="O227" s="16"/>
      <c r="P227" s="29"/>
      <c r="R227" s="21"/>
      <c r="T227" s="29"/>
      <c r="Y227" s="29"/>
    </row>
    <row r="228">
      <c r="A228" s="29"/>
      <c r="H228" s="17"/>
      <c r="O228" s="16"/>
      <c r="P228" s="29"/>
      <c r="R228" s="21"/>
      <c r="T228" s="29"/>
      <c r="Y228" s="29"/>
    </row>
    <row r="229">
      <c r="A229" s="29"/>
      <c r="H229" s="17"/>
      <c r="O229" s="16"/>
      <c r="P229" s="29"/>
      <c r="R229" s="21"/>
      <c r="T229" s="29"/>
      <c r="Y229" s="29"/>
    </row>
    <row r="230">
      <c r="A230" s="29"/>
      <c r="H230" s="17"/>
      <c r="O230" s="16"/>
      <c r="P230" s="29"/>
      <c r="R230" s="21"/>
      <c r="T230" s="29"/>
      <c r="Y230" s="29"/>
    </row>
    <row r="231">
      <c r="A231" s="29"/>
      <c r="H231" s="17"/>
      <c r="O231" s="16"/>
      <c r="P231" s="29"/>
      <c r="R231" s="21"/>
      <c r="T231" s="29"/>
      <c r="Y231" s="29"/>
    </row>
    <row r="232">
      <c r="A232" s="29"/>
      <c r="H232" s="17"/>
      <c r="O232" s="16"/>
      <c r="P232" s="29"/>
      <c r="R232" s="21"/>
      <c r="T232" s="29"/>
      <c r="Y232" s="29"/>
    </row>
    <row r="233">
      <c r="A233" s="29"/>
      <c r="H233" s="17"/>
      <c r="O233" s="16"/>
      <c r="P233" s="29"/>
      <c r="R233" s="21"/>
      <c r="T233" s="29"/>
      <c r="Y233" s="29"/>
    </row>
    <row r="234">
      <c r="A234" s="29"/>
      <c r="H234" s="17"/>
      <c r="O234" s="16"/>
      <c r="P234" s="29"/>
      <c r="R234" s="21"/>
      <c r="T234" s="29"/>
      <c r="Y234" s="29"/>
    </row>
    <row r="235">
      <c r="A235" s="29"/>
      <c r="H235" s="17"/>
      <c r="O235" s="16"/>
      <c r="P235" s="29"/>
      <c r="R235" s="21"/>
      <c r="T235" s="29"/>
      <c r="Y235" s="29"/>
    </row>
    <row r="236">
      <c r="A236" s="29"/>
      <c r="H236" s="17"/>
      <c r="O236" s="16"/>
      <c r="P236" s="29"/>
      <c r="R236" s="21"/>
      <c r="T236" s="29"/>
      <c r="Y236" s="29"/>
    </row>
    <row r="237">
      <c r="A237" s="29"/>
      <c r="H237" s="17"/>
      <c r="O237" s="16"/>
      <c r="P237" s="29"/>
      <c r="R237" s="21"/>
      <c r="T237" s="29"/>
      <c r="Y237" s="29"/>
    </row>
    <row r="238">
      <c r="A238" s="29"/>
      <c r="H238" s="17"/>
      <c r="O238" s="16"/>
      <c r="P238" s="29"/>
      <c r="R238" s="21"/>
      <c r="T238" s="29"/>
      <c r="Y238" s="29"/>
    </row>
    <row r="239">
      <c r="A239" s="29"/>
      <c r="H239" s="17"/>
      <c r="O239" s="16"/>
      <c r="P239" s="29"/>
      <c r="R239" s="21"/>
      <c r="T239" s="29"/>
      <c r="Y239" s="29"/>
    </row>
    <row r="240">
      <c r="A240" s="29"/>
      <c r="H240" s="17"/>
      <c r="O240" s="16"/>
      <c r="P240" s="29"/>
      <c r="R240" s="21"/>
      <c r="T240" s="29"/>
      <c r="Y240" s="29"/>
    </row>
    <row r="241">
      <c r="A241" s="29"/>
      <c r="H241" s="17"/>
      <c r="O241" s="16"/>
      <c r="P241" s="29"/>
      <c r="R241" s="21"/>
      <c r="T241" s="29"/>
      <c r="Y241" s="29"/>
    </row>
    <row r="242">
      <c r="A242" s="29"/>
      <c r="H242" s="17"/>
      <c r="O242" s="16"/>
      <c r="P242" s="29"/>
      <c r="R242" s="21"/>
      <c r="T242" s="29"/>
      <c r="Y242" s="29"/>
    </row>
    <row r="243">
      <c r="A243" s="29"/>
      <c r="H243" s="17"/>
      <c r="O243" s="16"/>
      <c r="P243" s="29"/>
      <c r="R243" s="21"/>
      <c r="T243" s="29"/>
      <c r="Y243" s="29"/>
    </row>
    <row r="244">
      <c r="A244" s="29"/>
      <c r="H244" s="17"/>
      <c r="O244" s="16"/>
      <c r="P244" s="29"/>
      <c r="R244" s="21"/>
      <c r="T244" s="29"/>
      <c r="Y244" s="29"/>
    </row>
    <row r="245">
      <c r="A245" s="29"/>
      <c r="H245" s="17"/>
      <c r="O245" s="16"/>
      <c r="P245" s="29"/>
      <c r="R245" s="21"/>
      <c r="T245" s="29"/>
      <c r="Y245" s="29"/>
    </row>
    <row r="246">
      <c r="A246" s="29"/>
      <c r="H246" s="17"/>
      <c r="O246" s="16"/>
      <c r="P246" s="29"/>
      <c r="R246" s="21"/>
      <c r="T246" s="29"/>
      <c r="Y246" s="29"/>
    </row>
    <row r="247">
      <c r="A247" s="29"/>
      <c r="H247" s="17"/>
      <c r="O247" s="16"/>
      <c r="P247" s="29"/>
      <c r="R247" s="21"/>
      <c r="T247" s="29"/>
      <c r="Y247" s="29"/>
    </row>
    <row r="248">
      <c r="A248" s="29"/>
      <c r="H248" s="17"/>
      <c r="O248" s="16"/>
      <c r="P248" s="29"/>
      <c r="R248" s="21"/>
      <c r="T248" s="29"/>
      <c r="Y248" s="29"/>
    </row>
    <row r="249">
      <c r="A249" s="29"/>
      <c r="H249" s="17"/>
      <c r="O249" s="16"/>
      <c r="P249" s="29"/>
      <c r="R249" s="21"/>
      <c r="T249" s="29"/>
      <c r="Y249" s="29"/>
    </row>
    <row r="250">
      <c r="A250" s="29"/>
      <c r="H250" s="17"/>
      <c r="O250" s="16"/>
      <c r="P250" s="29"/>
      <c r="R250" s="21"/>
      <c r="T250" s="29"/>
      <c r="Y250" s="29"/>
    </row>
    <row r="251">
      <c r="A251" s="29"/>
      <c r="H251" s="17"/>
      <c r="O251" s="16"/>
      <c r="P251" s="29"/>
      <c r="R251" s="21"/>
      <c r="T251" s="29"/>
      <c r="Y251" s="29"/>
    </row>
    <row r="252">
      <c r="A252" s="29"/>
      <c r="H252" s="17"/>
      <c r="O252" s="16"/>
      <c r="P252" s="29"/>
      <c r="R252" s="21"/>
      <c r="T252" s="29"/>
      <c r="Y252" s="29"/>
    </row>
    <row r="253">
      <c r="A253" s="29"/>
      <c r="H253" s="17"/>
      <c r="O253" s="16"/>
      <c r="P253" s="29"/>
      <c r="R253" s="21"/>
      <c r="T253" s="29"/>
      <c r="Y253" s="29"/>
    </row>
    <row r="254">
      <c r="A254" s="29"/>
      <c r="H254" s="17"/>
      <c r="O254" s="16"/>
      <c r="P254" s="29"/>
      <c r="R254" s="21"/>
      <c r="T254" s="29"/>
      <c r="Y254" s="29"/>
    </row>
    <row r="255">
      <c r="A255" s="29"/>
      <c r="H255" s="17"/>
      <c r="O255" s="16"/>
      <c r="P255" s="29"/>
      <c r="R255" s="21"/>
      <c r="T255" s="29"/>
      <c r="Y255" s="29"/>
    </row>
    <row r="256">
      <c r="A256" s="29"/>
      <c r="H256" s="17"/>
      <c r="O256" s="16"/>
      <c r="P256" s="29"/>
      <c r="R256" s="21"/>
      <c r="T256" s="29"/>
      <c r="Y256" s="29"/>
    </row>
    <row r="257">
      <c r="A257" s="29"/>
      <c r="H257" s="17"/>
      <c r="O257" s="16"/>
      <c r="P257" s="29"/>
      <c r="R257" s="21"/>
      <c r="T257" s="29"/>
      <c r="Y257" s="29"/>
    </row>
    <row r="258">
      <c r="A258" s="29"/>
      <c r="H258" s="17"/>
      <c r="O258" s="16"/>
      <c r="P258" s="29"/>
      <c r="R258" s="21"/>
      <c r="T258" s="29"/>
      <c r="Y258" s="29"/>
    </row>
    <row r="259">
      <c r="A259" s="29"/>
      <c r="H259" s="17"/>
      <c r="O259" s="16"/>
      <c r="P259" s="29"/>
      <c r="R259" s="21"/>
      <c r="T259" s="29"/>
      <c r="Y259" s="29"/>
    </row>
    <row r="260">
      <c r="A260" s="29"/>
      <c r="H260" s="17"/>
      <c r="O260" s="16"/>
      <c r="P260" s="29"/>
      <c r="R260" s="21"/>
      <c r="T260" s="29"/>
      <c r="Y260" s="29"/>
    </row>
    <row r="261">
      <c r="A261" s="29"/>
      <c r="H261" s="17"/>
      <c r="O261" s="16"/>
      <c r="P261" s="29"/>
      <c r="R261" s="21"/>
      <c r="T261" s="29"/>
      <c r="Y261" s="29"/>
    </row>
    <row r="262">
      <c r="A262" s="29"/>
      <c r="H262" s="17"/>
      <c r="O262" s="16"/>
      <c r="P262" s="29"/>
      <c r="R262" s="21"/>
      <c r="T262" s="29"/>
      <c r="Y262" s="29"/>
    </row>
    <row r="263">
      <c r="A263" s="29"/>
      <c r="H263" s="17"/>
      <c r="O263" s="16"/>
      <c r="P263" s="29"/>
      <c r="R263" s="21"/>
      <c r="T263" s="29"/>
      <c r="Y263" s="29"/>
    </row>
    <row r="264">
      <c r="A264" s="29"/>
      <c r="H264" s="17"/>
      <c r="O264" s="16"/>
      <c r="P264" s="29"/>
      <c r="R264" s="21"/>
      <c r="T264" s="29"/>
      <c r="Y264" s="29"/>
    </row>
    <row r="265">
      <c r="A265" s="29"/>
      <c r="H265" s="17"/>
      <c r="O265" s="16"/>
      <c r="P265" s="29"/>
      <c r="R265" s="21"/>
      <c r="T265" s="29"/>
      <c r="Y265" s="29"/>
    </row>
    <row r="266">
      <c r="A266" s="29"/>
      <c r="H266" s="17"/>
      <c r="O266" s="16"/>
      <c r="P266" s="29"/>
      <c r="R266" s="21"/>
      <c r="T266" s="29"/>
      <c r="Y266" s="29"/>
    </row>
    <row r="267">
      <c r="A267" s="29"/>
      <c r="H267" s="17"/>
      <c r="O267" s="16"/>
      <c r="P267" s="29"/>
      <c r="R267" s="21"/>
      <c r="T267" s="29"/>
      <c r="Y267" s="29"/>
    </row>
    <row r="268">
      <c r="A268" s="29"/>
      <c r="H268" s="17"/>
      <c r="O268" s="16"/>
      <c r="P268" s="29"/>
      <c r="R268" s="21"/>
      <c r="T268" s="29"/>
      <c r="Y268" s="29"/>
    </row>
    <row r="269">
      <c r="A269" s="29"/>
      <c r="H269" s="17"/>
      <c r="O269" s="16"/>
      <c r="P269" s="29"/>
      <c r="R269" s="21"/>
      <c r="T269" s="29"/>
      <c r="Y269" s="29"/>
    </row>
    <row r="270">
      <c r="A270" s="29"/>
      <c r="H270" s="17"/>
      <c r="O270" s="16"/>
      <c r="P270" s="29"/>
      <c r="R270" s="21"/>
      <c r="T270" s="29"/>
      <c r="Y270" s="29"/>
    </row>
    <row r="271">
      <c r="A271" s="29"/>
      <c r="H271" s="17"/>
      <c r="O271" s="16"/>
      <c r="P271" s="29"/>
      <c r="R271" s="21"/>
      <c r="T271" s="29"/>
      <c r="Y271" s="29"/>
    </row>
    <row r="272">
      <c r="A272" s="29"/>
      <c r="H272" s="17"/>
      <c r="O272" s="16"/>
      <c r="P272" s="29"/>
      <c r="R272" s="21"/>
      <c r="T272" s="29"/>
      <c r="Y272" s="29"/>
    </row>
    <row r="273">
      <c r="A273" s="29"/>
      <c r="H273" s="17"/>
      <c r="O273" s="16"/>
      <c r="P273" s="29"/>
      <c r="R273" s="21"/>
      <c r="T273" s="29"/>
      <c r="Y273" s="29"/>
    </row>
    <row r="274">
      <c r="A274" s="29"/>
      <c r="H274" s="17"/>
      <c r="O274" s="16"/>
      <c r="P274" s="29"/>
      <c r="R274" s="21"/>
      <c r="T274" s="29"/>
      <c r="Y274" s="29"/>
    </row>
    <row r="275">
      <c r="A275" s="29"/>
      <c r="H275" s="17"/>
      <c r="O275" s="16"/>
      <c r="P275" s="29"/>
      <c r="R275" s="21"/>
      <c r="T275" s="29"/>
      <c r="Y275" s="29"/>
    </row>
    <row r="276">
      <c r="A276" s="29"/>
      <c r="H276" s="17"/>
      <c r="O276" s="16"/>
      <c r="P276" s="29"/>
      <c r="R276" s="21"/>
      <c r="T276" s="29"/>
      <c r="Y276" s="29"/>
    </row>
    <row r="277">
      <c r="A277" s="29"/>
      <c r="H277" s="17"/>
      <c r="O277" s="16"/>
      <c r="P277" s="29"/>
      <c r="R277" s="21"/>
      <c r="T277" s="29"/>
      <c r="Y277" s="29"/>
    </row>
    <row r="278">
      <c r="A278" s="29"/>
      <c r="H278" s="17"/>
      <c r="O278" s="16"/>
      <c r="P278" s="29"/>
      <c r="R278" s="21"/>
      <c r="T278" s="29"/>
      <c r="Y278" s="29"/>
    </row>
    <row r="279">
      <c r="A279" s="29"/>
      <c r="H279" s="17"/>
      <c r="O279" s="16"/>
      <c r="P279" s="29"/>
      <c r="R279" s="21"/>
      <c r="T279" s="29"/>
      <c r="Y279" s="29"/>
    </row>
    <row r="280">
      <c r="A280" s="29"/>
      <c r="H280" s="17"/>
      <c r="O280" s="16"/>
      <c r="P280" s="29"/>
      <c r="R280" s="21"/>
      <c r="T280" s="29"/>
      <c r="Y280" s="29"/>
    </row>
    <row r="281">
      <c r="A281" s="29"/>
      <c r="H281" s="17"/>
      <c r="O281" s="16"/>
      <c r="P281" s="29"/>
      <c r="R281" s="21"/>
      <c r="T281" s="29"/>
      <c r="Y281" s="29"/>
    </row>
    <row r="282">
      <c r="A282" s="29"/>
      <c r="H282" s="17"/>
      <c r="O282" s="16"/>
      <c r="P282" s="29"/>
      <c r="R282" s="21"/>
      <c r="T282" s="29"/>
      <c r="Y282" s="29"/>
    </row>
    <row r="283">
      <c r="A283" s="29"/>
      <c r="H283" s="17"/>
      <c r="O283" s="16"/>
      <c r="P283" s="29"/>
      <c r="R283" s="21"/>
      <c r="T283" s="29"/>
      <c r="Y283" s="29"/>
    </row>
    <row r="284">
      <c r="A284" s="29"/>
      <c r="H284" s="17"/>
      <c r="O284" s="16"/>
      <c r="P284" s="29"/>
      <c r="R284" s="21"/>
      <c r="T284" s="29"/>
      <c r="Y284" s="29"/>
    </row>
    <row r="285">
      <c r="A285" s="29"/>
      <c r="H285" s="17"/>
      <c r="O285" s="16"/>
      <c r="P285" s="29"/>
      <c r="R285" s="21"/>
      <c r="T285" s="29"/>
      <c r="Y285" s="29"/>
    </row>
    <row r="286">
      <c r="A286" s="29"/>
      <c r="H286" s="17"/>
      <c r="O286" s="16"/>
      <c r="P286" s="29"/>
      <c r="R286" s="21"/>
      <c r="T286" s="29"/>
      <c r="Y286" s="29"/>
    </row>
    <row r="287">
      <c r="A287" s="29"/>
      <c r="H287" s="17"/>
      <c r="O287" s="16"/>
      <c r="P287" s="29"/>
      <c r="R287" s="21"/>
      <c r="T287" s="29"/>
      <c r="Y287" s="29"/>
    </row>
    <row r="288">
      <c r="A288" s="29"/>
      <c r="H288" s="17"/>
      <c r="O288" s="16"/>
      <c r="P288" s="29"/>
      <c r="R288" s="21"/>
      <c r="T288" s="29"/>
      <c r="Y288" s="29"/>
    </row>
    <row r="289">
      <c r="A289" s="29"/>
      <c r="H289" s="17"/>
      <c r="O289" s="16"/>
      <c r="P289" s="29"/>
      <c r="R289" s="21"/>
      <c r="T289" s="29"/>
      <c r="Y289" s="29"/>
    </row>
    <row r="290">
      <c r="A290" s="29"/>
      <c r="H290" s="17"/>
      <c r="O290" s="16"/>
      <c r="P290" s="29"/>
      <c r="R290" s="21"/>
      <c r="T290" s="29"/>
      <c r="Y290" s="29"/>
    </row>
    <row r="291">
      <c r="A291" s="29"/>
      <c r="H291" s="17"/>
      <c r="O291" s="16"/>
      <c r="P291" s="29"/>
      <c r="R291" s="21"/>
      <c r="T291" s="29"/>
      <c r="Y291" s="29"/>
    </row>
    <row r="292">
      <c r="A292" s="29"/>
      <c r="H292" s="17"/>
      <c r="O292" s="16"/>
      <c r="P292" s="29"/>
      <c r="R292" s="21"/>
      <c r="T292" s="29"/>
      <c r="Y292" s="29"/>
    </row>
    <row r="293">
      <c r="A293" s="29"/>
      <c r="H293" s="17"/>
      <c r="O293" s="16"/>
      <c r="P293" s="29"/>
      <c r="R293" s="21"/>
      <c r="T293" s="29"/>
      <c r="Y293" s="29"/>
    </row>
    <row r="294">
      <c r="A294" s="29"/>
      <c r="H294" s="17"/>
      <c r="O294" s="16"/>
      <c r="P294" s="29"/>
      <c r="R294" s="21"/>
      <c r="T294" s="29"/>
      <c r="Y294" s="29"/>
    </row>
    <row r="295">
      <c r="A295" s="29"/>
      <c r="H295" s="17"/>
      <c r="O295" s="16"/>
      <c r="P295" s="29"/>
      <c r="R295" s="21"/>
      <c r="T295" s="29"/>
      <c r="Y295" s="29"/>
    </row>
    <row r="296">
      <c r="A296" s="29"/>
      <c r="H296" s="17"/>
      <c r="O296" s="16"/>
      <c r="P296" s="29"/>
      <c r="R296" s="21"/>
      <c r="T296" s="29"/>
      <c r="Y296" s="29"/>
    </row>
    <row r="297">
      <c r="A297" s="29"/>
      <c r="H297" s="17"/>
      <c r="O297" s="16"/>
      <c r="P297" s="29"/>
      <c r="R297" s="21"/>
      <c r="T297" s="29"/>
      <c r="Y297" s="29"/>
    </row>
    <row r="298">
      <c r="A298" s="29"/>
      <c r="H298" s="17"/>
      <c r="O298" s="16"/>
      <c r="P298" s="29"/>
      <c r="R298" s="21"/>
      <c r="T298" s="29"/>
      <c r="Y298" s="29"/>
    </row>
    <row r="299">
      <c r="A299" s="29"/>
      <c r="H299" s="17"/>
      <c r="O299" s="16"/>
      <c r="P299" s="29"/>
      <c r="R299" s="21"/>
      <c r="T299" s="29"/>
      <c r="Y299" s="29"/>
    </row>
    <row r="300">
      <c r="A300" s="29"/>
      <c r="H300" s="17"/>
      <c r="O300" s="16"/>
      <c r="P300" s="29"/>
      <c r="R300" s="21"/>
      <c r="T300" s="29"/>
      <c r="Y300" s="29"/>
    </row>
    <row r="301">
      <c r="A301" s="29"/>
      <c r="H301" s="17"/>
      <c r="O301" s="16"/>
      <c r="P301" s="29"/>
      <c r="R301" s="21"/>
      <c r="T301" s="29"/>
      <c r="Y301" s="29"/>
    </row>
    <row r="302">
      <c r="A302" s="29"/>
      <c r="H302" s="17"/>
      <c r="O302" s="16"/>
      <c r="P302" s="29"/>
      <c r="R302" s="21"/>
      <c r="T302" s="29"/>
      <c r="Y302" s="29"/>
    </row>
    <row r="303">
      <c r="A303" s="29"/>
      <c r="H303" s="17"/>
      <c r="O303" s="16"/>
      <c r="P303" s="29"/>
      <c r="R303" s="21"/>
      <c r="T303" s="29"/>
      <c r="Y303" s="29"/>
    </row>
    <row r="304">
      <c r="A304" s="29"/>
      <c r="H304" s="17"/>
      <c r="O304" s="16"/>
      <c r="P304" s="29"/>
      <c r="R304" s="21"/>
      <c r="T304" s="29"/>
      <c r="Y304" s="29"/>
    </row>
    <row r="305">
      <c r="A305" s="29"/>
      <c r="H305" s="17"/>
      <c r="O305" s="16"/>
      <c r="P305" s="29"/>
      <c r="R305" s="21"/>
      <c r="T305" s="29"/>
      <c r="Y305" s="29"/>
    </row>
    <row r="306">
      <c r="A306" s="29"/>
      <c r="H306" s="17"/>
      <c r="O306" s="16"/>
      <c r="P306" s="29"/>
      <c r="R306" s="21"/>
      <c r="T306" s="29"/>
      <c r="Y306" s="29"/>
    </row>
    <row r="307">
      <c r="A307" s="29"/>
      <c r="H307" s="17"/>
      <c r="O307" s="16"/>
      <c r="P307" s="29"/>
      <c r="R307" s="21"/>
      <c r="T307" s="29"/>
      <c r="Y307" s="29"/>
    </row>
    <row r="308">
      <c r="A308" s="29"/>
      <c r="H308" s="17"/>
      <c r="O308" s="16"/>
      <c r="P308" s="29"/>
      <c r="R308" s="21"/>
      <c r="T308" s="29"/>
      <c r="Y308" s="29"/>
    </row>
    <row r="309">
      <c r="A309" s="29"/>
      <c r="H309" s="17"/>
      <c r="O309" s="16"/>
      <c r="P309" s="29"/>
      <c r="R309" s="21"/>
      <c r="T309" s="29"/>
      <c r="Y309" s="29"/>
    </row>
    <row r="310">
      <c r="A310" s="29"/>
      <c r="H310" s="17"/>
      <c r="O310" s="16"/>
      <c r="P310" s="29"/>
      <c r="R310" s="21"/>
      <c r="T310" s="29"/>
      <c r="Y310" s="29"/>
    </row>
    <row r="311">
      <c r="A311" s="29"/>
      <c r="H311" s="17"/>
      <c r="O311" s="16"/>
      <c r="P311" s="29"/>
      <c r="R311" s="21"/>
      <c r="T311" s="29"/>
      <c r="Y311" s="29"/>
    </row>
    <row r="312">
      <c r="A312" s="29"/>
      <c r="H312" s="17"/>
      <c r="O312" s="16"/>
      <c r="P312" s="29"/>
      <c r="R312" s="21"/>
      <c r="T312" s="29"/>
      <c r="Y312" s="29"/>
    </row>
    <row r="313">
      <c r="A313" s="29"/>
      <c r="H313" s="17"/>
      <c r="O313" s="16"/>
      <c r="P313" s="29"/>
      <c r="R313" s="21"/>
      <c r="T313" s="29"/>
      <c r="Y313" s="29"/>
    </row>
    <row r="314">
      <c r="A314" s="29"/>
      <c r="H314" s="17"/>
      <c r="O314" s="16"/>
      <c r="P314" s="29"/>
      <c r="R314" s="21"/>
      <c r="T314" s="29"/>
      <c r="Y314" s="29"/>
    </row>
    <row r="315">
      <c r="A315" s="29"/>
      <c r="H315" s="17"/>
      <c r="O315" s="16"/>
      <c r="P315" s="29"/>
      <c r="R315" s="21"/>
      <c r="T315" s="29"/>
      <c r="Y315" s="29"/>
    </row>
    <row r="316">
      <c r="A316" s="29"/>
      <c r="H316" s="17"/>
      <c r="O316" s="16"/>
      <c r="P316" s="29"/>
      <c r="R316" s="21"/>
      <c r="T316" s="29"/>
      <c r="Y316" s="29"/>
    </row>
    <row r="317">
      <c r="A317" s="29"/>
      <c r="H317" s="17"/>
      <c r="O317" s="16"/>
      <c r="P317" s="29"/>
      <c r="R317" s="21"/>
      <c r="T317" s="29"/>
      <c r="Y317" s="29"/>
    </row>
    <row r="318">
      <c r="A318" s="29"/>
      <c r="H318" s="17"/>
      <c r="O318" s="16"/>
      <c r="P318" s="29"/>
      <c r="R318" s="21"/>
      <c r="T318" s="29"/>
      <c r="Y318" s="29"/>
    </row>
    <row r="319">
      <c r="A319" s="29"/>
      <c r="H319" s="17"/>
      <c r="O319" s="16"/>
      <c r="P319" s="29"/>
      <c r="R319" s="21"/>
      <c r="T319" s="29"/>
      <c r="Y319" s="29"/>
    </row>
    <row r="320">
      <c r="A320" s="29"/>
      <c r="H320" s="17"/>
      <c r="O320" s="16"/>
      <c r="P320" s="29"/>
      <c r="R320" s="21"/>
      <c r="T320" s="29"/>
      <c r="Y320" s="29"/>
    </row>
    <row r="321">
      <c r="A321" s="29"/>
      <c r="H321" s="17"/>
      <c r="O321" s="16"/>
      <c r="P321" s="29"/>
      <c r="R321" s="21"/>
      <c r="T321" s="29"/>
      <c r="Y321" s="29"/>
    </row>
    <row r="322">
      <c r="A322" s="29"/>
      <c r="H322" s="17"/>
      <c r="O322" s="16"/>
      <c r="P322" s="29"/>
      <c r="R322" s="21"/>
      <c r="T322" s="29"/>
      <c r="Y322" s="29"/>
    </row>
    <row r="323">
      <c r="A323" s="29"/>
      <c r="H323" s="17"/>
      <c r="O323" s="16"/>
      <c r="P323" s="29"/>
      <c r="R323" s="21"/>
      <c r="T323" s="29"/>
      <c r="Y323" s="29"/>
    </row>
    <row r="324">
      <c r="A324" s="29"/>
      <c r="H324" s="17"/>
      <c r="O324" s="16"/>
      <c r="P324" s="29"/>
      <c r="R324" s="21"/>
      <c r="T324" s="29"/>
      <c r="Y324" s="29"/>
    </row>
    <row r="325">
      <c r="A325" s="29"/>
      <c r="H325" s="17"/>
      <c r="O325" s="16"/>
      <c r="P325" s="29"/>
      <c r="R325" s="21"/>
      <c r="T325" s="29"/>
      <c r="Y325" s="29"/>
    </row>
    <row r="326">
      <c r="A326" s="29"/>
      <c r="H326" s="17"/>
      <c r="O326" s="16"/>
      <c r="P326" s="29"/>
      <c r="R326" s="21"/>
      <c r="T326" s="29"/>
      <c r="Y326" s="29"/>
    </row>
    <row r="327">
      <c r="A327" s="29"/>
      <c r="H327" s="17"/>
      <c r="O327" s="16"/>
      <c r="P327" s="29"/>
      <c r="R327" s="21"/>
      <c r="T327" s="29"/>
      <c r="Y327" s="29"/>
    </row>
    <row r="328">
      <c r="A328" s="29"/>
      <c r="H328" s="17"/>
      <c r="O328" s="16"/>
      <c r="P328" s="29"/>
      <c r="R328" s="21"/>
      <c r="T328" s="29"/>
      <c r="Y328" s="29"/>
    </row>
    <row r="329">
      <c r="A329" s="29"/>
      <c r="H329" s="17"/>
      <c r="O329" s="16"/>
      <c r="P329" s="29"/>
      <c r="R329" s="21"/>
      <c r="T329" s="29"/>
      <c r="Y329" s="29"/>
    </row>
    <row r="330">
      <c r="A330" s="29"/>
      <c r="H330" s="17"/>
      <c r="O330" s="16"/>
      <c r="P330" s="29"/>
      <c r="R330" s="21"/>
      <c r="T330" s="29"/>
      <c r="Y330" s="29"/>
    </row>
    <row r="331">
      <c r="A331" s="29"/>
      <c r="H331" s="17"/>
      <c r="O331" s="16"/>
      <c r="P331" s="29"/>
      <c r="R331" s="21"/>
      <c r="T331" s="29"/>
      <c r="Y331" s="29"/>
    </row>
    <row r="332">
      <c r="A332" s="29"/>
      <c r="H332" s="17"/>
      <c r="O332" s="16"/>
      <c r="P332" s="29"/>
      <c r="R332" s="21"/>
      <c r="T332" s="29"/>
      <c r="Y332" s="29"/>
    </row>
    <row r="333">
      <c r="A333" s="29"/>
      <c r="H333" s="17"/>
      <c r="O333" s="16"/>
      <c r="P333" s="29"/>
      <c r="R333" s="21"/>
      <c r="T333" s="29"/>
      <c r="Y333" s="29"/>
    </row>
    <row r="334">
      <c r="A334" s="29"/>
      <c r="H334" s="17"/>
      <c r="O334" s="16"/>
      <c r="P334" s="29"/>
      <c r="R334" s="21"/>
      <c r="T334" s="29"/>
      <c r="Y334" s="29"/>
    </row>
    <row r="335">
      <c r="A335" s="29"/>
      <c r="H335" s="17"/>
      <c r="O335" s="16"/>
      <c r="P335" s="29"/>
      <c r="R335" s="21"/>
      <c r="T335" s="29"/>
      <c r="Y335" s="29"/>
    </row>
    <row r="336">
      <c r="A336" s="29"/>
      <c r="H336" s="17"/>
      <c r="O336" s="16"/>
      <c r="P336" s="29"/>
      <c r="R336" s="21"/>
      <c r="T336" s="29"/>
      <c r="Y336" s="29"/>
    </row>
    <row r="337">
      <c r="A337" s="29"/>
      <c r="H337" s="17"/>
      <c r="O337" s="16"/>
      <c r="P337" s="29"/>
      <c r="R337" s="21"/>
      <c r="T337" s="29"/>
      <c r="Y337" s="29"/>
    </row>
    <row r="338">
      <c r="A338" s="29"/>
      <c r="H338" s="17"/>
      <c r="O338" s="16"/>
      <c r="P338" s="29"/>
      <c r="R338" s="21"/>
      <c r="T338" s="29"/>
      <c r="Y338" s="29"/>
    </row>
    <row r="339">
      <c r="A339" s="29"/>
      <c r="H339" s="17"/>
      <c r="O339" s="16"/>
      <c r="P339" s="29"/>
      <c r="R339" s="21"/>
      <c r="T339" s="29"/>
      <c r="Y339" s="29"/>
    </row>
    <row r="340">
      <c r="A340" s="29"/>
      <c r="H340" s="17"/>
      <c r="O340" s="16"/>
      <c r="P340" s="29"/>
      <c r="R340" s="21"/>
      <c r="T340" s="29"/>
      <c r="Y340" s="29"/>
    </row>
    <row r="341">
      <c r="A341" s="29"/>
      <c r="H341" s="17"/>
      <c r="O341" s="16"/>
      <c r="P341" s="29"/>
      <c r="R341" s="21"/>
      <c r="T341" s="29"/>
      <c r="Y341" s="29"/>
    </row>
    <row r="342">
      <c r="A342" s="29"/>
      <c r="H342" s="17"/>
      <c r="O342" s="16"/>
      <c r="P342" s="29"/>
      <c r="R342" s="21"/>
      <c r="T342" s="29"/>
      <c r="Y342" s="29"/>
    </row>
    <row r="343">
      <c r="A343" s="29"/>
      <c r="H343" s="17"/>
      <c r="O343" s="16"/>
      <c r="P343" s="29"/>
      <c r="R343" s="21"/>
      <c r="T343" s="29"/>
      <c r="Y343" s="29"/>
    </row>
    <row r="344">
      <c r="A344" s="29"/>
      <c r="H344" s="17"/>
      <c r="O344" s="16"/>
      <c r="P344" s="29"/>
      <c r="R344" s="21"/>
      <c r="T344" s="29"/>
      <c r="Y344" s="29"/>
    </row>
    <row r="345">
      <c r="A345" s="29"/>
      <c r="H345" s="17"/>
      <c r="O345" s="16"/>
      <c r="P345" s="29"/>
      <c r="R345" s="21"/>
      <c r="T345" s="29"/>
      <c r="Y345" s="29"/>
    </row>
    <row r="346">
      <c r="A346" s="29"/>
      <c r="H346" s="17"/>
      <c r="O346" s="16"/>
      <c r="P346" s="29"/>
      <c r="R346" s="21"/>
      <c r="T346" s="29"/>
      <c r="Y346" s="29"/>
    </row>
    <row r="347">
      <c r="A347" s="29"/>
      <c r="H347" s="17"/>
      <c r="O347" s="16"/>
      <c r="P347" s="29"/>
      <c r="R347" s="21"/>
      <c r="T347" s="29"/>
      <c r="Y347" s="29"/>
    </row>
    <row r="348">
      <c r="A348" s="29"/>
      <c r="H348" s="17"/>
      <c r="O348" s="16"/>
      <c r="P348" s="29"/>
      <c r="R348" s="21"/>
      <c r="T348" s="29"/>
      <c r="Y348" s="29"/>
    </row>
    <row r="349">
      <c r="A349" s="29"/>
      <c r="H349" s="17"/>
      <c r="O349" s="16"/>
      <c r="P349" s="29"/>
      <c r="R349" s="21"/>
      <c r="T349" s="29"/>
      <c r="Y349" s="29"/>
    </row>
    <row r="350">
      <c r="A350" s="29"/>
      <c r="H350" s="17"/>
      <c r="O350" s="16"/>
      <c r="P350" s="29"/>
      <c r="R350" s="21"/>
      <c r="T350" s="29"/>
      <c r="Y350" s="29"/>
    </row>
    <row r="351">
      <c r="A351" s="29"/>
      <c r="H351" s="17"/>
      <c r="O351" s="16"/>
      <c r="P351" s="29"/>
      <c r="R351" s="21"/>
      <c r="T351" s="29"/>
      <c r="Y351" s="29"/>
    </row>
    <row r="352">
      <c r="A352" s="29"/>
      <c r="H352" s="17"/>
      <c r="O352" s="16"/>
      <c r="P352" s="29"/>
      <c r="R352" s="21"/>
      <c r="T352" s="29"/>
      <c r="Y352" s="29"/>
    </row>
    <row r="353">
      <c r="A353" s="29"/>
      <c r="H353" s="17"/>
      <c r="O353" s="16"/>
      <c r="P353" s="29"/>
      <c r="R353" s="21"/>
      <c r="T353" s="29"/>
      <c r="Y353" s="29"/>
    </row>
    <row r="354">
      <c r="A354" s="29"/>
      <c r="H354" s="17"/>
      <c r="O354" s="16"/>
      <c r="P354" s="29"/>
      <c r="R354" s="21"/>
      <c r="T354" s="29"/>
      <c r="Y354" s="29"/>
    </row>
    <row r="355">
      <c r="A355" s="29"/>
      <c r="H355" s="17"/>
      <c r="O355" s="16"/>
      <c r="P355" s="29"/>
      <c r="R355" s="21"/>
      <c r="T355" s="29"/>
      <c r="Y355" s="29"/>
    </row>
    <row r="356">
      <c r="A356" s="29"/>
      <c r="H356" s="17"/>
      <c r="O356" s="16"/>
      <c r="P356" s="29"/>
      <c r="R356" s="21"/>
      <c r="T356" s="29"/>
      <c r="Y356" s="29"/>
    </row>
    <row r="357">
      <c r="A357" s="29"/>
      <c r="H357" s="17"/>
      <c r="O357" s="16"/>
      <c r="P357" s="29"/>
      <c r="R357" s="21"/>
      <c r="T357" s="29"/>
      <c r="Y357" s="29"/>
    </row>
    <row r="358">
      <c r="A358" s="29"/>
      <c r="H358" s="17"/>
      <c r="O358" s="16"/>
      <c r="P358" s="29"/>
      <c r="R358" s="21"/>
      <c r="T358" s="29"/>
      <c r="Y358" s="29"/>
    </row>
    <row r="359">
      <c r="A359" s="29"/>
      <c r="H359" s="17"/>
      <c r="O359" s="16"/>
      <c r="P359" s="29"/>
      <c r="R359" s="21"/>
      <c r="T359" s="29"/>
      <c r="Y359" s="29"/>
    </row>
    <row r="360">
      <c r="A360" s="29"/>
      <c r="H360" s="17"/>
      <c r="O360" s="16"/>
      <c r="P360" s="29"/>
      <c r="R360" s="21"/>
      <c r="T360" s="29"/>
      <c r="Y360" s="29"/>
    </row>
    <row r="361">
      <c r="A361" s="29"/>
      <c r="H361" s="17"/>
      <c r="O361" s="16"/>
      <c r="P361" s="29"/>
      <c r="R361" s="21"/>
      <c r="T361" s="29"/>
      <c r="Y361" s="29"/>
    </row>
    <row r="362">
      <c r="A362" s="29"/>
      <c r="H362" s="17"/>
      <c r="O362" s="16"/>
      <c r="P362" s="29"/>
      <c r="R362" s="21"/>
      <c r="T362" s="29"/>
      <c r="Y362" s="29"/>
    </row>
    <row r="363">
      <c r="A363" s="29"/>
      <c r="H363" s="17"/>
      <c r="O363" s="16"/>
      <c r="P363" s="29"/>
      <c r="R363" s="21"/>
      <c r="T363" s="29"/>
      <c r="Y363" s="29"/>
    </row>
    <row r="364">
      <c r="A364" s="29"/>
      <c r="H364" s="17"/>
      <c r="O364" s="16"/>
      <c r="P364" s="29"/>
      <c r="R364" s="21"/>
      <c r="T364" s="29"/>
      <c r="Y364" s="29"/>
    </row>
    <row r="365">
      <c r="A365" s="29"/>
      <c r="H365" s="17"/>
      <c r="O365" s="16"/>
      <c r="P365" s="29"/>
      <c r="R365" s="21"/>
      <c r="T365" s="29"/>
      <c r="Y365" s="29"/>
    </row>
    <row r="366">
      <c r="A366" s="29"/>
      <c r="H366" s="17"/>
      <c r="O366" s="16"/>
      <c r="P366" s="29"/>
      <c r="R366" s="21"/>
      <c r="T366" s="29"/>
      <c r="Y366" s="29"/>
    </row>
    <row r="367">
      <c r="A367" s="29"/>
      <c r="H367" s="17"/>
      <c r="O367" s="16"/>
      <c r="P367" s="29"/>
      <c r="R367" s="21"/>
      <c r="T367" s="29"/>
      <c r="Y367" s="29"/>
    </row>
    <row r="368">
      <c r="A368" s="29"/>
      <c r="H368" s="17"/>
      <c r="O368" s="16"/>
      <c r="P368" s="29"/>
      <c r="R368" s="21"/>
      <c r="T368" s="29"/>
      <c r="Y368" s="29"/>
    </row>
    <row r="369">
      <c r="A369" s="29"/>
      <c r="H369" s="17"/>
      <c r="O369" s="16"/>
      <c r="P369" s="29"/>
      <c r="R369" s="21"/>
      <c r="T369" s="29"/>
      <c r="Y369" s="29"/>
    </row>
    <row r="370">
      <c r="A370" s="29"/>
      <c r="H370" s="17"/>
      <c r="O370" s="16"/>
      <c r="P370" s="29"/>
      <c r="R370" s="21"/>
      <c r="T370" s="29"/>
      <c r="Y370" s="29"/>
    </row>
    <row r="371">
      <c r="A371" s="29"/>
      <c r="H371" s="17"/>
      <c r="O371" s="16"/>
      <c r="P371" s="29"/>
      <c r="R371" s="21"/>
      <c r="T371" s="29"/>
      <c r="Y371" s="29"/>
    </row>
    <row r="372">
      <c r="A372" s="29"/>
      <c r="H372" s="17"/>
      <c r="O372" s="16"/>
      <c r="P372" s="29"/>
      <c r="R372" s="21"/>
      <c r="T372" s="29"/>
      <c r="Y372" s="29"/>
    </row>
    <row r="373">
      <c r="A373" s="29"/>
      <c r="H373" s="17"/>
      <c r="O373" s="16"/>
      <c r="P373" s="29"/>
      <c r="R373" s="21"/>
      <c r="T373" s="29"/>
      <c r="Y373" s="29"/>
    </row>
    <row r="374">
      <c r="A374" s="29"/>
      <c r="H374" s="17"/>
      <c r="O374" s="16"/>
      <c r="P374" s="29"/>
      <c r="R374" s="21"/>
      <c r="T374" s="29"/>
      <c r="Y374" s="29"/>
    </row>
    <row r="375">
      <c r="A375" s="29"/>
      <c r="H375" s="17"/>
      <c r="O375" s="16"/>
      <c r="P375" s="29"/>
      <c r="R375" s="21"/>
      <c r="T375" s="29"/>
      <c r="Y375" s="29"/>
    </row>
    <row r="376">
      <c r="A376" s="29"/>
      <c r="H376" s="17"/>
      <c r="O376" s="16"/>
      <c r="P376" s="29"/>
      <c r="R376" s="21"/>
      <c r="T376" s="29"/>
      <c r="Y376" s="29"/>
    </row>
    <row r="377">
      <c r="A377" s="29"/>
      <c r="H377" s="17"/>
      <c r="O377" s="16"/>
      <c r="P377" s="29"/>
      <c r="R377" s="21"/>
      <c r="T377" s="29"/>
      <c r="Y377" s="29"/>
    </row>
    <row r="378">
      <c r="A378" s="29"/>
      <c r="H378" s="17"/>
      <c r="O378" s="16"/>
      <c r="P378" s="29"/>
      <c r="R378" s="21"/>
      <c r="T378" s="29"/>
      <c r="Y378" s="29"/>
    </row>
    <row r="379">
      <c r="A379" s="29"/>
      <c r="H379" s="17"/>
      <c r="O379" s="16"/>
      <c r="P379" s="29"/>
      <c r="R379" s="21"/>
      <c r="T379" s="29"/>
      <c r="Y379" s="29"/>
    </row>
    <row r="380">
      <c r="A380" s="29"/>
      <c r="H380" s="17"/>
      <c r="O380" s="16"/>
      <c r="P380" s="29"/>
      <c r="R380" s="21"/>
      <c r="T380" s="29"/>
      <c r="Y380" s="29"/>
    </row>
    <row r="381">
      <c r="A381" s="29"/>
      <c r="H381" s="17"/>
      <c r="O381" s="16"/>
      <c r="P381" s="29"/>
      <c r="R381" s="21"/>
      <c r="T381" s="29"/>
      <c r="Y381" s="29"/>
    </row>
    <row r="382">
      <c r="A382" s="29"/>
      <c r="H382" s="17"/>
      <c r="O382" s="16"/>
      <c r="P382" s="29"/>
      <c r="R382" s="21"/>
      <c r="T382" s="29"/>
      <c r="Y382" s="29"/>
    </row>
    <row r="383">
      <c r="A383" s="29"/>
      <c r="H383" s="17"/>
      <c r="O383" s="16"/>
      <c r="P383" s="29"/>
      <c r="R383" s="21"/>
      <c r="T383" s="29"/>
      <c r="Y383" s="29"/>
    </row>
    <row r="384">
      <c r="A384" s="29"/>
      <c r="H384" s="17"/>
      <c r="O384" s="16"/>
      <c r="P384" s="29"/>
      <c r="R384" s="21"/>
      <c r="T384" s="29"/>
      <c r="Y384" s="29"/>
    </row>
    <row r="385">
      <c r="A385" s="29"/>
      <c r="H385" s="17"/>
      <c r="O385" s="16"/>
      <c r="P385" s="29"/>
      <c r="R385" s="21"/>
      <c r="T385" s="29"/>
      <c r="Y385" s="29"/>
    </row>
    <row r="386">
      <c r="A386" s="29"/>
      <c r="H386" s="17"/>
      <c r="O386" s="16"/>
      <c r="P386" s="29"/>
      <c r="R386" s="21"/>
      <c r="T386" s="29"/>
      <c r="Y386" s="29"/>
    </row>
    <row r="387">
      <c r="A387" s="29"/>
      <c r="H387" s="17"/>
      <c r="O387" s="16"/>
      <c r="P387" s="29"/>
      <c r="R387" s="21"/>
      <c r="T387" s="29"/>
      <c r="Y387" s="29"/>
    </row>
    <row r="388">
      <c r="A388" s="29"/>
      <c r="H388" s="17"/>
      <c r="O388" s="16"/>
      <c r="P388" s="29"/>
      <c r="R388" s="21"/>
      <c r="T388" s="29"/>
      <c r="Y388" s="29"/>
    </row>
    <row r="389">
      <c r="A389" s="29"/>
      <c r="H389" s="17"/>
      <c r="O389" s="16"/>
      <c r="P389" s="29"/>
      <c r="R389" s="21"/>
      <c r="T389" s="29"/>
      <c r="Y389" s="29"/>
    </row>
    <row r="390">
      <c r="A390" s="29"/>
      <c r="H390" s="17"/>
      <c r="O390" s="16"/>
      <c r="P390" s="29"/>
      <c r="R390" s="21"/>
      <c r="T390" s="29"/>
      <c r="Y390" s="29"/>
    </row>
    <row r="391">
      <c r="A391" s="29"/>
      <c r="H391" s="17"/>
      <c r="O391" s="16"/>
      <c r="P391" s="29"/>
      <c r="R391" s="21"/>
      <c r="T391" s="29"/>
      <c r="Y391" s="29"/>
    </row>
    <row r="392">
      <c r="A392" s="29"/>
      <c r="H392" s="17"/>
      <c r="O392" s="16"/>
      <c r="P392" s="29"/>
      <c r="R392" s="21"/>
      <c r="T392" s="29"/>
      <c r="Y392" s="29"/>
    </row>
    <row r="393">
      <c r="A393" s="29"/>
      <c r="H393" s="17"/>
      <c r="O393" s="16"/>
      <c r="P393" s="29"/>
      <c r="R393" s="21"/>
      <c r="T393" s="29"/>
      <c r="Y393" s="29"/>
    </row>
    <row r="394">
      <c r="A394" s="29"/>
      <c r="H394" s="17"/>
      <c r="O394" s="16"/>
      <c r="P394" s="29"/>
      <c r="R394" s="21"/>
      <c r="T394" s="29"/>
      <c r="Y394" s="29"/>
    </row>
    <row r="395">
      <c r="A395" s="29"/>
      <c r="H395" s="17"/>
      <c r="O395" s="16"/>
      <c r="P395" s="29"/>
      <c r="R395" s="21"/>
      <c r="T395" s="29"/>
      <c r="Y395" s="29"/>
    </row>
    <row r="396">
      <c r="A396" s="29"/>
      <c r="H396" s="17"/>
      <c r="O396" s="16"/>
      <c r="P396" s="29"/>
      <c r="R396" s="21"/>
      <c r="T396" s="29"/>
      <c r="Y396" s="29"/>
    </row>
    <row r="397">
      <c r="A397" s="29"/>
      <c r="H397" s="17"/>
      <c r="O397" s="16"/>
      <c r="P397" s="29"/>
      <c r="R397" s="21"/>
      <c r="T397" s="29"/>
      <c r="Y397" s="29"/>
    </row>
    <row r="398">
      <c r="A398" s="29"/>
      <c r="H398" s="17"/>
      <c r="O398" s="16"/>
      <c r="P398" s="29"/>
      <c r="R398" s="21"/>
      <c r="T398" s="29"/>
      <c r="Y398" s="29"/>
    </row>
    <row r="399">
      <c r="A399" s="29"/>
      <c r="H399" s="17"/>
      <c r="O399" s="16"/>
      <c r="P399" s="29"/>
      <c r="R399" s="21"/>
      <c r="T399" s="29"/>
      <c r="Y399" s="29"/>
    </row>
    <row r="400">
      <c r="A400" s="29"/>
      <c r="H400" s="17"/>
      <c r="O400" s="16"/>
      <c r="P400" s="29"/>
      <c r="R400" s="21"/>
      <c r="T400" s="29"/>
      <c r="Y400" s="29"/>
    </row>
    <row r="401">
      <c r="A401" s="29"/>
      <c r="H401" s="17"/>
      <c r="O401" s="16"/>
      <c r="P401" s="29"/>
      <c r="R401" s="21"/>
      <c r="T401" s="29"/>
      <c r="Y401" s="29"/>
    </row>
    <row r="402">
      <c r="A402" s="29"/>
      <c r="H402" s="17"/>
      <c r="O402" s="16"/>
      <c r="P402" s="29"/>
      <c r="R402" s="21"/>
      <c r="T402" s="29"/>
      <c r="Y402" s="29"/>
    </row>
    <row r="403">
      <c r="A403" s="29"/>
      <c r="H403" s="17"/>
      <c r="O403" s="16"/>
      <c r="P403" s="29"/>
      <c r="R403" s="21"/>
      <c r="T403" s="29"/>
      <c r="Y403" s="29"/>
    </row>
    <row r="404">
      <c r="A404" s="29"/>
      <c r="H404" s="17"/>
      <c r="O404" s="16"/>
      <c r="P404" s="29"/>
      <c r="R404" s="21"/>
      <c r="T404" s="29"/>
      <c r="Y404" s="29"/>
    </row>
    <row r="405">
      <c r="A405" s="29"/>
      <c r="H405" s="17"/>
      <c r="O405" s="16"/>
      <c r="P405" s="29"/>
      <c r="R405" s="21"/>
      <c r="T405" s="29"/>
      <c r="Y405" s="29"/>
    </row>
    <row r="406">
      <c r="A406" s="29"/>
      <c r="H406" s="17"/>
      <c r="O406" s="16"/>
      <c r="P406" s="29"/>
      <c r="R406" s="21"/>
      <c r="T406" s="29"/>
      <c r="Y406" s="29"/>
    </row>
    <row r="407">
      <c r="A407" s="29"/>
      <c r="H407" s="17"/>
      <c r="O407" s="16"/>
      <c r="P407" s="29"/>
      <c r="R407" s="21"/>
      <c r="T407" s="29"/>
      <c r="Y407" s="29"/>
    </row>
    <row r="408">
      <c r="A408" s="29"/>
      <c r="H408" s="17"/>
      <c r="O408" s="16"/>
      <c r="P408" s="29"/>
      <c r="R408" s="21"/>
      <c r="T408" s="29"/>
      <c r="Y408" s="29"/>
    </row>
    <row r="409">
      <c r="A409" s="29"/>
      <c r="H409" s="17"/>
      <c r="O409" s="16"/>
      <c r="P409" s="29"/>
      <c r="R409" s="21"/>
      <c r="T409" s="29"/>
      <c r="Y409" s="29"/>
    </row>
    <row r="410">
      <c r="A410" s="29"/>
      <c r="H410" s="17"/>
      <c r="O410" s="16"/>
      <c r="P410" s="29"/>
      <c r="R410" s="21"/>
      <c r="T410" s="29"/>
      <c r="Y410" s="29"/>
    </row>
    <row r="411">
      <c r="A411" s="29"/>
      <c r="H411" s="17"/>
      <c r="O411" s="16"/>
      <c r="P411" s="29"/>
      <c r="R411" s="21"/>
      <c r="T411" s="29"/>
      <c r="Y411" s="29"/>
    </row>
    <row r="412">
      <c r="A412" s="29"/>
      <c r="H412" s="17"/>
      <c r="O412" s="16"/>
      <c r="P412" s="29"/>
      <c r="R412" s="21"/>
      <c r="T412" s="29"/>
      <c r="Y412" s="29"/>
    </row>
    <row r="413">
      <c r="A413" s="29"/>
      <c r="H413" s="17"/>
      <c r="O413" s="16"/>
      <c r="P413" s="29"/>
      <c r="R413" s="21"/>
      <c r="T413" s="29"/>
      <c r="Y413" s="29"/>
    </row>
    <row r="414">
      <c r="A414" s="29"/>
      <c r="H414" s="17"/>
      <c r="O414" s="16"/>
      <c r="P414" s="29"/>
      <c r="R414" s="21"/>
      <c r="T414" s="29"/>
      <c r="Y414" s="29"/>
    </row>
    <row r="415">
      <c r="A415" s="29"/>
      <c r="H415" s="17"/>
      <c r="O415" s="16"/>
      <c r="P415" s="29"/>
      <c r="R415" s="21"/>
      <c r="T415" s="29"/>
      <c r="Y415" s="29"/>
    </row>
    <row r="416">
      <c r="A416" s="29"/>
      <c r="H416" s="17"/>
      <c r="O416" s="16"/>
      <c r="P416" s="29"/>
      <c r="R416" s="21"/>
      <c r="T416" s="29"/>
      <c r="Y416" s="29"/>
    </row>
    <row r="417">
      <c r="A417" s="29"/>
      <c r="H417" s="17"/>
      <c r="O417" s="16"/>
      <c r="P417" s="29"/>
      <c r="R417" s="21"/>
      <c r="T417" s="29"/>
      <c r="Y417" s="29"/>
    </row>
    <row r="418">
      <c r="A418" s="29"/>
      <c r="H418" s="17"/>
      <c r="O418" s="16"/>
      <c r="P418" s="29"/>
      <c r="R418" s="21"/>
      <c r="T418" s="29"/>
      <c r="Y418" s="29"/>
    </row>
    <row r="419">
      <c r="A419" s="29"/>
      <c r="H419" s="17"/>
      <c r="O419" s="16"/>
      <c r="P419" s="29"/>
      <c r="R419" s="21"/>
      <c r="T419" s="29"/>
      <c r="Y419" s="29"/>
    </row>
    <row r="420">
      <c r="A420" s="29"/>
      <c r="H420" s="17"/>
      <c r="O420" s="16"/>
      <c r="P420" s="29"/>
      <c r="R420" s="21"/>
      <c r="T420" s="29"/>
      <c r="Y420" s="29"/>
    </row>
    <row r="421">
      <c r="A421" s="29"/>
      <c r="H421" s="17"/>
      <c r="O421" s="16"/>
      <c r="P421" s="29"/>
      <c r="R421" s="21"/>
      <c r="T421" s="29"/>
      <c r="Y421" s="29"/>
    </row>
    <row r="422">
      <c r="A422" s="29"/>
      <c r="H422" s="17"/>
      <c r="O422" s="16"/>
      <c r="P422" s="29"/>
      <c r="R422" s="21"/>
      <c r="T422" s="29"/>
      <c r="Y422" s="29"/>
    </row>
    <row r="423">
      <c r="A423" s="29"/>
      <c r="H423" s="17"/>
      <c r="O423" s="16"/>
      <c r="P423" s="29"/>
      <c r="R423" s="21"/>
      <c r="T423" s="29"/>
      <c r="Y423" s="29"/>
    </row>
    <row r="424">
      <c r="A424" s="29"/>
      <c r="H424" s="17"/>
      <c r="O424" s="16"/>
      <c r="P424" s="29"/>
      <c r="R424" s="21"/>
      <c r="T424" s="29"/>
      <c r="Y424" s="29"/>
    </row>
    <row r="425">
      <c r="A425" s="29"/>
      <c r="H425" s="17"/>
      <c r="O425" s="16"/>
      <c r="P425" s="29"/>
      <c r="R425" s="21"/>
      <c r="T425" s="29"/>
      <c r="Y425" s="29"/>
    </row>
    <row r="426">
      <c r="A426" s="29"/>
      <c r="H426" s="17"/>
      <c r="O426" s="16"/>
      <c r="P426" s="29"/>
      <c r="R426" s="21"/>
      <c r="T426" s="29"/>
      <c r="Y426" s="29"/>
    </row>
    <row r="427">
      <c r="A427" s="29"/>
      <c r="H427" s="17"/>
      <c r="O427" s="16"/>
      <c r="P427" s="29"/>
      <c r="R427" s="21"/>
      <c r="T427" s="29"/>
      <c r="Y427" s="29"/>
    </row>
    <row r="428">
      <c r="A428" s="29"/>
      <c r="H428" s="17"/>
      <c r="O428" s="16"/>
      <c r="P428" s="29"/>
      <c r="R428" s="21"/>
      <c r="T428" s="29"/>
      <c r="Y428" s="29"/>
    </row>
    <row r="429">
      <c r="A429" s="29"/>
      <c r="H429" s="17"/>
      <c r="O429" s="16"/>
      <c r="P429" s="29"/>
      <c r="R429" s="21"/>
      <c r="T429" s="29"/>
      <c r="Y429" s="29"/>
    </row>
    <row r="430">
      <c r="A430" s="29"/>
      <c r="H430" s="17"/>
      <c r="O430" s="16"/>
      <c r="P430" s="29"/>
      <c r="R430" s="21"/>
      <c r="T430" s="29"/>
      <c r="Y430" s="29"/>
    </row>
    <row r="431">
      <c r="A431" s="29"/>
      <c r="H431" s="17"/>
      <c r="O431" s="16"/>
      <c r="P431" s="29"/>
      <c r="R431" s="21"/>
      <c r="T431" s="29"/>
      <c r="Y431" s="29"/>
    </row>
    <row r="432">
      <c r="A432" s="29"/>
      <c r="H432" s="17"/>
      <c r="O432" s="16"/>
      <c r="P432" s="29"/>
      <c r="R432" s="21"/>
      <c r="T432" s="29"/>
      <c r="Y432" s="29"/>
    </row>
    <row r="433">
      <c r="A433" s="29"/>
      <c r="H433" s="17"/>
      <c r="O433" s="16"/>
      <c r="P433" s="29"/>
      <c r="R433" s="21"/>
      <c r="T433" s="29"/>
      <c r="Y433" s="29"/>
    </row>
    <row r="434">
      <c r="A434" s="29"/>
      <c r="H434" s="17"/>
      <c r="O434" s="16"/>
      <c r="P434" s="29"/>
      <c r="R434" s="21"/>
      <c r="T434" s="29"/>
      <c r="Y434" s="29"/>
    </row>
    <row r="435">
      <c r="A435" s="29"/>
      <c r="H435" s="17"/>
      <c r="O435" s="16"/>
      <c r="P435" s="29"/>
      <c r="R435" s="21"/>
      <c r="T435" s="29"/>
      <c r="Y435" s="29"/>
    </row>
    <row r="436">
      <c r="A436" s="29"/>
      <c r="H436" s="17"/>
      <c r="O436" s="16"/>
      <c r="P436" s="29"/>
      <c r="R436" s="21"/>
      <c r="T436" s="29"/>
      <c r="Y436" s="29"/>
    </row>
    <row r="437">
      <c r="A437" s="29"/>
      <c r="H437" s="17"/>
      <c r="O437" s="16"/>
      <c r="P437" s="29"/>
      <c r="R437" s="21"/>
      <c r="T437" s="29"/>
      <c r="Y437" s="29"/>
    </row>
    <row r="438">
      <c r="A438" s="29"/>
      <c r="H438" s="17"/>
      <c r="O438" s="16"/>
      <c r="P438" s="29"/>
      <c r="R438" s="21"/>
      <c r="T438" s="29"/>
      <c r="Y438" s="29"/>
    </row>
    <row r="439">
      <c r="A439" s="29"/>
      <c r="H439" s="17"/>
      <c r="O439" s="16"/>
      <c r="P439" s="29"/>
      <c r="R439" s="21"/>
      <c r="T439" s="29"/>
      <c r="Y439" s="29"/>
    </row>
    <row r="440">
      <c r="A440" s="29"/>
      <c r="H440" s="17"/>
      <c r="O440" s="16"/>
      <c r="P440" s="29"/>
      <c r="R440" s="21"/>
      <c r="T440" s="29"/>
      <c r="Y440" s="29"/>
    </row>
    <row r="441">
      <c r="A441" s="29"/>
      <c r="H441" s="17"/>
      <c r="O441" s="16"/>
      <c r="P441" s="29"/>
      <c r="R441" s="21"/>
      <c r="T441" s="29"/>
      <c r="Y441" s="29"/>
    </row>
    <row r="442">
      <c r="A442" s="29"/>
      <c r="H442" s="17"/>
      <c r="O442" s="16"/>
      <c r="P442" s="29"/>
      <c r="R442" s="21"/>
      <c r="T442" s="29"/>
      <c r="Y442" s="29"/>
    </row>
    <row r="443">
      <c r="A443" s="29"/>
      <c r="H443" s="17"/>
      <c r="O443" s="16"/>
      <c r="P443" s="29"/>
      <c r="R443" s="21"/>
      <c r="T443" s="29"/>
      <c r="Y443" s="29"/>
    </row>
    <row r="444">
      <c r="A444" s="29"/>
      <c r="H444" s="17"/>
      <c r="O444" s="16"/>
      <c r="P444" s="29"/>
      <c r="R444" s="21"/>
      <c r="T444" s="29"/>
      <c r="Y444" s="29"/>
    </row>
    <row r="445">
      <c r="A445" s="29"/>
      <c r="H445" s="17"/>
      <c r="O445" s="16"/>
      <c r="P445" s="29"/>
      <c r="R445" s="21"/>
      <c r="T445" s="29"/>
      <c r="Y445" s="29"/>
    </row>
    <row r="446">
      <c r="A446" s="29"/>
      <c r="H446" s="17"/>
      <c r="O446" s="16"/>
      <c r="P446" s="29"/>
      <c r="R446" s="21"/>
      <c r="T446" s="29"/>
      <c r="Y446" s="29"/>
    </row>
    <row r="447">
      <c r="A447" s="29"/>
      <c r="H447" s="17"/>
      <c r="O447" s="16"/>
      <c r="P447" s="29"/>
      <c r="R447" s="21"/>
      <c r="T447" s="29"/>
      <c r="Y447" s="29"/>
    </row>
    <row r="448">
      <c r="A448" s="29"/>
      <c r="H448" s="17"/>
      <c r="O448" s="16"/>
      <c r="P448" s="29"/>
      <c r="R448" s="21"/>
      <c r="T448" s="29"/>
      <c r="Y448" s="29"/>
    </row>
    <row r="449">
      <c r="A449" s="29"/>
      <c r="H449" s="17"/>
      <c r="O449" s="16"/>
      <c r="P449" s="29"/>
      <c r="R449" s="21"/>
      <c r="T449" s="29"/>
      <c r="Y449" s="29"/>
    </row>
    <row r="450">
      <c r="A450" s="29"/>
      <c r="H450" s="17"/>
      <c r="O450" s="16"/>
      <c r="P450" s="29"/>
      <c r="R450" s="21"/>
      <c r="T450" s="29"/>
      <c r="Y450" s="29"/>
    </row>
    <row r="451">
      <c r="A451" s="29"/>
      <c r="H451" s="17"/>
      <c r="O451" s="16"/>
      <c r="P451" s="29"/>
      <c r="R451" s="21"/>
      <c r="T451" s="29"/>
      <c r="Y451" s="29"/>
    </row>
    <row r="452">
      <c r="A452" s="29"/>
      <c r="H452" s="17"/>
      <c r="O452" s="16"/>
      <c r="P452" s="29"/>
      <c r="R452" s="21"/>
      <c r="T452" s="29"/>
      <c r="Y452" s="29"/>
    </row>
    <row r="453">
      <c r="A453" s="29"/>
      <c r="H453" s="17"/>
      <c r="O453" s="16"/>
      <c r="P453" s="29"/>
      <c r="R453" s="21"/>
      <c r="T453" s="29"/>
      <c r="Y453" s="29"/>
    </row>
    <row r="454">
      <c r="A454" s="29"/>
      <c r="H454" s="17"/>
      <c r="O454" s="16"/>
      <c r="P454" s="29"/>
      <c r="R454" s="21"/>
      <c r="T454" s="29"/>
      <c r="Y454" s="29"/>
    </row>
    <row r="455">
      <c r="A455" s="29"/>
      <c r="H455" s="17"/>
      <c r="O455" s="16"/>
      <c r="P455" s="29"/>
      <c r="R455" s="21"/>
      <c r="T455" s="29"/>
      <c r="Y455" s="29"/>
    </row>
    <row r="456">
      <c r="A456" s="29"/>
      <c r="H456" s="17"/>
      <c r="O456" s="16"/>
      <c r="P456" s="29"/>
      <c r="R456" s="21"/>
      <c r="T456" s="29"/>
      <c r="Y456" s="29"/>
    </row>
    <row r="457">
      <c r="A457" s="29"/>
      <c r="H457" s="17"/>
      <c r="O457" s="16"/>
      <c r="P457" s="29"/>
      <c r="R457" s="21"/>
      <c r="T457" s="29"/>
      <c r="Y457" s="29"/>
    </row>
    <row r="458">
      <c r="A458" s="29"/>
      <c r="H458" s="17"/>
      <c r="O458" s="16"/>
      <c r="P458" s="29"/>
      <c r="R458" s="21"/>
      <c r="T458" s="29"/>
      <c r="Y458" s="29"/>
    </row>
    <row r="459">
      <c r="A459" s="29"/>
      <c r="H459" s="17"/>
      <c r="O459" s="16"/>
      <c r="P459" s="29"/>
      <c r="R459" s="21"/>
      <c r="T459" s="29"/>
      <c r="Y459" s="29"/>
    </row>
    <row r="460">
      <c r="A460" s="29"/>
      <c r="H460" s="17"/>
      <c r="O460" s="16"/>
      <c r="P460" s="29"/>
      <c r="R460" s="21"/>
      <c r="T460" s="29"/>
      <c r="Y460" s="29"/>
    </row>
    <row r="461">
      <c r="A461" s="29"/>
      <c r="H461" s="17"/>
      <c r="O461" s="16"/>
      <c r="P461" s="29"/>
      <c r="R461" s="21"/>
      <c r="T461" s="29"/>
      <c r="Y461" s="29"/>
    </row>
    <row r="462">
      <c r="A462" s="29"/>
      <c r="H462" s="17"/>
      <c r="O462" s="16"/>
      <c r="P462" s="29"/>
      <c r="R462" s="21"/>
      <c r="T462" s="29"/>
      <c r="Y462" s="29"/>
    </row>
    <row r="463">
      <c r="A463" s="29"/>
      <c r="H463" s="17"/>
      <c r="O463" s="16"/>
      <c r="P463" s="29"/>
      <c r="R463" s="21"/>
      <c r="T463" s="29"/>
      <c r="Y463" s="29"/>
    </row>
    <row r="464">
      <c r="A464" s="29"/>
      <c r="H464" s="17"/>
      <c r="O464" s="16"/>
      <c r="P464" s="29"/>
      <c r="R464" s="21"/>
      <c r="T464" s="29"/>
      <c r="Y464" s="29"/>
    </row>
    <row r="465">
      <c r="A465" s="29"/>
      <c r="H465" s="17"/>
      <c r="O465" s="16"/>
      <c r="P465" s="29"/>
      <c r="R465" s="21"/>
      <c r="T465" s="29"/>
      <c r="Y465" s="29"/>
    </row>
    <row r="466">
      <c r="A466" s="29"/>
      <c r="H466" s="17"/>
      <c r="O466" s="16"/>
      <c r="P466" s="29"/>
      <c r="R466" s="21"/>
      <c r="T466" s="29"/>
      <c r="Y466" s="29"/>
    </row>
    <row r="467">
      <c r="A467" s="29"/>
      <c r="H467" s="17"/>
      <c r="O467" s="16"/>
      <c r="P467" s="29"/>
      <c r="R467" s="21"/>
      <c r="T467" s="29"/>
      <c r="Y467" s="29"/>
    </row>
    <row r="468">
      <c r="A468" s="29"/>
      <c r="H468" s="17"/>
      <c r="O468" s="16"/>
      <c r="P468" s="29"/>
      <c r="R468" s="21"/>
      <c r="T468" s="29"/>
      <c r="Y468" s="29"/>
    </row>
    <row r="469">
      <c r="A469" s="29"/>
      <c r="H469" s="17"/>
      <c r="O469" s="16"/>
      <c r="P469" s="29"/>
      <c r="R469" s="21"/>
      <c r="T469" s="29"/>
      <c r="Y469" s="29"/>
    </row>
    <row r="470">
      <c r="A470" s="29"/>
      <c r="H470" s="17"/>
      <c r="O470" s="16"/>
      <c r="P470" s="29"/>
      <c r="R470" s="21"/>
      <c r="T470" s="29"/>
      <c r="Y470" s="29"/>
    </row>
    <row r="471">
      <c r="A471" s="29"/>
      <c r="H471" s="17"/>
      <c r="O471" s="16"/>
      <c r="P471" s="29"/>
      <c r="R471" s="21"/>
      <c r="T471" s="29"/>
      <c r="Y471" s="29"/>
    </row>
    <row r="472">
      <c r="A472" s="29"/>
      <c r="H472" s="17"/>
      <c r="O472" s="16"/>
      <c r="P472" s="29"/>
      <c r="R472" s="16"/>
      <c r="T472" s="29"/>
      <c r="Y472" s="29"/>
    </row>
    <row r="473">
      <c r="A473" s="29"/>
      <c r="H473" s="17"/>
      <c r="O473" s="16"/>
      <c r="P473" s="29"/>
      <c r="R473" s="16"/>
      <c r="T473" s="29"/>
      <c r="Y473" s="29"/>
    </row>
    <row r="474">
      <c r="A474" s="29"/>
      <c r="H474" s="17"/>
      <c r="O474" s="16"/>
      <c r="P474" s="29"/>
      <c r="R474" s="16"/>
      <c r="T474" s="29"/>
      <c r="Y474" s="29"/>
    </row>
    <row r="475">
      <c r="A475" s="29"/>
      <c r="H475" s="17"/>
      <c r="O475" s="16"/>
      <c r="P475" s="29"/>
      <c r="R475" s="16"/>
      <c r="T475" s="29"/>
      <c r="Y475" s="29"/>
    </row>
    <row r="476">
      <c r="A476" s="29"/>
      <c r="H476" s="17"/>
      <c r="O476" s="16"/>
      <c r="P476" s="29"/>
      <c r="R476" s="16"/>
      <c r="T476" s="29"/>
      <c r="Y476" s="29"/>
    </row>
    <row r="477">
      <c r="A477" s="29"/>
      <c r="H477" s="17"/>
      <c r="O477" s="16"/>
      <c r="P477" s="29"/>
      <c r="R477" s="16"/>
      <c r="T477" s="29"/>
      <c r="Y477" s="29"/>
    </row>
    <row r="478">
      <c r="A478" s="29"/>
      <c r="H478" s="17"/>
      <c r="O478" s="16"/>
      <c r="P478" s="29"/>
      <c r="R478" s="16"/>
      <c r="T478" s="29"/>
      <c r="Y478" s="29"/>
    </row>
    <row r="479">
      <c r="A479" s="29"/>
      <c r="H479" s="17"/>
      <c r="O479" s="16"/>
      <c r="P479" s="29"/>
      <c r="R479" s="16"/>
      <c r="T479" s="29"/>
      <c r="Y479" s="29"/>
    </row>
    <row r="480">
      <c r="A480" s="29"/>
      <c r="H480" s="17"/>
      <c r="O480" s="16"/>
      <c r="P480" s="29"/>
      <c r="R480" s="16"/>
      <c r="T480" s="29"/>
      <c r="Y480" s="29"/>
    </row>
    <row r="481">
      <c r="A481" s="29"/>
      <c r="H481" s="17"/>
      <c r="O481" s="16"/>
      <c r="P481" s="29"/>
      <c r="R481" s="16"/>
      <c r="T481" s="29"/>
      <c r="Y481" s="29"/>
    </row>
    <row r="482">
      <c r="A482" s="29"/>
      <c r="H482" s="17"/>
      <c r="O482" s="16"/>
      <c r="P482" s="29"/>
      <c r="R482" s="16"/>
      <c r="T482" s="29"/>
      <c r="Y482" s="29"/>
    </row>
    <row r="483">
      <c r="A483" s="29"/>
      <c r="H483" s="17"/>
      <c r="O483" s="16"/>
      <c r="P483" s="29"/>
      <c r="R483" s="16"/>
      <c r="T483" s="29"/>
      <c r="Y483" s="29"/>
    </row>
    <row r="484">
      <c r="A484" s="29"/>
      <c r="H484" s="17"/>
      <c r="O484" s="16"/>
      <c r="P484" s="29"/>
      <c r="R484" s="16"/>
      <c r="T484" s="29"/>
      <c r="Y484" s="29"/>
    </row>
    <row r="485">
      <c r="A485" s="29"/>
      <c r="H485" s="17"/>
      <c r="O485" s="16"/>
      <c r="P485" s="29"/>
      <c r="R485" s="16"/>
      <c r="T485" s="29"/>
      <c r="Y485" s="29"/>
    </row>
    <row r="486">
      <c r="A486" s="29"/>
      <c r="H486" s="17"/>
      <c r="O486" s="16"/>
      <c r="P486" s="29"/>
      <c r="R486" s="16"/>
      <c r="T486" s="29"/>
      <c r="Y486" s="29"/>
    </row>
    <row r="487">
      <c r="A487" s="29"/>
      <c r="H487" s="17"/>
      <c r="O487" s="16"/>
      <c r="P487" s="29"/>
      <c r="R487" s="16"/>
      <c r="T487" s="29"/>
      <c r="Y487" s="29"/>
    </row>
    <row r="488">
      <c r="A488" s="29"/>
      <c r="H488" s="17"/>
      <c r="O488" s="16"/>
      <c r="P488" s="29"/>
      <c r="R488" s="16"/>
      <c r="T488" s="29"/>
      <c r="Y488" s="29"/>
    </row>
    <row r="489">
      <c r="A489" s="29"/>
      <c r="H489" s="17"/>
      <c r="O489" s="16"/>
      <c r="P489" s="29"/>
      <c r="R489" s="16"/>
      <c r="T489" s="29"/>
      <c r="Y489" s="29"/>
    </row>
    <row r="490">
      <c r="A490" s="29"/>
      <c r="H490" s="17"/>
      <c r="O490" s="16"/>
      <c r="P490" s="29"/>
      <c r="R490" s="16"/>
      <c r="T490" s="29"/>
      <c r="Y490" s="29"/>
    </row>
    <row r="491">
      <c r="A491" s="29"/>
      <c r="H491" s="17"/>
      <c r="O491" s="16"/>
      <c r="P491" s="29"/>
      <c r="R491" s="16"/>
      <c r="T491" s="29"/>
      <c r="Y491" s="29"/>
    </row>
    <row r="492">
      <c r="A492" s="29"/>
      <c r="H492" s="17"/>
      <c r="O492" s="16"/>
      <c r="P492" s="29"/>
      <c r="R492" s="16"/>
      <c r="T492" s="29"/>
      <c r="Y492" s="29"/>
    </row>
    <row r="493">
      <c r="A493" s="29"/>
      <c r="H493" s="17"/>
      <c r="O493" s="16"/>
      <c r="P493" s="29"/>
      <c r="R493" s="16"/>
      <c r="T493" s="29"/>
      <c r="Y493" s="29"/>
    </row>
    <row r="494">
      <c r="A494" s="29"/>
      <c r="H494" s="17"/>
      <c r="O494" s="16"/>
      <c r="P494" s="29"/>
      <c r="R494" s="16"/>
      <c r="T494" s="29"/>
      <c r="Y494" s="29"/>
    </row>
    <row r="495">
      <c r="A495" s="29"/>
      <c r="H495" s="17"/>
      <c r="O495" s="16"/>
      <c r="P495" s="29"/>
      <c r="R495" s="16"/>
      <c r="T495" s="29"/>
      <c r="Y495" s="29"/>
    </row>
    <row r="496">
      <c r="A496" s="29"/>
      <c r="H496" s="17"/>
      <c r="O496" s="16"/>
      <c r="P496" s="29"/>
      <c r="R496" s="16"/>
      <c r="T496" s="29"/>
      <c r="Y496" s="29"/>
    </row>
    <row r="497">
      <c r="A497" s="29"/>
      <c r="H497" s="17"/>
      <c r="O497" s="16"/>
      <c r="P497" s="29"/>
      <c r="R497" s="16"/>
      <c r="T497" s="29"/>
      <c r="Y497" s="29"/>
    </row>
    <row r="498">
      <c r="A498" s="29"/>
      <c r="H498" s="17"/>
      <c r="O498" s="16"/>
      <c r="P498" s="29"/>
      <c r="R498" s="16"/>
      <c r="T498" s="29"/>
      <c r="Y498" s="29"/>
    </row>
    <row r="499">
      <c r="A499" s="29"/>
      <c r="H499" s="17"/>
      <c r="O499" s="16"/>
      <c r="P499" s="29"/>
      <c r="R499" s="16"/>
      <c r="T499" s="29"/>
      <c r="Y499" s="29"/>
    </row>
    <row r="500">
      <c r="A500" s="29"/>
      <c r="H500" s="17"/>
      <c r="O500" s="16"/>
      <c r="P500" s="29"/>
      <c r="R500" s="16"/>
      <c r="T500" s="29"/>
      <c r="Y500" s="29"/>
    </row>
    <row r="501">
      <c r="A501" s="29"/>
      <c r="H501" s="17"/>
      <c r="O501" s="16"/>
      <c r="P501" s="29"/>
      <c r="R501" s="16"/>
      <c r="T501" s="29"/>
      <c r="Y501" s="29"/>
    </row>
    <row r="502">
      <c r="A502" s="29"/>
      <c r="H502" s="17"/>
      <c r="O502" s="16"/>
      <c r="P502" s="29"/>
      <c r="R502" s="16"/>
      <c r="T502" s="29"/>
      <c r="Y502" s="29"/>
    </row>
    <row r="503">
      <c r="A503" s="29"/>
      <c r="H503" s="17"/>
      <c r="O503" s="16"/>
      <c r="P503" s="29"/>
      <c r="R503" s="16"/>
      <c r="T503" s="29"/>
      <c r="Y503" s="29"/>
    </row>
    <row r="504">
      <c r="A504" s="29"/>
      <c r="H504" s="17"/>
      <c r="O504" s="16"/>
      <c r="P504" s="29"/>
      <c r="R504" s="16"/>
      <c r="T504" s="29"/>
      <c r="Y504" s="29"/>
    </row>
    <row r="505">
      <c r="A505" s="29"/>
      <c r="H505" s="17"/>
      <c r="O505" s="16"/>
      <c r="P505" s="29"/>
      <c r="R505" s="16"/>
      <c r="T505" s="29"/>
      <c r="Y505" s="29"/>
    </row>
    <row r="506">
      <c r="A506" s="29"/>
      <c r="H506" s="17"/>
      <c r="O506" s="16"/>
      <c r="P506" s="29"/>
      <c r="R506" s="16"/>
      <c r="T506" s="29"/>
      <c r="Y506" s="29"/>
    </row>
    <row r="507">
      <c r="A507" s="29"/>
      <c r="H507" s="17"/>
      <c r="O507" s="16"/>
      <c r="P507" s="29"/>
      <c r="R507" s="16"/>
      <c r="T507" s="29"/>
      <c r="Y507" s="29"/>
    </row>
    <row r="508">
      <c r="A508" s="29"/>
      <c r="H508" s="17"/>
      <c r="O508" s="16"/>
      <c r="P508" s="29"/>
      <c r="R508" s="16"/>
      <c r="T508" s="29"/>
      <c r="Y508" s="29"/>
    </row>
    <row r="509">
      <c r="A509" s="29"/>
      <c r="H509" s="17"/>
      <c r="O509" s="16"/>
      <c r="P509" s="29"/>
      <c r="R509" s="16"/>
      <c r="T509" s="29"/>
      <c r="Y509" s="29"/>
    </row>
    <row r="510">
      <c r="A510" s="29"/>
      <c r="H510" s="17"/>
      <c r="O510" s="16"/>
      <c r="P510" s="29"/>
      <c r="R510" s="16"/>
      <c r="T510" s="29"/>
      <c r="Y510" s="29"/>
    </row>
    <row r="511">
      <c r="A511" s="29"/>
      <c r="H511" s="17"/>
      <c r="O511" s="16"/>
      <c r="P511" s="29"/>
      <c r="R511" s="16"/>
      <c r="T511" s="29"/>
      <c r="Y511" s="29"/>
    </row>
    <row r="512">
      <c r="A512" s="29"/>
      <c r="H512" s="17"/>
      <c r="O512" s="16"/>
      <c r="P512" s="29"/>
      <c r="R512" s="16"/>
      <c r="T512" s="29"/>
      <c r="Y512" s="29"/>
    </row>
    <row r="513">
      <c r="A513" s="29"/>
      <c r="H513" s="17"/>
      <c r="O513" s="16"/>
      <c r="P513" s="29"/>
      <c r="R513" s="16"/>
      <c r="T513" s="29"/>
      <c r="Y513" s="29"/>
    </row>
    <row r="514">
      <c r="A514" s="29"/>
      <c r="H514" s="17"/>
      <c r="O514" s="16"/>
      <c r="P514" s="29"/>
      <c r="R514" s="16"/>
      <c r="T514" s="29"/>
      <c r="Y514" s="29"/>
    </row>
    <row r="515">
      <c r="A515" s="29"/>
      <c r="H515" s="17"/>
      <c r="O515" s="16"/>
      <c r="P515" s="29"/>
      <c r="R515" s="16"/>
      <c r="T515" s="29"/>
      <c r="Y515" s="29"/>
    </row>
    <row r="516">
      <c r="A516" s="29"/>
      <c r="H516" s="17"/>
      <c r="O516" s="16"/>
      <c r="P516" s="29"/>
      <c r="R516" s="16"/>
      <c r="T516" s="29"/>
      <c r="Y516" s="29"/>
    </row>
    <row r="517">
      <c r="A517" s="29"/>
      <c r="H517" s="17"/>
      <c r="O517" s="16"/>
      <c r="P517" s="29"/>
      <c r="R517" s="16"/>
      <c r="T517" s="29"/>
      <c r="Y517" s="29"/>
    </row>
    <row r="518">
      <c r="A518" s="29"/>
      <c r="H518" s="17"/>
      <c r="O518" s="16"/>
      <c r="P518" s="29"/>
      <c r="R518" s="16"/>
      <c r="T518" s="29"/>
      <c r="Y518" s="29"/>
    </row>
    <row r="519">
      <c r="A519" s="29"/>
      <c r="H519" s="17"/>
      <c r="O519" s="16"/>
      <c r="P519" s="29"/>
      <c r="R519" s="16"/>
      <c r="T519" s="29"/>
      <c r="Y519" s="29"/>
    </row>
    <row r="520">
      <c r="A520" s="29"/>
      <c r="H520" s="17"/>
      <c r="O520" s="16"/>
      <c r="P520" s="29"/>
      <c r="R520" s="16"/>
      <c r="T520" s="29"/>
      <c r="Y520" s="29"/>
    </row>
    <row r="521">
      <c r="A521" s="29"/>
      <c r="H521" s="17"/>
      <c r="O521" s="16"/>
      <c r="P521" s="29"/>
      <c r="R521" s="16"/>
      <c r="T521" s="29"/>
      <c r="Y521" s="29"/>
    </row>
    <row r="522">
      <c r="A522" s="29"/>
      <c r="H522" s="17"/>
      <c r="O522" s="16"/>
      <c r="P522" s="29"/>
      <c r="R522" s="16"/>
      <c r="T522" s="29"/>
      <c r="Y522" s="29"/>
    </row>
    <row r="523">
      <c r="A523" s="29"/>
      <c r="H523" s="17"/>
      <c r="O523" s="16"/>
      <c r="P523" s="29"/>
      <c r="R523" s="16"/>
      <c r="T523" s="29"/>
      <c r="Y523" s="29"/>
    </row>
    <row r="524">
      <c r="A524" s="29"/>
      <c r="H524" s="17"/>
      <c r="O524" s="16"/>
      <c r="P524" s="29"/>
      <c r="R524" s="16"/>
      <c r="T524" s="29"/>
      <c r="Y524" s="29"/>
    </row>
    <row r="525">
      <c r="A525" s="29"/>
      <c r="H525" s="17"/>
      <c r="O525" s="16"/>
      <c r="P525" s="29"/>
      <c r="R525" s="16"/>
      <c r="T525" s="29"/>
      <c r="Y525" s="29"/>
    </row>
    <row r="526">
      <c r="A526" s="29"/>
      <c r="H526" s="17"/>
      <c r="O526" s="16"/>
      <c r="P526" s="29"/>
      <c r="R526" s="16"/>
      <c r="T526" s="29"/>
      <c r="Y526" s="29"/>
    </row>
    <row r="527">
      <c r="A527" s="29"/>
      <c r="H527" s="17"/>
      <c r="O527" s="16"/>
      <c r="P527" s="29"/>
      <c r="R527" s="16"/>
      <c r="T527" s="29"/>
      <c r="Y527" s="29"/>
    </row>
    <row r="528">
      <c r="A528" s="29"/>
      <c r="H528" s="17"/>
      <c r="O528" s="16"/>
      <c r="P528" s="29"/>
      <c r="R528" s="16"/>
      <c r="T528" s="29"/>
      <c r="Y528" s="29"/>
    </row>
    <row r="529">
      <c r="A529" s="29"/>
      <c r="H529" s="17"/>
      <c r="O529" s="16"/>
      <c r="P529" s="29"/>
      <c r="R529" s="16"/>
      <c r="T529" s="29"/>
      <c r="Y529" s="29"/>
    </row>
    <row r="530">
      <c r="A530" s="29"/>
      <c r="H530" s="17"/>
      <c r="O530" s="16"/>
      <c r="P530" s="29"/>
      <c r="R530" s="16"/>
      <c r="T530" s="29"/>
      <c r="Y530" s="29"/>
    </row>
    <row r="531">
      <c r="A531" s="29"/>
      <c r="H531" s="17"/>
      <c r="O531" s="16"/>
      <c r="P531" s="29"/>
      <c r="R531" s="16"/>
      <c r="T531" s="29"/>
      <c r="Y531" s="29"/>
    </row>
    <row r="532">
      <c r="A532" s="29"/>
      <c r="H532" s="17"/>
      <c r="O532" s="16"/>
      <c r="P532" s="29"/>
      <c r="R532" s="16"/>
      <c r="T532" s="29"/>
      <c r="Y532" s="29"/>
    </row>
    <row r="533">
      <c r="A533" s="29"/>
      <c r="H533" s="17"/>
      <c r="O533" s="16"/>
      <c r="P533" s="29"/>
      <c r="R533" s="16"/>
      <c r="T533" s="29"/>
      <c r="Y533" s="29"/>
    </row>
    <row r="534">
      <c r="A534" s="29"/>
      <c r="H534" s="17"/>
      <c r="O534" s="16"/>
      <c r="P534" s="29"/>
      <c r="R534" s="16"/>
      <c r="T534" s="29"/>
      <c r="Y534" s="29"/>
    </row>
    <row r="535">
      <c r="A535" s="29"/>
      <c r="H535" s="17"/>
      <c r="O535" s="16"/>
      <c r="P535" s="29"/>
      <c r="R535" s="16"/>
      <c r="T535" s="29"/>
      <c r="Y535" s="29"/>
    </row>
    <row r="536">
      <c r="A536" s="29"/>
      <c r="H536" s="17"/>
      <c r="O536" s="16"/>
      <c r="P536" s="29"/>
      <c r="R536" s="16"/>
      <c r="T536" s="29"/>
      <c r="Y536" s="29"/>
    </row>
    <row r="537">
      <c r="A537" s="29"/>
      <c r="H537" s="17"/>
      <c r="O537" s="16"/>
      <c r="P537" s="29"/>
      <c r="R537" s="16"/>
      <c r="T537" s="29"/>
      <c r="Y537" s="29"/>
    </row>
    <row r="538">
      <c r="A538" s="29"/>
      <c r="H538" s="17"/>
      <c r="O538" s="16"/>
      <c r="P538" s="29"/>
      <c r="R538" s="16"/>
      <c r="T538" s="29"/>
      <c r="Y538" s="29"/>
    </row>
    <row r="539">
      <c r="A539" s="29"/>
      <c r="H539" s="17"/>
      <c r="O539" s="16"/>
      <c r="P539" s="29"/>
      <c r="R539" s="16"/>
      <c r="T539" s="29"/>
      <c r="Y539" s="29"/>
    </row>
    <row r="540">
      <c r="A540" s="29"/>
      <c r="H540" s="17"/>
      <c r="O540" s="16"/>
      <c r="P540" s="29"/>
      <c r="R540" s="16"/>
      <c r="T540" s="29"/>
      <c r="Y540" s="29"/>
    </row>
    <row r="541">
      <c r="A541" s="29"/>
      <c r="H541" s="17"/>
      <c r="O541" s="16"/>
      <c r="P541" s="29"/>
      <c r="R541" s="16"/>
      <c r="T541" s="29"/>
      <c r="Y541" s="29"/>
    </row>
    <row r="542">
      <c r="A542" s="29"/>
      <c r="H542" s="17"/>
      <c r="O542" s="16"/>
      <c r="P542" s="29"/>
      <c r="R542" s="16"/>
      <c r="T542" s="29"/>
      <c r="Y542" s="29"/>
    </row>
    <row r="543">
      <c r="A543" s="29"/>
      <c r="H543" s="17"/>
      <c r="O543" s="16"/>
      <c r="P543" s="29"/>
      <c r="R543" s="16"/>
      <c r="T543" s="29"/>
      <c r="Y543" s="29"/>
    </row>
    <row r="544">
      <c r="A544" s="29"/>
      <c r="H544" s="17"/>
      <c r="O544" s="16"/>
      <c r="P544" s="29"/>
      <c r="R544" s="16"/>
      <c r="T544" s="29"/>
      <c r="Y544" s="29"/>
    </row>
    <row r="545">
      <c r="A545" s="29"/>
      <c r="H545" s="17"/>
      <c r="O545" s="16"/>
      <c r="P545" s="29"/>
      <c r="R545" s="16"/>
      <c r="T545" s="29"/>
      <c r="Y545" s="29"/>
    </row>
    <row r="546">
      <c r="A546" s="29"/>
      <c r="H546" s="17"/>
      <c r="O546" s="16"/>
      <c r="P546" s="29"/>
      <c r="R546" s="16"/>
      <c r="T546" s="29"/>
      <c r="Y546" s="29"/>
    </row>
    <row r="547">
      <c r="A547" s="29"/>
      <c r="H547" s="17"/>
      <c r="O547" s="16"/>
      <c r="P547" s="29"/>
      <c r="R547" s="16"/>
      <c r="T547" s="29"/>
      <c r="Y547" s="29"/>
    </row>
    <row r="548">
      <c r="A548" s="29"/>
      <c r="H548" s="17"/>
      <c r="O548" s="16"/>
      <c r="P548" s="29"/>
      <c r="R548" s="16"/>
      <c r="T548" s="29"/>
      <c r="Y548" s="29"/>
    </row>
    <row r="549">
      <c r="A549" s="29"/>
      <c r="H549" s="17"/>
      <c r="O549" s="16"/>
      <c r="P549" s="29"/>
      <c r="R549" s="16"/>
      <c r="T549" s="29"/>
      <c r="Y549" s="29"/>
    </row>
    <row r="550">
      <c r="A550" s="29"/>
      <c r="H550" s="17"/>
      <c r="O550" s="16"/>
      <c r="P550" s="29"/>
      <c r="R550" s="16"/>
      <c r="T550" s="29"/>
      <c r="Y550" s="29"/>
    </row>
    <row r="551">
      <c r="A551" s="29"/>
      <c r="H551" s="17"/>
      <c r="O551" s="16"/>
      <c r="P551" s="29"/>
      <c r="R551" s="16"/>
      <c r="T551" s="29"/>
      <c r="Y551" s="29"/>
    </row>
    <row r="552">
      <c r="A552" s="29"/>
      <c r="H552" s="17"/>
      <c r="O552" s="16"/>
      <c r="P552" s="29"/>
      <c r="R552" s="16"/>
      <c r="T552" s="29"/>
      <c r="Y552" s="29"/>
    </row>
    <row r="553">
      <c r="A553" s="29"/>
      <c r="H553" s="17"/>
      <c r="O553" s="16"/>
      <c r="P553" s="29"/>
      <c r="R553" s="16"/>
      <c r="T553" s="29"/>
      <c r="Y553" s="29"/>
    </row>
    <row r="554">
      <c r="A554" s="29"/>
      <c r="H554" s="17"/>
      <c r="O554" s="16"/>
      <c r="P554" s="29"/>
      <c r="R554" s="16"/>
      <c r="T554" s="29"/>
      <c r="Y554" s="29"/>
    </row>
    <row r="555">
      <c r="A555" s="29"/>
      <c r="H555" s="17"/>
      <c r="O555" s="16"/>
      <c r="P555" s="29"/>
      <c r="R555" s="16"/>
      <c r="T555" s="29"/>
      <c r="Y555" s="29"/>
    </row>
    <row r="556">
      <c r="A556" s="29"/>
      <c r="H556" s="17"/>
      <c r="O556" s="16"/>
      <c r="P556" s="29"/>
      <c r="R556" s="16"/>
      <c r="T556" s="29"/>
      <c r="Y556" s="29"/>
    </row>
    <row r="557">
      <c r="A557" s="29"/>
      <c r="H557" s="17"/>
      <c r="O557" s="16"/>
      <c r="P557" s="29"/>
      <c r="R557" s="16"/>
      <c r="T557" s="29"/>
      <c r="Y557" s="29"/>
    </row>
    <row r="558">
      <c r="A558" s="29"/>
      <c r="H558" s="17"/>
      <c r="O558" s="16"/>
      <c r="P558" s="29"/>
      <c r="R558" s="16"/>
      <c r="T558" s="29"/>
      <c r="Y558" s="29"/>
    </row>
    <row r="559">
      <c r="A559" s="29"/>
      <c r="H559" s="17"/>
      <c r="O559" s="16"/>
      <c r="P559" s="29"/>
      <c r="R559" s="16"/>
      <c r="T559" s="29"/>
      <c r="Y559" s="29"/>
    </row>
    <row r="560">
      <c r="A560" s="29"/>
      <c r="H560" s="17"/>
      <c r="O560" s="16"/>
      <c r="P560" s="29"/>
      <c r="R560" s="16"/>
      <c r="T560" s="29"/>
      <c r="Y560" s="29"/>
    </row>
    <row r="561">
      <c r="A561" s="29"/>
      <c r="H561" s="17"/>
      <c r="O561" s="16"/>
      <c r="P561" s="29"/>
      <c r="R561" s="16"/>
      <c r="T561" s="29"/>
      <c r="Y561" s="29"/>
    </row>
    <row r="562">
      <c r="A562" s="29"/>
      <c r="H562" s="17"/>
      <c r="O562" s="16"/>
      <c r="P562" s="29"/>
      <c r="R562" s="16"/>
      <c r="T562" s="29"/>
      <c r="Y562" s="29"/>
    </row>
    <row r="563">
      <c r="A563" s="29"/>
      <c r="H563" s="17"/>
      <c r="O563" s="16"/>
      <c r="P563" s="29"/>
      <c r="R563" s="16"/>
      <c r="T563" s="29"/>
      <c r="Y563" s="29"/>
    </row>
    <row r="564">
      <c r="A564" s="29"/>
      <c r="H564" s="17"/>
      <c r="O564" s="16"/>
      <c r="P564" s="29"/>
      <c r="R564" s="16"/>
      <c r="T564" s="29"/>
      <c r="Y564" s="29"/>
    </row>
    <row r="565">
      <c r="A565" s="29"/>
      <c r="H565" s="17"/>
      <c r="O565" s="16"/>
      <c r="P565" s="29"/>
      <c r="R565" s="16"/>
      <c r="T565" s="29"/>
      <c r="Y565" s="29"/>
    </row>
    <row r="566">
      <c r="A566" s="29"/>
      <c r="H566" s="17"/>
      <c r="O566" s="16"/>
      <c r="P566" s="29"/>
      <c r="R566" s="16"/>
      <c r="T566" s="29"/>
      <c r="Y566" s="29"/>
    </row>
    <row r="567">
      <c r="A567" s="29"/>
      <c r="H567" s="17"/>
      <c r="O567" s="16"/>
      <c r="P567" s="29"/>
      <c r="R567" s="16"/>
      <c r="T567" s="29"/>
      <c r="Y567" s="29"/>
    </row>
    <row r="568">
      <c r="A568" s="29"/>
      <c r="H568" s="17"/>
      <c r="O568" s="16"/>
      <c r="P568" s="29"/>
      <c r="R568" s="16"/>
      <c r="T568" s="29"/>
      <c r="Y568" s="29"/>
    </row>
    <row r="569">
      <c r="A569" s="29"/>
      <c r="H569" s="17"/>
      <c r="O569" s="16"/>
      <c r="P569" s="29"/>
      <c r="R569" s="16"/>
      <c r="T569" s="29"/>
      <c r="Y569" s="29"/>
    </row>
    <row r="570">
      <c r="A570" s="29"/>
      <c r="H570" s="17"/>
      <c r="O570" s="16"/>
      <c r="P570" s="29"/>
      <c r="R570" s="16"/>
      <c r="T570" s="29"/>
      <c r="Y570" s="29"/>
    </row>
    <row r="571">
      <c r="A571" s="29"/>
      <c r="H571" s="17"/>
      <c r="O571" s="16"/>
      <c r="P571" s="29"/>
      <c r="R571" s="16"/>
      <c r="T571" s="29"/>
      <c r="Y571" s="29"/>
    </row>
    <row r="572">
      <c r="A572" s="29"/>
      <c r="H572" s="17"/>
      <c r="O572" s="16"/>
      <c r="P572" s="29"/>
      <c r="R572" s="16"/>
      <c r="T572" s="29"/>
      <c r="Y572" s="29"/>
    </row>
    <row r="573">
      <c r="A573" s="29"/>
      <c r="H573" s="17"/>
      <c r="O573" s="16"/>
      <c r="P573" s="29"/>
      <c r="R573" s="16"/>
      <c r="T573" s="29"/>
      <c r="Y573" s="29"/>
    </row>
    <row r="574">
      <c r="A574" s="29"/>
      <c r="H574" s="17"/>
      <c r="O574" s="16"/>
      <c r="P574" s="29"/>
      <c r="R574" s="16"/>
      <c r="T574" s="29"/>
      <c r="Y574" s="29"/>
    </row>
    <row r="575">
      <c r="A575" s="29"/>
      <c r="H575" s="17"/>
      <c r="O575" s="16"/>
      <c r="P575" s="29"/>
      <c r="R575" s="16"/>
      <c r="T575" s="29"/>
      <c r="Y575" s="29"/>
    </row>
    <row r="576">
      <c r="A576" s="29"/>
      <c r="H576" s="17"/>
      <c r="O576" s="16"/>
      <c r="P576" s="29"/>
      <c r="R576" s="16"/>
      <c r="T576" s="29"/>
      <c r="Y576" s="29"/>
    </row>
    <row r="577">
      <c r="A577" s="29"/>
      <c r="H577" s="17"/>
      <c r="O577" s="16"/>
      <c r="P577" s="29"/>
      <c r="R577" s="16"/>
      <c r="T577" s="29"/>
      <c r="Y577" s="29"/>
    </row>
    <row r="578">
      <c r="A578" s="29"/>
      <c r="H578" s="17"/>
      <c r="O578" s="16"/>
      <c r="P578" s="29"/>
      <c r="R578" s="16"/>
      <c r="T578" s="29"/>
      <c r="Y578" s="29"/>
    </row>
    <row r="579">
      <c r="A579" s="29"/>
      <c r="H579" s="17"/>
      <c r="O579" s="16"/>
      <c r="P579" s="29"/>
      <c r="R579" s="16"/>
      <c r="T579" s="29"/>
      <c r="Y579" s="29"/>
    </row>
    <row r="580">
      <c r="A580" s="29"/>
      <c r="H580" s="17"/>
      <c r="O580" s="16"/>
      <c r="P580" s="29"/>
      <c r="R580" s="16"/>
      <c r="T580" s="29"/>
      <c r="Y580" s="29"/>
    </row>
    <row r="581">
      <c r="A581" s="29"/>
      <c r="H581" s="17"/>
      <c r="O581" s="16"/>
      <c r="P581" s="29"/>
      <c r="R581" s="16"/>
      <c r="T581" s="29"/>
      <c r="Y581" s="29"/>
    </row>
    <row r="582">
      <c r="A582" s="29"/>
      <c r="H582" s="17"/>
      <c r="O582" s="16"/>
      <c r="P582" s="29"/>
      <c r="R582" s="16"/>
      <c r="T582" s="29"/>
      <c r="Y582" s="29"/>
    </row>
    <row r="583">
      <c r="A583" s="29"/>
      <c r="H583" s="17"/>
      <c r="O583" s="16"/>
      <c r="P583" s="29"/>
      <c r="R583" s="16"/>
      <c r="T583" s="29"/>
      <c r="Y583" s="29"/>
    </row>
    <row r="584">
      <c r="A584" s="29"/>
      <c r="H584" s="17"/>
      <c r="O584" s="16"/>
      <c r="P584" s="29"/>
      <c r="R584" s="16"/>
      <c r="T584" s="29"/>
      <c r="Y584" s="29"/>
    </row>
    <row r="585">
      <c r="A585" s="29"/>
      <c r="H585" s="17"/>
      <c r="O585" s="16"/>
      <c r="P585" s="29"/>
      <c r="R585" s="16"/>
      <c r="T585" s="29"/>
      <c r="Y585" s="29"/>
    </row>
    <row r="586">
      <c r="A586" s="29"/>
      <c r="H586" s="17"/>
      <c r="O586" s="16"/>
      <c r="P586" s="29"/>
      <c r="R586" s="16"/>
      <c r="T586" s="29"/>
      <c r="Y586" s="29"/>
    </row>
    <row r="587">
      <c r="A587" s="29"/>
      <c r="H587" s="17"/>
      <c r="O587" s="16"/>
      <c r="P587" s="29"/>
      <c r="R587" s="16"/>
      <c r="T587" s="29"/>
      <c r="Y587" s="29"/>
    </row>
    <row r="588">
      <c r="A588" s="29"/>
      <c r="H588" s="17"/>
      <c r="O588" s="16"/>
      <c r="P588" s="29"/>
      <c r="R588" s="16"/>
      <c r="T588" s="29"/>
      <c r="Y588" s="29"/>
    </row>
    <row r="589">
      <c r="A589" s="29"/>
      <c r="H589" s="17"/>
      <c r="O589" s="16"/>
      <c r="P589" s="29"/>
      <c r="R589" s="16"/>
      <c r="T589" s="29"/>
      <c r="Y589" s="29"/>
    </row>
    <row r="590">
      <c r="A590" s="29"/>
      <c r="H590" s="17"/>
      <c r="O590" s="16"/>
      <c r="P590" s="29"/>
      <c r="R590" s="16"/>
      <c r="T590" s="29"/>
      <c r="Y590" s="29"/>
    </row>
    <row r="591">
      <c r="A591" s="29"/>
      <c r="H591" s="17"/>
      <c r="O591" s="16"/>
      <c r="P591" s="29"/>
      <c r="R591" s="16"/>
      <c r="T591" s="29"/>
      <c r="Y591" s="29"/>
    </row>
    <row r="592">
      <c r="A592" s="29"/>
      <c r="H592" s="17"/>
      <c r="O592" s="16"/>
      <c r="P592" s="29"/>
      <c r="R592" s="16"/>
      <c r="T592" s="29"/>
      <c r="Y592" s="29"/>
    </row>
    <row r="593">
      <c r="A593" s="29"/>
      <c r="H593" s="17"/>
      <c r="O593" s="16"/>
      <c r="P593" s="29"/>
      <c r="R593" s="16"/>
      <c r="T593" s="29"/>
      <c r="Y593" s="29"/>
    </row>
    <row r="594">
      <c r="A594" s="29"/>
      <c r="H594" s="17"/>
      <c r="O594" s="16"/>
      <c r="P594" s="29"/>
      <c r="R594" s="16"/>
      <c r="T594" s="29"/>
      <c r="Y594" s="29"/>
    </row>
    <row r="595">
      <c r="A595" s="29"/>
      <c r="H595" s="17"/>
      <c r="O595" s="16"/>
      <c r="P595" s="29"/>
      <c r="R595" s="16"/>
      <c r="T595" s="29"/>
      <c r="Y595" s="29"/>
    </row>
    <row r="596">
      <c r="A596" s="29"/>
      <c r="H596" s="17"/>
      <c r="O596" s="16"/>
      <c r="P596" s="29"/>
      <c r="R596" s="16"/>
      <c r="T596" s="29"/>
      <c r="Y596" s="29"/>
    </row>
    <row r="597">
      <c r="A597" s="29"/>
      <c r="H597" s="17"/>
      <c r="O597" s="16"/>
      <c r="P597" s="29"/>
      <c r="R597" s="16"/>
      <c r="T597" s="29"/>
      <c r="Y597" s="29"/>
    </row>
    <row r="598">
      <c r="A598" s="29"/>
      <c r="H598" s="17"/>
      <c r="O598" s="16"/>
      <c r="P598" s="29"/>
      <c r="R598" s="16"/>
      <c r="T598" s="29"/>
      <c r="Y598" s="29"/>
    </row>
    <row r="599">
      <c r="A599" s="29"/>
      <c r="H599" s="17"/>
      <c r="O599" s="16"/>
      <c r="P599" s="29"/>
      <c r="R599" s="16"/>
      <c r="T599" s="29"/>
      <c r="Y599" s="29"/>
    </row>
    <row r="600">
      <c r="A600" s="29"/>
      <c r="H600" s="17"/>
      <c r="O600" s="16"/>
      <c r="P600" s="29"/>
      <c r="R600" s="16"/>
      <c r="T600" s="29"/>
      <c r="Y600" s="29"/>
    </row>
    <row r="601">
      <c r="A601" s="29"/>
      <c r="H601" s="17"/>
      <c r="O601" s="16"/>
      <c r="P601" s="29"/>
      <c r="R601" s="16"/>
      <c r="T601" s="29"/>
      <c r="Y601" s="29"/>
    </row>
    <row r="602">
      <c r="A602" s="29"/>
      <c r="H602" s="17"/>
      <c r="O602" s="16"/>
      <c r="P602" s="29"/>
      <c r="R602" s="16"/>
      <c r="T602" s="29"/>
      <c r="Y602" s="29"/>
    </row>
    <row r="603">
      <c r="A603" s="29"/>
      <c r="H603" s="17"/>
      <c r="O603" s="16"/>
      <c r="P603" s="29"/>
      <c r="R603" s="16"/>
      <c r="T603" s="29"/>
      <c r="Y603" s="29"/>
    </row>
    <row r="604">
      <c r="A604" s="29"/>
      <c r="H604" s="17"/>
      <c r="O604" s="16"/>
      <c r="P604" s="29"/>
      <c r="R604" s="16"/>
      <c r="T604" s="29"/>
      <c r="Y604" s="29"/>
    </row>
    <row r="605">
      <c r="A605" s="29"/>
      <c r="H605" s="17"/>
      <c r="O605" s="16"/>
      <c r="P605" s="29"/>
      <c r="R605" s="16"/>
      <c r="T605" s="29"/>
      <c r="Y605" s="29"/>
    </row>
    <row r="606">
      <c r="A606" s="29"/>
      <c r="H606" s="17"/>
      <c r="O606" s="16"/>
      <c r="P606" s="29"/>
      <c r="R606" s="16"/>
      <c r="T606" s="29"/>
      <c r="Y606" s="29"/>
    </row>
    <row r="607">
      <c r="A607" s="29"/>
      <c r="H607" s="17"/>
      <c r="O607" s="16"/>
      <c r="P607" s="29"/>
      <c r="R607" s="16"/>
      <c r="T607" s="29"/>
      <c r="Y607" s="29"/>
    </row>
    <row r="608">
      <c r="A608" s="29"/>
      <c r="H608" s="17"/>
      <c r="O608" s="16"/>
      <c r="P608" s="29"/>
      <c r="R608" s="16"/>
      <c r="T608" s="29"/>
      <c r="Y608" s="29"/>
    </row>
    <row r="609">
      <c r="A609" s="29"/>
      <c r="H609" s="17"/>
      <c r="O609" s="16"/>
      <c r="P609" s="29"/>
      <c r="R609" s="16"/>
      <c r="T609" s="29"/>
      <c r="Y609" s="29"/>
    </row>
    <row r="610">
      <c r="A610" s="29"/>
      <c r="H610" s="17"/>
      <c r="O610" s="16"/>
      <c r="P610" s="29"/>
      <c r="R610" s="16"/>
      <c r="T610" s="29"/>
      <c r="Y610" s="29"/>
    </row>
    <row r="611">
      <c r="A611" s="29"/>
      <c r="H611" s="17"/>
      <c r="O611" s="16"/>
      <c r="P611" s="29"/>
      <c r="R611" s="16"/>
      <c r="T611" s="29"/>
      <c r="Y611" s="29"/>
    </row>
    <row r="612">
      <c r="A612" s="29"/>
      <c r="H612" s="17"/>
      <c r="O612" s="16"/>
      <c r="P612" s="29"/>
      <c r="R612" s="16"/>
      <c r="T612" s="29"/>
      <c r="Y612" s="29"/>
    </row>
    <row r="613">
      <c r="A613" s="29"/>
      <c r="H613" s="17"/>
      <c r="O613" s="16"/>
      <c r="P613" s="29"/>
      <c r="R613" s="16"/>
      <c r="T613" s="29"/>
      <c r="Y613" s="29"/>
    </row>
    <row r="614">
      <c r="A614" s="29"/>
      <c r="H614" s="17"/>
      <c r="O614" s="16"/>
      <c r="P614" s="29"/>
      <c r="R614" s="16"/>
      <c r="T614" s="29"/>
      <c r="Y614" s="29"/>
    </row>
    <row r="615">
      <c r="A615" s="29"/>
      <c r="H615" s="17"/>
      <c r="O615" s="16"/>
      <c r="P615" s="29"/>
      <c r="R615" s="16"/>
      <c r="T615" s="29"/>
      <c r="Y615" s="29"/>
    </row>
    <row r="616">
      <c r="A616" s="29"/>
      <c r="H616" s="17"/>
      <c r="O616" s="16"/>
      <c r="P616" s="29"/>
      <c r="R616" s="16"/>
      <c r="T616" s="29"/>
      <c r="Y616" s="29"/>
    </row>
    <row r="617">
      <c r="A617" s="29"/>
      <c r="H617" s="17"/>
      <c r="O617" s="16"/>
      <c r="P617" s="29"/>
      <c r="R617" s="16"/>
      <c r="T617" s="29"/>
      <c r="Y617" s="29"/>
    </row>
    <row r="618">
      <c r="A618" s="29"/>
      <c r="H618" s="17"/>
      <c r="O618" s="16"/>
      <c r="P618" s="29"/>
      <c r="R618" s="16"/>
      <c r="T618" s="29"/>
      <c r="Y618" s="29"/>
    </row>
    <row r="619">
      <c r="A619" s="29"/>
      <c r="H619" s="17"/>
      <c r="O619" s="16"/>
      <c r="P619" s="29"/>
      <c r="R619" s="16"/>
      <c r="T619" s="29"/>
      <c r="Y619" s="29"/>
    </row>
    <row r="620">
      <c r="A620" s="29"/>
      <c r="H620" s="17"/>
      <c r="O620" s="16"/>
      <c r="P620" s="29"/>
      <c r="R620" s="16"/>
      <c r="T620" s="29"/>
      <c r="Y620" s="29"/>
    </row>
    <row r="621">
      <c r="A621" s="29"/>
      <c r="H621" s="17"/>
      <c r="O621" s="16"/>
      <c r="P621" s="29"/>
      <c r="R621" s="16"/>
      <c r="T621" s="29"/>
      <c r="Y621" s="29"/>
    </row>
    <row r="622">
      <c r="A622" s="29"/>
      <c r="H622" s="17"/>
      <c r="O622" s="16"/>
      <c r="P622" s="29"/>
      <c r="R622" s="16"/>
      <c r="T622" s="29"/>
      <c r="Y622" s="29"/>
    </row>
    <row r="623">
      <c r="A623" s="29"/>
      <c r="H623" s="17"/>
      <c r="O623" s="16"/>
      <c r="P623" s="29"/>
      <c r="R623" s="16"/>
      <c r="T623" s="29"/>
      <c r="Y623" s="29"/>
    </row>
    <row r="624">
      <c r="A624" s="29"/>
      <c r="H624" s="17"/>
      <c r="O624" s="16"/>
      <c r="P624" s="29"/>
      <c r="R624" s="16"/>
      <c r="T624" s="29"/>
      <c r="Y624" s="29"/>
    </row>
    <row r="625">
      <c r="A625" s="29"/>
      <c r="H625" s="17"/>
      <c r="O625" s="16"/>
      <c r="P625" s="29"/>
      <c r="R625" s="16"/>
      <c r="T625" s="29"/>
      <c r="Y625" s="29"/>
    </row>
    <row r="626">
      <c r="A626" s="29"/>
      <c r="H626" s="17"/>
      <c r="O626" s="16"/>
      <c r="P626" s="29"/>
      <c r="R626" s="16"/>
      <c r="T626" s="29"/>
      <c r="Y626" s="29"/>
    </row>
    <row r="627">
      <c r="A627" s="29"/>
      <c r="H627" s="17"/>
      <c r="O627" s="16"/>
      <c r="P627" s="29"/>
      <c r="R627" s="16"/>
      <c r="T627" s="29"/>
      <c r="Y627" s="29"/>
    </row>
    <row r="628">
      <c r="A628" s="29"/>
      <c r="H628" s="17"/>
      <c r="O628" s="16"/>
      <c r="P628" s="29"/>
      <c r="R628" s="16"/>
      <c r="T628" s="29"/>
      <c r="Y628" s="29"/>
    </row>
    <row r="629">
      <c r="A629" s="29"/>
      <c r="H629" s="17"/>
      <c r="O629" s="16"/>
      <c r="P629" s="29"/>
      <c r="R629" s="16"/>
      <c r="T629" s="29"/>
      <c r="Y629" s="29"/>
    </row>
    <row r="630">
      <c r="A630" s="29"/>
      <c r="H630" s="17"/>
      <c r="O630" s="16"/>
      <c r="P630" s="29"/>
      <c r="R630" s="16"/>
      <c r="T630" s="29"/>
      <c r="Y630" s="29"/>
    </row>
    <row r="631">
      <c r="A631" s="29"/>
      <c r="H631" s="17"/>
      <c r="O631" s="16"/>
      <c r="P631" s="29"/>
      <c r="R631" s="16"/>
      <c r="T631" s="29"/>
      <c r="Y631" s="29"/>
    </row>
    <row r="632">
      <c r="A632" s="29"/>
      <c r="H632" s="17"/>
      <c r="O632" s="16"/>
      <c r="P632" s="29"/>
      <c r="R632" s="16"/>
      <c r="T632" s="29"/>
      <c r="Y632" s="29"/>
    </row>
    <row r="633">
      <c r="A633" s="29"/>
      <c r="H633" s="17"/>
      <c r="O633" s="16"/>
      <c r="P633" s="29"/>
      <c r="R633" s="16"/>
      <c r="T633" s="29"/>
      <c r="Y633" s="29"/>
    </row>
    <row r="634">
      <c r="A634" s="29"/>
      <c r="H634" s="17"/>
      <c r="O634" s="16"/>
      <c r="P634" s="29"/>
      <c r="R634" s="16"/>
      <c r="T634" s="29"/>
      <c r="Y634" s="29"/>
    </row>
    <row r="635">
      <c r="A635" s="29"/>
      <c r="H635" s="17"/>
      <c r="O635" s="16"/>
      <c r="P635" s="29"/>
      <c r="R635" s="16"/>
      <c r="T635" s="29"/>
      <c r="Y635" s="29"/>
    </row>
    <row r="636">
      <c r="A636" s="29"/>
      <c r="H636" s="17"/>
      <c r="O636" s="16"/>
      <c r="P636" s="29"/>
      <c r="R636" s="16"/>
      <c r="T636" s="29"/>
      <c r="Y636" s="29"/>
    </row>
    <row r="637">
      <c r="A637" s="29"/>
      <c r="H637" s="17"/>
      <c r="O637" s="16"/>
      <c r="P637" s="29"/>
      <c r="R637" s="16"/>
      <c r="T637" s="29"/>
      <c r="Y637" s="29"/>
    </row>
    <row r="638">
      <c r="A638" s="29"/>
      <c r="H638" s="17"/>
      <c r="O638" s="16"/>
      <c r="P638" s="29"/>
      <c r="R638" s="16"/>
      <c r="T638" s="29"/>
      <c r="Y638" s="29"/>
    </row>
    <row r="639">
      <c r="A639" s="29"/>
      <c r="H639" s="17"/>
      <c r="O639" s="16"/>
      <c r="P639" s="29"/>
      <c r="R639" s="16"/>
      <c r="T639" s="29"/>
      <c r="Y639" s="29"/>
    </row>
    <row r="640">
      <c r="A640" s="29"/>
      <c r="H640" s="17"/>
      <c r="O640" s="16"/>
      <c r="P640" s="29"/>
      <c r="R640" s="16"/>
      <c r="T640" s="29"/>
      <c r="Y640" s="29"/>
    </row>
    <row r="641">
      <c r="A641" s="29"/>
      <c r="H641" s="17"/>
      <c r="O641" s="16"/>
      <c r="P641" s="29"/>
      <c r="R641" s="16"/>
      <c r="T641" s="29"/>
      <c r="Y641" s="29"/>
    </row>
    <row r="642">
      <c r="A642" s="29"/>
      <c r="H642" s="17"/>
      <c r="O642" s="16"/>
      <c r="P642" s="29"/>
      <c r="R642" s="16"/>
      <c r="T642" s="29"/>
      <c r="Y642" s="29"/>
    </row>
    <row r="643">
      <c r="A643" s="29"/>
      <c r="H643" s="17"/>
      <c r="O643" s="16"/>
      <c r="P643" s="29"/>
      <c r="R643" s="16"/>
      <c r="T643" s="29"/>
      <c r="Y643" s="29"/>
    </row>
    <row r="644">
      <c r="A644" s="29"/>
      <c r="H644" s="17"/>
      <c r="O644" s="16"/>
      <c r="P644" s="29"/>
      <c r="R644" s="16"/>
      <c r="T644" s="29"/>
      <c r="Y644" s="29"/>
    </row>
    <row r="645">
      <c r="A645" s="29"/>
      <c r="H645" s="17"/>
      <c r="O645" s="16"/>
      <c r="P645" s="29"/>
      <c r="R645" s="16"/>
      <c r="T645" s="29"/>
      <c r="Y645" s="29"/>
    </row>
    <row r="646">
      <c r="A646" s="29"/>
      <c r="H646" s="17"/>
      <c r="O646" s="16"/>
      <c r="P646" s="29"/>
      <c r="R646" s="16"/>
      <c r="T646" s="29"/>
      <c r="Y646" s="29"/>
    </row>
    <row r="647">
      <c r="A647" s="29"/>
      <c r="H647" s="17"/>
      <c r="O647" s="16"/>
      <c r="P647" s="29"/>
      <c r="R647" s="16"/>
      <c r="T647" s="29"/>
      <c r="Y647" s="29"/>
    </row>
    <row r="648">
      <c r="A648" s="29"/>
      <c r="H648" s="17"/>
      <c r="O648" s="16"/>
      <c r="P648" s="29"/>
      <c r="R648" s="16"/>
      <c r="T648" s="29"/>
      <c r="Y648" s="29"/>
    </row>
    <row r="649">
      <c r="A649" s="29"/>
      <c r="H649" s="17"/>
      <c r="O649" s="16"/>
      <c r="P649" s="29"/>
      <c r="R649" s="16"/>
      <c r="T649" s="29"/>
      <c r="Y649" s="29"/>
    </row>
    <row r="650">
      <c r="A650" s="29"/>
      <c r="H650" s="17"/>
      <c r="O650" s="16"/>
      <c r="P650" s="29"/>
      <c r="R650" s="16"/>
      <c r="T650" s="29"/>
      <c r="Y650" s="29"/>
    </row>
    <row r="651">
      <c r="A651" s="29"/>
      <c r="H651" s="17"/>
      <c r="O651" s="16"/>
      <c r="P651" s="29"/>
      <c r="R651" s="16"/>
      <c r="T651" s="29"/>
      <c r="Y651" s="29"/>
    </row>
    <row r="652">
      <c r="A652" s="29"/>
      <c r="H652" s="17"/>
      <c r="O652" s="16"/>
      <c r="P652" s="29"/>
      <c r="R652" s="16"/>
      <c r="T652" s="29"/>
      <c r="Y652" s="29"/>
    </row>
    <row r="653">
      <c r="A653" s="29"/>
      <c r="H653" s="17"/>
      <c r="O653" s="16"/>
      <c r="P653" s="29"/>
      <c r="R653" s="16"/>
      <c r="T653" s="29"/>
      <c r="Y653" s="29"/>
    </row>
    <row r="654">
      <c r="A654" s="29"/>
      <c r="H654" s="17"/>
      <c r="O654" s="16"/>
      <c r="P654" s="29"/>
      <c r="R654" s="16"/>
      <c r="T654" s="29"/>
      <c r="Y654" s="29"/>
    </row>
    <row r="655">
      <c r="A655" s="29"/>
      <c r="H655" s="17"/>
      <c r="O655" s="16"/>
      <c r="P655" s="29"/>
      <c r="R655" s="16"/>
      <c r="T655" s="29"/>
      <c r="Y655" s="29"/>
    </row>
    <row r="656">
      <c r="A656" s="29"/>
      <c r="H656" s="17"/>
      <c r="O656" s="16"/>
      <c r="P656" s="29"/>
      <c r="R656" s="16"/>
      <c r="T656" s="29"/>
      <c r="Y656" s="29"/>
    </row>
    <row r="657">
      <c r="A657" s="29"/>
      <c r="H657" s="17"/>
      <c r="O657" s="16"/>
      <c r="P657" s="29"/>
      <c r="R657" s="16"/>
      <c r="T657" s="29"/>
      <c r="Y657" s="29"/>
    </row>
    <row r="658">
      <c r="A658" s="29"/>
      <c r="H658" s="17"/>
      <c r="O658" s="16"/>
      <c r="P658" s="29"/>
      <c r="R658" s="16"/>
      <c r="T658" s="29"/>
      <c r="Y658" s="29"/>
    </row>
    <row r="659">
      <c r="A659" s="29"/>
      <c r="H659" s="17"/>
      <c r="O659" s="16"/>
      <c r="P659" s="29"/>
      <c r="R659" s="16"/>
      <c r="T659" s="29"/>
      <c r="Y659" s="29"/>
    </row>
    <row r="660">
      <c r="A660" s="29"/>
      <c r="H660" s="17"/>
      <c r="O660" s="16"/>
      <c r="P660" s="29"/>
      <c r="R660" s="16"/>
      <c r="T660" s="29"/>
      <c r="Y660" s="29"/>
    </row>
    <row r="661">
      <c r="A661" s="29"/>
      <c r="H661" s="17"/>
      <c r="O661" s="16"/>
      <c r="P661" s="29"/>
      <c r="R661" s="16"/>
      <c r="T661" s="29"/>
      <c r="Y661" s="29"/>
    </row>
    <row r="662">
      <c r="A662" s="29"/>
      <c r="H662" s="17"/>
      <c r="O662" s="16"/>
      <c r="P662" s="29"/>
      <c r="R662" s="16"/>
      <c r="T662" s="29"/>
      <c r="Y662" s="29"/>
    </row>
    <row r="663">
      <c r="A663" s="29"/>
      <c r="H663" s="17"/>
      <c r="O663" s="16"/>
      <c r="P663" s="29"/>
      <c r="R663" s="16"/>
      <c r="T663" s="29"/>
      <c r="Y663" s="29"/>
    </row>
    <row r="664">
      <c r="A664" s="29"/>
      <c r="H664" s="17"/>
      <c r="O664" s="16"/>
      <c r="P664" s="29"/>
      <c r="R664" s="16"/>
      <c r="T664" s="29"/>
      <c r="Y664" s="29"/>
    </row>
    <row r="665">
      <c r="A665" s="29"/>
      <c r="H665" s="17"/>
      <c r="O665" s="16"/>
      <c r="P665" s="29"/>
      <c r="R665" s="16"/>
      <c r="T665" s="29"/>
      <c r="Y665" s="29"/>
    </row>
    <row r="666">
      <c r="A666" s="29"/>
      <c r="H666" s="17"/>
      <c r="O666" s="16"/>
      <c r="P666" s="29"/>
      <c r="R666" s="16"/>
      <c r="T666" s="29"/>
      <c r="Y666" s="29"/>
    </row>
    <row r="667">
      <c r="A667" s="29"/>
      <c r="H667" s="17"/>
      <c r="O667" s="16"/>
      <c r="P667" s="29"/>
      <c r="R667" s="16"/>
      <c r="T667" s="29"/>
      <c r="Y667" s="29"/>
    </row>
    <row r="668">
      <c r="A668" s="29"/>
      <c r="H668" s="17"/>
      <c r="O668" s="16"/>
      <c r="P668" s="29"/>
      <c r="R668" s="16"/>
      <c r="T668" s="29"/>
      <c r="Y668" s="29"/>
    </row>
    <row r="669">
      <c r="A669" s="29"/>
      <c r="H669" s="17"/>
      <c r="O669" s="16"/>
      <c r="P669" s="29"/>
      <c r="R669" s="16"/>
      <c r="T669" s="29"/>
      <c r="Y669" s="29"/>
    </row>
    <row r="670">
      <c r="A670" s="29"/>
      <c r="H670" s="17"/>
      <c r="O670" s="16"/>
      <c r="P670" s="29"/>
      <c r="R670" s="16"/>
      <c r="T670" s="29"/>
      <c r="Y670" s="29"/>
    </row>
    <row r="671">
      <c r="A671" s="29"/>
      <c r="H671" s="17"/>
      <c r="O671" s="16"/>
      <c r="P671" s="29"/>
      <c r="R671" s="16"/>
      <c r="T671" s="29"/>
      <c r="Y671" s="29"/>
    </row>
    <row r="672">
      <c r="A672" s="29"/>
      <c r="H672" s="17"/>
      <c r="O672" s="16"/>
      <c r="P672" s="29"/>
      <c r="R672" s="16"/>
      <c r="T672" s="29"/>
      <c r="Y672" s="29"/>
    </row>
    <row r="673">
      <c r="A673" s="29"/>
      <c r="H673" s="17"/>
      <c r="O673" s="16"/>
      <c r="P673" s="29"/>
      <c r="R673" s="16"/>
      <c r="T673" s="29"/>
      <c r="Y673" s="29"/>
    </row>
    <row r="674">
      <c r="A674" s="29"/>
      <c r="H674" s="17"/>
      <c r="O674" s="16"/>
      <c r="P674" s="29"/>
      <c r="R674" s="16"/>
      <c r="T674" s="29"/>
      <c r="Y674" s="29"/>
    </row>
    <row r="675">
      <c r="A675" s="29"/>
      <c r="H675" s="17"/>
      <c r="O675" s="16"/>
      <c r="P675" s="29"/>
      <c r="R675" s="16"/>
      <c r="T675" s="29"/>
      <c r="Y675" s="29"/>
    </row>
    <row r="676">
      <c r="A676" s="29"/>
      <c r="H676" s="17"/>
      <c r="O676" s="16"/>
      <c r="P676" s="29"/>
      <c r="R676" s="16"/>
      <c r="T676" s="29"/>
      <c r="Y676" s="29"/>
    </row>
    <row r="677">
      <c r="A677" s="29"/>
      <c r="H677" s="17"/>
      <c r="O677" s="16"/>
      <c r="P677" s="29"/>
      <c r="R677" s="16"/>
      <c r="T677" s="29"/>
      <c r="Y677" s="29"/>
    </row>
    <row r="678">
      <c r="A678" s="29"/>
      <c r="H678" s="17"/>
      <c r="O678" s="16"/>
      <c r="P678" s="29"/>
      <c r="R678" s="16"/>
      <c r="T678" s="29"/>
      <c r="Y678" s="29"/>
    </row>
    <row r="679">
      <c r="A679" s="29"/>
      <c r="H679" s="17"/>
      <c r="O679" s="16"/>
      <c r="P679" s="29"/>
      <c r="R679" s="16"/>
      <c r="T679" s="29"/>
      <c r="Y679" s="29"/>
    </row>
    <row r="680">
      <c r="A680" s="29"/>
      <c r="H680" s="17"/>
      <c r="O680" s="16"/>
      <c r="P680" s="29"/>
      <c r="R680" s="16"/>
      <c r="T680" s="29"/>
      <c r="Y680" s="29"/>
    </row>
    <row r="681">
      <c r="A681" s="29"/>
      <c r="H681" s="17"/>
      <c r="O681" s="16"/>
      <c r="P681" s="29"/>
      <c r="R681" s="16"/>
      <c r="T681" s="29"/>
      <c r="Y681" s="29"/>
    </row>
    <row r="682">
      <c r="A682" s="29"/>
      <c r="H682" s="17"/>
      <c r="O682" s="16"/>
      <c r="P682" s="29"/>
      <c r="R682" s="16"/>
      <c r="T682" s="29"/>
      <c r="Y682" s="29"/>
    </row>
    <row r="683">
      <c r="A683" s="29"/>
      <c r="H683" s="17"/>
      <c r="O683" s="16"/>
      <c r="P683" s="29"/>
      <c r="R683" s="16"/>
      <c r="T683" s="29"/>
      <c r="Y683" s="29"/>
    </row>
    <row r="684">
      <c r="A684" s="29"/>
      <c r="H684" s="17"/>
      <c r="O684" s="16"/>
      <c r="P684" s="29"/>
      <c r="R684" s="16"/>
      <c r="T684" s="29"/>
      <c r="Y684" s="29"/>
    </row>
    <row r="685">
      <c r="A685" s="29"/>
      <c r="H685" s="17"/>
      <c r="O685" s="16"/>
      <c r="P685" s="29"/>
      <c r="R685" s="16"/>
      <c r="T685" s="29"/>
      <c r="Y685" s="29"/>
    </row>
    <row r="686">
      <c r="A686" s="29"/>
      <c r="H686" s="17"/>
      <c r="O686" s="16"/>
      <c r="P686" s="29"/>
      <c r="R686" s="16"/>
      <c r="T686" s="29"/>
      <c r="Y686" s="29"/>
    </row>
    <row r="687">
      <c r="A687" s="29"/>
      <c r="H687" s="17"/>
      <c r="O687" s="16"/>
      <c r="P687" s="29"/>
      <c r="R687" s="16"/>
      <c r="T687" s="29"/>
      <c r="Y687" s="29"/>
    </row>
    <row r="688">
      <c r="A688" s="29"/>
      <c r="H688" s="17"/>
      <c r="O688" s="16"/>
      <c r="P688" s="29"/>
      <c r="R688" s="16"/>
      <c r="T688" s="29"/>
      <c r="Y688" s="29"/>
    </row>
    <row r="689">
      <c r="A689" s="29"/>
      <c r="H689" s="17"/>
      <c r="O689" s="16"/>
      <c r="P689" s="29"/>
      <c r="R689" s="16"/>
      <c r="T689" s="29"/>
      <c r="Y689" s="29"/>
    </row>
    <row r="690">
      <c r="A690" s="29"/>
      <c r="H690" s="17"/>
      <c r="O690" s="16"/>
      <c r="P690" s="29"/>
      <c r="R690" s="16"/>
      <c r="T690" s="29"/>
      <c r="Y690" s="29"/>
    </row>
    <row r="691">
      <c r="A691" s="29"/>
      <c r="H691" s="17"/>
      <c r="O691" s="16"/>
      <c r="P691" s="29"/>
      <c r="R691" s="16"/>
      <c r="T691" s="29"/>
      <c r="Y691" s="29"/>
    </row>
    <row r="692">
      <c r="A692" s="29"/>
      <c r="H692" s="17"/>
      <c r="O692" s="16"/>
      <c r="P692" s="29"/>
      <c r="R692" s="16"/>
      <c r="T692" s="29"/>
      <c r="Y692" s="29"/>
    </row>
    <row r="693">
      <c r="A693" s="29"/>
      <c r="H693" s="17"/>
      <c r="O693" s="16"/>
      <c r="P693" s="29"/>
      <c r="R693" s="16"/>
      <c r="T693" s="29"/>
      <c r="Y693" s="29"/>
    </row>
    <row r="694">
      <c r="A694" s="29"/>
      <c r="H694" s="17"/>
      <c r="O694" s="16"/>
      <c r="P694" s="29"/>
      <c r="R694" s="16"/>
      <c r="T694" s="29"/>
      <c r="Y694" s="29"/>
    </row>
    <row r="695">
      <c r="A695" s="29"/>
      <c r="H695" s="17"/>
      <c r="O695" s="16"/>
      <c r="P695" s="29"/>
      <c r="R695" s="16"/>
      <c r="T695" s="29"/>
      <c r="Y695" s="29"/>
    </row>
    <row r="696">
      <c r="A696" s="29"/>
      <c r="H696" s="17"/>
      <c r="O696" s="16"/>
      <c r="P696" s="29"/>
      <c r="R696" s="16"/>
      <c r="T696" s="29"/>
      <c r="Y696" s="29"/>
    </row>
    <row r="697">
      <c r="A697" s="29"/>
      <c r="H697" s="17"/>
      <c r="O697" s="16"/>
      <c r="P697" s="29"/>
      <c r="R697" s="16"/>
      <c r="T697" s="29"/>
      <c r="Y697" s="29"/>
    </row>
    <row r="698">
      <c r="A698" s="29"/>
      <c r="H698" s="17"/>
      <c r="O698" s="16"/>
      <c r="P698" s="29"/>
      <c r="R698" s="16"/>
      <c r="T698" s="29"/>
      <c r="Y698" s="29"/>
    </row>
    <row r="699">
      <c r="A699" s="29"/>
      <c r="H699" s="17"/>
      <c r="O699" s="16"/>
      <c r="P699" s="29"/>
      <c r="R699" s="16"/>
      <c r="T699" s="29"/>
      <c r="Y699" s="29"/>
    </row>
    <row r="700">
      <c r="A700" s="29"/>
      <c r="H700" s="17"/>
      <c r="O700" s="16"/>
      <c r="P700" s="29"/>
      <c r="R700" s="16"/>
      <c r="T700" s="29"/>
      <c r="Y700" s="29"/>
    </row>
    <row r="701">
      <c r="A701" s="29"/>
      <c r="H701" s="17"/>
      <c r="O701" s="16"/>
      <c r="P701" s="29"/>
      <c r="R701" s="16"/>
      <c r="T701" s="29"/>
      <c r="Y701" s="29"/>
    </row>
    <row r="702">
      <c r="A702" s="29"/>
      <c r="H702" s="17"/>
      <c r="O702" s="16"/>
      <c r="P702" s="29"/>
      <c r="R702" s="16"/>
      <c r="T702" s="29"/>
      <c r="Y702" s="29"/>
    </row>
    <row r="703">
      <c r="A703" s="29"/>
      <c r="H703" s="17"/>
      <c r="O703" s="16"/>
      <c r="P703" s="29"/>
      <c r="R703" s="16"/>
      <c r="T703" s="29"/>
      <c r="Y703" s="29"/>
    </row>
    <row r="704">
      <c r="A704" s="29"/>
      <c r="H704" s="17"/>
      <c r="O704" s="16"/>
      <c r="P704" s="29"/>
      <c r="R704" s="16"/>
      <c r="T704" s="29"/>
      <c r="Y704" s="29"/>
    </row>
    <row r="705">
      <c r="A705" s="29"/>
      <c r="H705" s="17"/>
      <c r="O705" s="16"/>
      <c r="P705" s="29"/>
      <c r="R705" s="16"/>
      <c r="T705" s="29"/>
      <c r="Y705" s="29"/>
    </row>
    <row r="706">
      <c r="A706" s="29"/>
      <c r="H706" s="17"/>
      <c r="O706" s="16"/>
      <c r="P706" s="29"/>
      <c r="R706" s="16"/>
      <c r="T706" s="29"/>
      <c r="Y706" s="29"/>
    </row>
    <row r="707">
      <c r="A707" s="29"/>
      <c r="H707" s="17"/>
      <c r="O707" s="16"/>
      <c r="P707" s="29"/>
      <c r="R707" s="16"/>
      <c r="T707" s="29"/>
      <c r="Y707" s="29"/>
    </row>
    <row r="708">
      <c r="A708" s="29"/>
      <c r="H708" s="17"/>
      <c r="O708" s="16"/>
      <c r="P708" s="29"/>
      <c r="R708" s="16"/>
      <c r="T708" s="29"/>
      <c r="Y708" s="29"/>
    </row>
    <row r="709">
      <c r="A709" s="29"/>
      <c r="H709" s="17"/>
      <c r="O709" s="16"/>
      <c r="P709" s="29"/>
      <c r="R709" s="16"/>
      <c r="T709" s="29"/>
      <c r="Y709" s="29"/>
    </row>
    <row r="710">
      <c r="A710" s="29"/>
      <c r="H710" s="17"/>
      <c r="O710" s="16"/>
      <c r="P710" s="29"/>
      <c r="R710" s="16"/>
      <c r="T710" s="29"/>
      <c r="Y710" s="29"/>
    </row>
    <row r="711">
      <c r="A711" s="29"/>
      <c r="H711" s="17"/>
      <c r="O711" s="16"/>
      <c r="P711" s="29"/>
      <c r="R711" s="16"/>
      <c r="T711" s="29"/>
      <c r="Y711" s="29"/>
    </row>
    <row r="712">
      <c r="A712" s="29"/>
      <c r="H712" s="17"/>
      <c r="O712" s="16"/>
      <c r="P712" s="29"/>
      <c r="R712" s="16"/>
      <c r="T712" s="29"/>
      <c r="Y712" s="29"/>
    </row>
    <row r="713">
      <c r="A713" s="29"/>
      <c r="H713" s="17"/>
      <c r="O713" s="16"/>
      <c r="P713" s="29"/>
      <c r="R713" s="16"/>
      <c r="T713" s="29"/>
      <c r="Y713" s="29"/>
    </row>
    <row r="714">
      <c r="A714" s="29"/>
      <c r="H714" s="17"/>
      <c r="O714" s="16"/>
      <c r="P714" s="29"/>
      <c r="R714" s="16"/>
      <c r="T714" s="29"/>
      <c r="Y714" s="29"/>
    </row>
    <row r="715">
      <c r="A715" s="29"/>
      <c r="H715" s="17"/>
      <c r="O715" s="16"/>
      <c r="P715" s="29"/>
      <c r="R715" s="16"/>
      <c r="T715" s="29"/>
      <c r="Y715" s="29"/>
    </row>
    <row r="716">
      <c r="A716" s="29"/>
      <c r="H716" s="17"/>
      <c r="O716" s="16"/>
      <c r="P716" s="29"/>
      <c r="R716" s="16"/>
      <c r="T716" s="29"/>
      <c r="Y716" s="29"/>
    </row>
    <row r="717">
      <c r="A717" s="29"/>
      <c r="H717" s="17"/>
      <c r="O717" s="16"/>
      <c r="P717" s="29"/>
      <c r="R717" s="16"/>
      <c r="T717" s="29"/>
      <c r="Y717" s="29"/>
    </row>
    <row r="718">
      <c r="A718" s="29"/>
      <c r="H718" s="17"/>
      <c r="O718" s="16"/>
      <c r="P718" s="29"/>
      <c r="R718" s="16"/>
      <c r="T718" s="29"/>
      <c r="Y718" s="29"/>
    </row>
    <row r="719">
      <c r="A719" s="29"/>
      <c r="H719" s="17"/>
      <c r="O719" s="16"/>
      <c r="P719" s="29"/>
      <c r="R719" s="16"/>
      <c r="T719" s="29"/>
      <c r="Y719" s="29"/>
    </row>
    <row r="720">
      <c r="A720" s="29"/>
      <c r="H720" s="17"/>
      <c r="O720" s="16"/>
      <c r="P720" s="29"/>
      <c r="R720" s="16"/>
      <c r="T720" s="29"/>
      <c r="Y720" s="29"/>
    </row>
    <row r="721">
      <c r="A721" s="29"/>
      <c r="H721" s="17"/>
      <c r="O721" s="16"/>
      <c r="P721" s="29"/>
      <c r="R721" s="16"/>
      <c r="T721" s="29"/>
      <c r="Y721" s="29"/>
    </row>
    <row r="722">
      <c r="A722" s="29"/>
      <c r="H722" s="17"/>
      <c r="O722" s="16"/>
      <c r="P722" s="29"/>
      <c r="R722" s="16"/>
      <c r="T722" s="29"/>
      <c r="Y722" s="29"/>
    </row>
    <row r="723">
      <c r="A723" s="29"/>
      <c r="H723" s="17"/>
      <c r="O723" s="16"/>
      <c r="P723" s="29"/>
      <c r="R723" s="16"/>
      <c r="T723" s="29"/>
      <c r="Y723" s="29"/>
    </row>
    <row r="724">
      <c r="A724" s="29"/>
      <c r="H724" s="17"/>
      <c r="O724" s="16"/>
      <c r="P724" s="29"/>
      <c r="R724" s="16"/>
      <c r="T724" s="29"/>
      <c r="Y724" s="29"/>
    </row>
    <row r="725">
      <c r="A725" s="29"/>
      <c r="H725" s="17"/>
      <c r="O725" s="16"/>
      <c r="P725" s="29"/>
      <c r="R725" s="16"/>
      <c r="T725" s="29"/>
      <c r="Y725" s="29"/>
    </row>
    <row r="726">
      <c r="A726" s="29"/>
      <c r="H726" s="17"/>
      <c r="O726" s="16"/>
      <c r="P726" s="29"/>
      <c r="R726" s="16"/>
      <c r="T726" s="29"/>
      <c r="Y726" s="29"/>
    </row>
    <row r="727">
      <c r="A727" s="29"/>
      <c r="H727" s="17"/>
      <c r="O727" s="16"/>
      <c r="P727" s="29"/>
      <c r="R727" s="16"/>
      <c r="T727" s="29"/>
      <c r="Y727" s="29"/>
    </row>
    <row r="728">
      <c r="A728" s="29"/>
      <c r="H728" s="17"/>
      <c r="O728" s="16"/>
      <c r="P728" s="29"/>
      <c r="R728" s="16"/>
      <c r="T728" s="29"/>
      <c r="Y728" s="29"/>
    </row>
    <row r="729">
      <c r="A729" s="29"/>
      <c r="H729" s="17"/>
      <c r="O729" s="16"/>
      <c r="P729" s="29"/>
      <c r="R729" s="16"/>
      <c r="T729" s="29"/>
      <c r="Y729" s="29"/>
    </row>
    <row r="730">
      <c r="A730" s="29"/>
      <c r="H730" s="17"/>
      <c r="O730" s="16"/>
      <c r="P730" s="29"/>
      <c r="R730" s="16"/>
      <c r="T730" s="29"/>
      <c r="Y730" s="29"/>
    </row>
    <row r="731">
      <c r="A731" s="29"/>
      <c r="H731" s="17"/>
      <c r="O731" s="16"/>
      <c r="P731" s="29"/>
      <c r="R731" s="16"/>
      <c r="T731" s="29"/>
      <c r="Y731" s="29"/>
    </row>
    <row r="732">
      <c r="A732" s="29"/>
      <c r="H732" s="17"/>
      <c r="O732" s="16"/>
      <c r="P732" s="29"/>
      <c r="R732" s="16"/>
      <c r="T732" s="29"/>
      <c r="Y732" s="29"/>
    </row>
    <row r="733">
      <c r="A733" s="29"/>
      <c r="H733" s="17"/>
      <c r="O733" s="16"/>
      <c r="P733" s="29"/>
      <c r="R733" s="16"/>
      <c r="T733" s="29"/>
      <c r="Y733" s="29"/>
    </row>
    <row r="734">
      <c r="A734" s="29"/>
      <c r="H734" s="17"/>
      <c r="O734" s="16"/>
      <c r="P734" s="29"/>
      <c r="R734" s="16"/>
      <c r="T734" s="29"/>
      <c r="Y734" s="29"/>
    </row>
    <row r="735">
      <c r="A735" s="29"/>
      <c r="H735" s="17"/>
      <c r="O735" s="16"/>
      <c r="P735" s="29"/>
      <c r="R735" s="16"/>
      <c r="T735" s="29"/>
      <c r="Y735" s="29"/>
    </row>
    <row r="736">
      <c r="A736" s="29"/>
      <c r="H736" s="17"/>
      <c r="O736" s="16"/>
      <c r="P736" s="29"/>
      <c r="R736" s="16"/>
      <c r="T736" s="29"/>
      <c r="Y736" s="29"/>
    </row>
    <row r="737">
      <c r="A737" s="29"/>
      <c r="H737" s="17"/>
      <c r="O737" s="16"/>
      <c r="P737" s="29"/>
      <c r="R737" s="16"/>
      <c r="T737" s="29"/>
      <c r="Y737" s="29"/>
    </row>
    <row r="738">
      <c r="A738" s="29"/>
      <c r="H738" s="17"/>
      <c r="O738" s="16"/>
      <c r="P738" s="29"/>
      <c r="R738" s="16"/>
      <c r="T738" s="29"/>
      <c r="Y738" s="29"/>
    </row>
    <row r="739">
      <c r="A739" s="29"/>
      <c r="H739" s="17"/>
      <c r="O739" s="16"/>
      <c r="P739" s="29"/>
      <c r="R739" s="16"/>
      <c r="T739" s="29"/>
      <c r="Y739" s="29"/>
    </row>
    <row r="740">
      <c r="A740" s="29"/>
      <c r="H740" s="17"/>
      <c r="O740" s="16"/>
      <c r="P740" s="29"/>
      <c r="R740" s="16"/>
      <c r="T740" s="29"/>
      <c r="Y740" s="29"/>
    </row>
    <row r="741">
      <c r="A741" s="29"/>
      <c r="H741" s="17"/>
      <c r="O741" s="16"/>
      <c r="P741" s="29"/>
      <c r="R741" s="16"/>
      <c r="T741" s="29"/>
      <c r="Y741" s="29"/>
    </row>
    <row r="742">
      <c r="A742" s="29"/>
      <c r="H742" s="17"/>
      <c r="O742" s="16"/>
      <c r="P742" s="29"/>
      <c r="R742" s="16"/>
      <c r="T742" s="29"/>
      <c r="Y742" s="29"/>
    </row>
    <row r="743">
      <c r="A743" s="29"/>
      <c r="H743" s="17"/>
      <c r="O743" s="16"/>
      <c r="P743" s="29"/>
      <c r="R743" s="16"/>
      <c r="T743" s="29"/>
      <c r="Y743" s="29"/>
    </row>
    <row r="744">
      <c r="A744" s="29"/>
      <c r="H744" s="17"/>
      <c r="O744" s="16"/>
      <c r="P744" s="29"/>
      <c r="R744" s="16"/>
      <c r="T744" s="29"/>
      <c r="Y744" s="29"/>
    </row>
    <row r="745">
      <c r="A745" s="29"/>
      <c r="H745" s="17"/>
      <c r="O745" s="16"/>
      <c r="P745" s="29"/>
      <c r="R745" s="16"/>
      <c r="T745" s="29"/>
      <c r="Y745" s="29"/>
    </row>
    <row r="746">
      <c r="A746" s="29"/>
      <c r="H746" s="17"/>
      <c r="O746" s="16"/>
      <c r="P746" s="29"/>
      <c r="R746" s="16"/>
      <c r="T746" s="29"/>
      <c r="Y746" s="29"/>
    </row>
    <row r="747">
      <c r="A747" s="29"/>
      <c r="H747" s="17"/>
      <c r="O747" s="16"/>
      <c r="P747" s="29"/>
      <c r="R747" s="16"/>
      <c r="T747" s="29"/>
      <c r="Y747" s="29"/>
    </row>
    <row r="748">
      <c r="A748" s="29"/>
      <c r="H748" s="17"/>
      <c r="O748" s="16"/>
      <c r="P748" s="29"/>
      <c r="R748" s="16"/>
      <c r="T748" s="29"/>
      <c r="Y748" s="29"/>
    </row>
    <row r="749">
      <c r="A749" s="29"/>
      <c r="H749" s="17"/>
      <c r="O749" s="16"/>
      <c r="P749" s="29"/>
      <c r="R749" s="16"/>
      <c r="T749" s="29"/>
      <c r="Y749" s="29"/>
    </row>
    <row r="750">
      <c r="A750" s="29"/>
      <c r="H750" s="17"/>
      <c r="O750" s="16"/>
      <c r="P750" s="29"/>
      <c r="R750" s="16"/>
      <c r="T750" s="29"/>
      <c r="Y750" s="29"/>
    </row>
    <row r="751">
      <c r="A751" s="29"/>
      <c r="H751" s="17"/>
      <c r="O751" s="16"/>
      <c r="P751" s="29"/>
      <c r="R751" s="16"/>
      <c r="T751" s="29"/>
      <c r="Y751" s="29"/>
    </row>
    <row r="752">
      <c r="A752" s="29"/>
      <c r="H752" s="17"/>
      <c r="O752" s="16"/>
      <c r="P752" s="29"/>
      <c r="R752" s="16"/>
      <c r="T752" s="29"/>
      <c r="Y752" s="29"/>
    </row>
    <row r="753">
      <c r="A753" s="29"/>
      <c r="H753" s="17"/>
      <c r="O753" s="16"/>
      <c r="P753" s="29"/>
      <c r="R753" s="16"/>
      <c r="T753" s="29"/>
      <c r="Y753" s="29"/>
    </row>
    <row r="754">
      <c r="A754" s="29"/>
      <c r="H754" s="17"/>
      <c r="O754" s="16"/>
      <c r="P754" s="29"/>
      <c r="R754" s="16"/>
      <c r="T754" s="29"/>
      <c r="Y754" s="29"/>
    </row>
    <row r="755">
      <c r="A755" s="29"/>
      <c r="H755" s="17"/>
      <c r="O755" s="16"/>
      <c r="P755" s="29"/>
      <c r="R755" s="16"/>
      <c r="T755" s="29"/>
      <c r="Y755" s="29"/>
    </row>
    <row r="756">
      <c r="A756" s="29"/>
      <c r="H756" s="17"/>
      <c r="O756" s="16"/>
      <c r="P756" s="29"/>
      <c r="R756" s="16"/>
      <c r="T756" s="29"/>
      <c r="Y756" s="29"/>
    </row>
    <row r="757">
      <c r="A757" s="29"/>
      <c r="H757" s="17"/>
      <c r="O757" s="16"/>
      <c r="P757" s="29"/>
      <c r="R757" s="16"/>
      <c r="T757" s="29"/>
      <c r="Y757" s="29"/>
    </row>
    <row r="758">
      <c r="A758" s="29"/>
      <c r="H758" s="17"/>
      <c r="O758" s="16"/>
      <c r="P758" s="29"/>
      <c r="R758" s="16"/>
      <c r="T758" s="29"/>
      <c r="Y758" s="29"/>
    </row>
    <row r="759">
      <c r="A759" s="29"/>
      <c r="H759" s="17"/>
      <c r="O759" s="16"/>
      <c r="P759" s="29"/>
      <c r="R759" s="16"/>
      <c r="T759" s="29"/>
      <c r="Y759" s="29"/>
    </row>
    <row r="760">
      <c r="A760" s="29"/>
      <c r="H760" s="17"/>
      <c r="O760" s="16"/>
      <c r="P760" s="29"/>
      <c r="R760" s="16"/>
      <c r="T760" s="29"/>
      <c r="Y760" s="29"/>
    </row>
    <row r="761">
      <c r="A761" s="29"/>
      <c r="H761" s="17"/>
      <c r="O761" s="16"/>
      <c r="P761" s="29"/>
      <c r="R761" s="16"/>
      <c r="T761" s="29"/>
      <c r="Y761" s="29"/>
    </row>
    <row r="762">
      <c r="A762" s="29"/>
      <c r="H762" s="17"/>
      <c r="O762" s="16"/>
      <c r="P762" s="29"/>
      <c r="R762" s="16"/>
      <c r="T762" s="29"/>
      <c r="Y762" s="29"/>
    </row>
    <row r="763">
      <c r="A763" s="29"/>
      <c r="H763" s="17"/>
      <c r="O763" s="16"/>
      <c r="P763" s="29"/>
      <c r="R763" s="16"/>
      <c r="T763" s="29"/>
      <c r="Y763" s="29"/>
    </row>
    <row r="764">
      <c r="A764" s="29"/>
      <c r="H764" s="17"/>
      <c r="O764" s="16"/>
      <c r="P764" s="29"/>
      <c r="R764" s="16"/>
      <c r="T764" s="29"/>
      <c r="Y764" s="29"/>
    </row>
    <row r="765">
      <c r="A765" s="29"/>
      <c r="H765" s="17"/>
      <c r="O765" s="16"/>
      <c r="P765" s="29"/>
      <c r="R765" s="16"/>
      <c r="T765" s="29"/>
      <c r="Y765" s="29"/>
    </row>
    <row r="766">
      <c r="A766" s="29"/>
      <c r="H766" s="17"/>
      <c r="O766" s="16"/>
      <c r="P766" s="29"/>
      <c r="R766" s="16"/>
      <c r="T766" s="29"/>
      <c r="Y766" s="29"/>
    </row>
    <row r="767">
      <c r="A767" s="29"/>
      <c r="H767" s="17"/>
      <c r="O767" s="16"/>
      <c r="P767" s="29"/>
      <c r="R767" s="16"/>
      <c r="T767" s="29"/>
      <c r="Y767" s="29"/>
    </row>
    <row r="768">
      <c r="A768" s="29"/>
      <c r="H768" s="17"/>
      <c r="O768" s="16"/>
      <c r="P768" s="29"/>
      <c r="R768" s="16"/>
      <c r="T768" s="29"/>
      <c r="Y768" s="29"/>
    </row>
    <row r="769">
      <c r="A769" s="29"/>
      <c r="H769" s="17"/>
      <c r="O769" s="16"/>
      <c r="P769" s="29"/>
      <c r="R769" s="16"/>
      <c r="T769" s="29"/>
      <c r="Y769" s="29"/>
    </row>
    <row r="770">
      <c r="A770" s="29"/>
      <c r="H770" s="17"/>
      <c r="O770" s="16"/>
      <c r="P770" s="29"/>
      <c r="R770" s="16"/>
      <c r="T770" s="29"/>
      <c r="Y770" s="29"/>
    </row>
    <row r="771">
      <c r="A771" s="29"/>
      <c r="H771" s="17"/>
      <c r="O771" s="16"/>
      <c r="P771" s="29"/>
      <c r="R771" s="16"/>
      <c r="T771" s="29"/>
      <c r="Y771" s="29"/>
    </row>
    <row r="772">
      <c r="A772" s="29"/>
      <c r="H772" s="17"/>
      <c r="O772" s="16"/>
      <c r="P772" s="29"/>
      <c r="R772" s="16"/>
      <c r="T772" s="29"/>
      <c r="Y772" s="29"/>
    </row>
    <row r="773">
      <c r="A773" s="29"/>
      <c r="H773" s="17"/>
      <c r="O773" s="16"/>
      <c r="P773" s="29"/>
      <c r="R773" s="16"/>
      <c r="T773" s="29"/>
      <c r="Y773" s="29"/>
    </row>
    <row r="774">
      <c r="A774" s="29"/>
      <c r="H774" s="17"/>
      <c r="O774" s="16"/>
      <c r="P774" s="29"/>
      <c r="R774" s="16"/>
      <c r="T774" s="29"/>
      <c r="Y774" s="29"/>
    </row>
    <row r="775">
      <c r="A775" s="29"/>
      <c r="H775" s="17"/>
      <c r="O775" s="16"/>
      <c r="P775" s="29"/>
      <c r="R775" s="16"/>
      <c r="T775" s="29"/>
      <c r="Y775" s="29"/>
    </row>
    <row r="776">
      <c r="A776" s="29"/>
      <c r="H776" s="17"/>
      <c r="O776" s="16"/>
      <c r="P776" s="29"/>
      <c r="R776" s="16"/>
      <c r="T776" s="29"/>
      <c r="Y776" s="29"/>
    </row>
    <row r="777">
      <c r="A777" s="29"/>
      <c r="H777" s="17"/>
      <c r="O777" s="16"/>
      <c r="P777" s="29"/>
      <c r="R777" s="16"/>
      <c r="T777" s="29"/>
      <c r="Y777" s="29"/>
    </row>
    <row r="778">
      <c r="A778" s="29"/>
      <c r="H778" s="17"/>
      <c r="O778" s="16"/>
      <c r="P778" s="29"/>
      <c r="R778" s="16"/>
      <c r="T778" s="29"/>
      <c r="Y778" s="29"/>
    </row>
    <row r="779">
      <c r="A779" s="29"/>
      <c r="H779" s="17"/>
      <c r="O779" s="16"/>
      <c r="P779" s="29"/>
      <c r="R779" s="16"/>
      <c r="T779" s="29"/>
      <c r="Y779" s="29"/>
    </row>
    <row r="780">
      <c r="A780" s="29"/>
      <c r="H780" s="17"/>
      <c r="O780" s="16"/>
      <c r="P780" s="29"/>
      <c r="R780" s="16"/>
      <c r="T780" s="29"/>
      <c r="Y780" s="29"/>
    </row>
    <row r="781">
      <c r="A781" s="29"/>
      <c r="H781" s="17"/>
      <c r="O781" s="16"/>
      <c r="P781" s="29"/>
      <c r="R781" s="16"/>
      <c r="T781" s="29"/>
      <c r="Y781" s="29"/>
    </row>
    <row r="782">
      <c r="A782" s="29"/>
      <c r="H782" s="17"/>
      <c r="O782" s="16"/>
      <c r="P782" s="29"/>
      <c r="R782" s="16"/>
      <c r="T782" s="29"/>
      <c r="Y782" s="29"/>
    </row>
    <row r="783">
      <c r="A783" s="29"/>
      <c r="H783" s="17"/>
      <c r="O783" s="16"/>
      <c r="P783" s="29"/>
      <c r="R783" s="16"/>
      <c r="T783" s="29"/>
      <c r="Y783" s="29"/>
    </row>
    <row r="784">
      <c r="A784" s="29"/>
      <c r="H784" s="17"/>
      <c r="O784" s="16"/>
      <c r="P784" s="29"/>
      <c r="R784" s="16"/>
      <c r="T784" s="29"/>
      <c r="Y784" s="29"/>
    </row>
    <row r="785">
      <c r="A785" s="29"/>
      <c r="H785" s="17"/>
      <c r="O785" s="16"/>
      <c r="P785" s="29"/>
      <c r="R785" s="16"/>
      <c r="T785" s="29"/>
      <c r="Y785" s="29"/>
    </row>
    <row r="786">
      <c r="A786" s="29"/>
      <c r="H786" s="17"/>
      <c r="O786" s="16"/>
      <c r="P786" s="29"/>
      <c r="R786" s="16"/>
      <c r="T786" s="29"/>
      <c r="Y786" s="29"/>
    </row>
    <row r="787">
      <c r="A787" s="29"/>
      <c r="H787" s="17"/>
      <c r="O787" s="16"/>
      <c r="P787" s="29"/>
      <c r="R787" s="16"/>
      <c r="T787" s="29"/>
      <c r="Y787" s="29"/>
    </row>
    <row r="788">
      <c r="A788" s="29"/>
      <c r="H788" s="17"/>
      <c r="O788" s="16"/>
      <c r="P788" s="29"/>
      <c r="R788" s="16"/>
      <c r="T788" s="29"/>
      <c r="Y788" s="29"/>
    </row>
    <row r="789">
      <c r="A789" s="29"/>
      <c r="H789" s="17"/>
      <c r="O789" s="16"/>
      <c r="P789" s="29"/>
      <c r="R789" s="16"/>
      <c r="T789" s="29"/>
      <c r="Y789" s="29"/>
    </row>
    <row r="790">
      <c r="A790" s="29"/>
      <c r="H790" s="17"/>
      <c r="O790" s="16"/>
      <c r="P790" s="29"/>
      <c r="R790" s="16"/>
      <c r="T790" s="29"/>
      <c r="Y790" s="29"/>
    </row>
    <row r="791">
      <c r="A791" s="29"/>
      <c r="H791" s="17"/>
      <c r="O791" s="16"/>
      <c r="P791" s="29"/>
      <c r="R791" s="16"/>
      <c r="T791" s="29"/>
      <c r="Y791" s="29"/>
    </row>
    <row r="792">
      <c r="A792" s="29"/>
      <c r="H792" s="17"/>
      <c r="O792" s="16"/>
      <c r="P792" s="29"/>
      <c r="R792" s="16"/>
      <c r="T792" s="29"/>
      <c r="Y792" s="29"/>
    </row>
    <row r="793">
      <c r="A793" s="29"/>
      <c r="H793" s="17"/>
      <c r="O793" s="16"/>
      <c r="P793" s="29"/>
      <c r="R793" s="16"/>
      <c r="T793" s="29"/>
      <c r="Y793" s="29"/>
    </row>
    <row r="794">
      <c r="A794" s="29"/>
      <c r="H794" s="17"/>
      <c r="O794" s="16"/>
      <c r="P794" s="29"/>
      <c r="R794" s="16"/>
      <c r="T794" s="29"/>
      <c r="Y794" s="29"/>
    </row>
    <row r="795">
      <c r="A795" s="29"/>
      <c r="H795" s="17"/>
      <c r="O795" s="16"/>
      <c r="P795" s="29"/>
      <c r="R795" s="16"/>
      <c r="T795" s="29"/>
      <c r="Y795" s="29"/>
    </row>
    <row r="796">
      <c r="A796" s="29"/>
      <c r="H796" s="17"/>
      <c r="O796" s="16"/>
      <c r="P796" s="29"/>
      <c r="R796" s="16"/>
      <c r="T796" s="29"/>
      <c r="Y796" s="29"/>
    </row>
    <row r="797">
      <c r="A797" s="29"/>
      <c r="H797" s="17"/>
      <c r="O797" s="16"/>
      <c r="P797" s="29"/>
      <c r="R797" s="16"/>
      <c r="T797" s="29"/>
      <c r="Y797" s="29"/>
    </row>
    <row r="798">
      <c r="A798" s="29"/>
      <c r="H798" s="17"/>
      <c r="O798" s="16"/>
      <c r="P798" s="29"/>
      <c r="R798" s="16"/>
      <c r="T798" s="29"/>
      <c r="Y798" s="29"/>
    </row>
    <row r="799">
      <c r="A799" s="29"/>
      <c r="H799" s="17"/>
      <c r="O799" s="16"/>
      <c r="P799" s="29"/>
      <c r="R799" s="16"/>
      <c r="T799" s="29"/>
      <c r="Y799" s="29"/>
    </row>
    <row r="800">
      <c r="A800" s="29"/>
      <c r="H800" s="17"/>
      <c r="O800" s="16"/>
      <c r="P800" s="29"/>
      <c r="R800" s="16"/>
      <c r="T800" s="29"/>
      <c r="Y800" s="29"/>
    </row>
    <row r="801">
      <c r="A801" s="29"/>
      <c r="H801" s="17"/>
      <c r="O801" s="16"/>
      <c r="P801" s="29"/>
      <c r="R801" s="16"/>
      <c r="T801" s="29"/>
      <c r="Y801" s="29"/>
    </row>
    <row r="802">
      <c r="A802" s="29"/>
      <c r="H802" s="17"/>
      <c r="O802" s="16"/>
      <c r="P802" s="29"/>
      <c r="R802" s="16"/>
      <c r="T802" s="29"/>
      <c r="Y802" s="29"/>
    </row>
    <row r="803">
      <c r="A803" s="29"/>
      <c r="H803" s="17"/>
      <c r="O803" s="16"/>
      <c r="P803" s="29"/>
      <c r="R803" s="16"/>
      <c r="T803" s="29"/>
      <c r="Y803" s="29"/>
    </row>
    <row r="804">
      <c r="A804" s="29"/>
      <c r="H804" s="17"/>
      <c r="O804" s="16"/>
      <c r="P804" s="29"/>
      <c r="R804" s="16"/>
      <c r="T804" s="29"/>
      <c r="Y804" s="29"/>
    </row>
    <row r="805">
      <c r="A805" s="29"/>
      <c r="H805" s="17"/>
      <c r="O805" s="16"/>
      <c r="P805" s="29"/>
      <c r="R805" s="16"/>
      <c r="T805" s="29"/>
      <c r="Y805" s="29"/>
    </row>
    <row r="806">
      <c r="A806" s="29"/>
      <c r="H806" s="17"/>
      <c r="O806" s="16"/>
      <c r="P806" s="29"/>
      <c r="R806" s="16"/>
      <c r="T806" s="29"/>
      <c r="Y806" s="29"/>
    </row>
    <row r="807">
      <c r="A807" s="29"/>
      <c r="H807" s="17"/>
      <c r="O807" s="16"/>
      <c r="P807" s="29"/>
      <c r="R807" s="16"/>
      <c r="T807" s="29"/>
      <c r="Y807" s="29"/>
    </row>
    <row r="808">
      <c r="A808" s="29"/>
      <c r="H808" s="17"/>
      <c r="O808" s="16"/>
      <c r="P808" s="29"/>
      <c r="R808" s="16"/>
      <c r="T808" s="29"/>
      <c r="Y808" s="29"/>
    </row>
    <row r="809">
      <c r="A809" s="29"/>
      <c r="H809" s="17"/>
      <c r="O809" s="16"/>
      <c r="P809" s="29"/>
      <c r="R809" s="16"/>
      <c r="T809" s="29"/>
      <c r="Y809" s="29"/>
    </row>
    <row r="810">
      <c r="A810" s="29"/>
      <c r="H810" s="17"/>
      <c r="O810" s="16"/>
      <c r="P810" s="29"/>
      <c r="R810" s="16"/>
      <c r="T810" s="29"/>
      <c r="Y810" s="29"/>
    </row>
    <row r="811">
      <c r="A811" s="29"/>
      <c r="H811" s="17"/>
      <c r="O811" s="16"/>
      <c r="P811" s="29"/>
      <c r="R811" s="16"/>
      <c r="T811" s="29"/>
      <c r="Y811" s="29"/>
    </row>
    <row r="812">
      <c r="A812" s="29"/>
      <c r="H812" s="17"/>
      <c r="O812" s="16"/>
      <c r="P812" s="29"/>
      <c r="R812" s="16"/>
      <c r="T812" s="29"/>
      <c r="Y812" s="29"/>
    </row>
    <row r="813">
      <c r="A813" s="29"/>
      <c r="H813" s="17"/>
      <c r="O813" s="16"/>
      <c r="P813" s="29"/>
      <c r="R813" s="16"/>
      <c r="T813" s="29"/>
      <c r="Y813" s="29"/>
    </row>
    <row r="814">
      <c r="A814" s="29"/>
      <c r="H814" s="17"/>
      <c r="O814" s="16"/>
      <c r="P814" s="29"/>
      <c r="R814" s="16"/>
      <c r="T814" s="29"/>
      <c r="Y814" s="29"/>
    </row>
    <row r="815">
      <c r="A815" s="29"/>
      <c r="H815" s="17"/>
      <c r="O815" s="16"/>
      <c r="P815" s="29"/>
      <c r="R815" s="16"/>
      <c r="T815" s="29"/>
      <c r="Y815" s="29"/>
    </row>
    <row r="816">
      <c r="A816" s="29"/>
      <c r="H816" s="17"/>
      <c r="O816" s="16"/>
      <c r="P816" s="29"/>
      <c r="R816" s="16"/>
      <c r="T816" s="29"/>
      <c r="Y816" s="29"/>
    </row>
    <row r="817">
      <c r="A817" s="29"/>
      <c r="H817" s="17"/>
      <c r="O817" s="16"/>
      <c r="P817" s="29"/>
      <c r="R817" s="16"/>
      <c r="T817" s="29"/>
      <c r="Y817" s="29"/>
    </row>
    <row r="818">
      <c r="A818" s="29"/>
      <c r="H818" s="17"/>
      <c r="O818" s="16"/>
      <c r="P818" s="29"/>
      <c r="R818" s="16"/>
      <c r="T818" s="29"/>
      <c r="Y818" s="29"/>
    </row>
    <row r="819">
      <c r="A819" s="29"/>
      <c r="H819" s="17"/>
      <c r="O819" s="16"/>
      <c r="P819" s="29"/>
      <c r="R819" s="16"/>
      <c r="T819" s="29"/>
      <c r="Y819" s="29"/>
    </row>
    <row r="820">
      <c r="A820" s="29"/>
      <c r="H820" s="17"/>
      <c r="O820" s="16"/>
      <c r="P820" s="29"/>
      <c r="R820" s="16"/>
      <c r="T820" s="29"/>
      <c r="Y820" s="29"/>
    </row>
    <row r="821">
      <c r="A821" s="29"/>
      <c r="H821" s="17"/>
      <c r="O821" s="16"/>
      <c r="P821" s="29"/>
      <c r="R821" s="16"/>
      <c r="T821" s="29"/>
      <c r="Y821" s="29"/>
    </row>
    <row r="822">
      <c r="A822" s="29"/>
      <c r="H822" s="17"/>
      <c r="O822" s="16"/>
      <c r="P822" s="29"/>
      <c r="R822" s="16"/>
      <c r="T822" s="29"/>
      <c r="Y822" s="29"/>
    </row>
    <row r="823">
      <c r="A823" s="29"/>
      <c r="H823" s="17"/>
      <c r="O823" s="16"/>
      <c r="P823" s="29"/>
      <c r="R823" s="16"/>
      <c r="T823" s="29"/>
      <c r="Y823" s="29"/>
    </row>
    <row r="824">
      <c r="A824" s="29"/>
      <c r="H824" s="17"/>
      <c r="O824" s="16"/>
      <c r="P824" s="29"/>
      <c r="R824" s="16"/>
      <c r="T824" s="29"/>
      <c r="Y824" s="29"/>
    </row>
    <row r="825">
      <c r="A825" s="29"/>
      <c r="H825" s="17"/>
      <c r="O825" s="16"/>
      <c r="P825" s="29"/>
      <c r="R825" s="16"/>
      <c r="T825" s="29"/>
      <c r="Y825" s="29"/>
    </row>
    <row r="826">
      <c r="A826" s="29"/>
      <c r="H826" s="17"/>
      <c r="O826" s="16"/>
      <c r="P826" s="29"/>
      <c r="R826" s="16"/>
      <c r="T826" s="29"/>
      <c r="Y826" s="29"/>
    </row>
    <row r="827">
      <c r="A827" s="29"/>
      <c r="H827" s="17"/>
      <c r="O827" s="16"/>
      <c r="P827" s="29"/>
      <c r="R827" s="16"/>
      <c r="T827" s="29"/>
      <c r="Y827" s="29"/>
    </row>
    <row r="828">
      <c r="A828" s="29"/>
      <c r="H828" s="17"/>
      <c r="O828" s="16"/>
      <c r="P828" s="29"/>
      <c r="R828" s="16"/>
      <c r="T828" s="29"/>
      <c r="Y828" s="29"/>
    </row>
    <row r="829">
      <c r="A829" s="29"/>
      <c r="H829" s="17"/>
      <c r="O829" s="16"/>
      <c r="P829" s="29"/>
      <c r="R829" s="16"/>
      <c r="T829" s="29"/>
      <c r="Y829" s="29"/>
    </row>
    <row r="830">
      <c r="A830" s="29"/>
      <c r="H830" s="17"/>
      <c r="O830" s="16"/>
      <c r="P830" s="29"/>
      <c r="R830" s="16"/>
      <c r="T830" s="29"/>
      <c r="Y830" s="29"/>
    </row>
    <row r="831">
      <c r="A831" s="29"/>
      <c r="H831" s="17"/>
      <c r="O831" s="16"/>
      <c r="P831" s="29"/>
      <c r="R831" s="16"/>
      <c r="T831" s="29"/>
      <c r="Y831" s="29"/>
    </row>
    <row r="832">
      <c r="A832" s="29"/>
      <c r="H832" s="17"/>
      <c r="O832" s="16"/>
      <c r="P832" s="29"/>
      <c r="R832" s="16"/>
      <c r="T832" s="29"/>
      <c r="Y832" s="29"/>
    </row>
    <row r="833">
      <c r="A833" s="29"/>
      <c r="H833" s="17"/>
      <c r="O833" s="16"/>
      <c r="P833" s="29"/>
      <c r="R833" s="16"/>
      <c r="T833" s="29"/>
      <c r="Y833" s="29"/>
    </row>
    <row r="834">
      <c r="A834" s="29"/>
      <c r="H834" s="17"/>
      <c r="O834" s="16"/>
      <c r="P834" s="29"/>
      <c r="R834" s="16"/>
      <c r="T834" s="29"/>
      <c r="Y834" s="29"/>
    </row>
    <row r="835">
      <c r="A835" s="29"/>
      <c r="H835" s="17"/>
      <c r="O835" s="16"/>
      <c r="P835" s="29"/>
      <c r="R835" s="16"/>
      <c r="T835" s="29"/>
      <c r="Y835" s="29"/>
    </row>
    <row r="836">
      <c r="A836" s="29"/>
      <c r="H836" s="17"/>
      <c r="O836" s="16"/>
      <c r="P836" s="29"/>
      <c r="R836" s="16"/>
      <c r="T836" s="29"/>
      <c r="Y836" s="29"/>
    </row>
    <row r="837">
      <c r="A837" s="29"/>
      <c r="H837" s="17"/>
      <c r="O837" s="16"/>
      <c r="P837" s="29"/>
      <c r="R837" s="16"/>
      <c r="T837" s="29"/>
      <c r="Y837" s="29"/>
    </row>
    <row r="838">
      <c r="A838" s="29"/>
      <c r="H838" s="17"/>
      <c r="O838" s="16"/>
      <c r="P838" s="29"/>
      <c r="R838" s="16"/>
      <c r="T838" s="29"/>
      <c r="Y838" s="29"/>
    </row>
    <row r="839">
      <c r="A839" s="29"/>
      <c r="H839" s="17"/>
      <c r="O839" s="16"/>
      <c r="P839" s="29"/>
      <c r="R839" s="16"/>
      <c r="T839" s="29"/>
      <c r="Y839" s="29"/>
    </row>
    <row r="840">
      <c r="A840" s="29"/>
      <c r="H840" s="17"/>
      <c r="O840" s="16"/>
      <c r="P840" s="29"/>
      <c r="R840" s="16"/>
      <c r="T840" s="29"/>
      <c r="Y840" s="29"/>
    </row>
    <row r="841">
      <c r="A841" s="29"/>
      <c r="H841" s="17"/>
      <c r="O841" s="16"/>
      <c r="P841" s="29"/>
      <c r="R841" s="16"/>
      <c r="T841" s="29"/>
      <c r="Y841" s="29"/>
    </row>
    <row r="842">
      <c r="A842" s="29"/>
      <c r="H842" s="17"/>
      <c r="O842" s="16"/>
      <c r="P842" s="29"/>
      <c r="R842" s="16"/>
      <c r="T842" s="29"/>
      <c r="Y842" s="29"/>
    </row>
    <row r="843">
      <c r="A843" s="29"/>
      <c r="H843" s="17"/>
      <c r="O843" s="16"/>
      <c r="P843" s="29"/>
      <c r="R843" s="16"/>
      <c r="T843" s="29"/>
      <c r="Y843" s="29"/>
    </row>
    <row r="844">
      <c r="A844" s="29"/>
      <c r="H844" s="17"/>
      <c r="O844" s="16"/>
      <c r="P844" s="29"/>
      <c r="R844" s="16"/>
      <c r="T844" s="29"/>
      <c r="Y844" s="29"/>
    </row>
    <row r="845">
      <c r="A845" s="29"/>
      <c r="H845" s="17"/>
      <c r="O845" s="16"/>
      <c r="P845" s="29"/>
      <c r="R845" s="16"/>
      <c r="T845" s="29"/>
      <c r="Y845" s="29"/>
    </row>
    <row r="846">
      <c r="A846" s="29"/>
      <c r="H846" s="17"/>
      <c r="O846" s="16"/>
      <c r="P846" s="29"/>
      <c r="R846" s="16"/>
      <c r="T846" s="29"/>
      <c r="Y846" s="29"/>
    </row>
    <row r="847">
      <c r="A847" s="29"/>
      <c r="H847" s="17"/>
      <c r="O847" s="16"/>
      <c r="P847" s="29"/>
      <c r="R847" s="16"/>
      <c r="T847" s="29"/>
      <c r="Y847" s="29"/>
    </row>
    <row r="848">
      <c r="A848" s="29"/>
      <c r="H848" s="17"/>
      <c r="O848" s="16"/>
      <c r="P848" s="29"/>
      <c r="R848" s="16"/>
      <c r="T848" s="29"/>
      <c r="Y848" s="29"/>
    </row>
    <row r="849">
      <c r="A849" s="29"/>
      <c r="H849" s="17"/>
      <c r="O849" s="16"/>
      <c r="P849" s="29"/>
      <c r="R849" s="16"/>
      <c r="T849" s="29"/>
      <c r="Y849" s="29"/>
    </row>
    <row r="850">
      <c r="A850" s="29"/>
      <c r="H850" s="17"/>
      <c r="O850" s="16"/>
      <c r="P850" s="29"/>
      <c r="R850" s="16"/>
      <c r="T850" s="29"/>
      <c r="Y850" s="29"/>
    </row>
    <row r="851">
      <c r="A851" s="29"/>
      <c r="H851" s="17"/>
      <c r="O851" s="16"/>
      <c r="P851" s="29"/>
      <c r="R851" s="16"/>
      <c r="T851" s="29"/>
      <c r="Y851" s="29"/>
    </row>
    <row r="852">
      <c r="A852" s="29"/>
      <c r="H852" s="17"/>
      <c r="O852" s="16"/>
      <c r="P852" s="29"/>
      <c r="R852" s="16"/>
      <c r="T852" s="29"/>
      <c r="Y852" s="29"/>
    </row>
    <row r="853">
      <c r="A853" s="29"/>
      <c r="H853" s="17"/>
      <c r="O853" s="16"/>
      <c r="P853" s="29"/>
      <c r="R853" s="16"/>
      <c r="T853" s="29"/>
      <c r="Y853" s="29"/>
    </row>
    <row r="854">
      <c r="A854" s="29"/>
      <c r="H854" s="17"/>
      <c r="O854" s="16"/>
      <c r="P854" s="29"/>
      <c r="R854" s="16"/>
      <c r="T854" s="29"/>
      <c r="Y854" s="29"/>
    </row>
    <row r="855">
      <c r="A855" s="29"/>
      <c r="H855" s="17"/>
      <c r="O855" s="16"/>
      <c r="P855" s="29"/>
      <c r="R855" s="16"/>
      <c r="T855" s="29"/>
      <c r="Y855" s="29"/>
    </row>
    <row r="856">
      <c r="A856" s="29"/>
      <c r="H856" s="17"/>
      <c r="O856" s="16"/>
      <c r="P856" s="29"/>
      <c r="R856" s="16"/>
      <c r="T856" s="29"/>
      <c r="Y856" s="29"/>
    </row>
    <row r="857">
      <c r="A857" s="29"/>
      <c r="H857" s="17"/>
      <c r="O857" s="16"/>
      <c r="P857" s="29"/>
      <c r="R857" s="16"/>
      <c r="T857" s="29"/>
      <c r="Y857" s="29"/>
    </row>
    <row r="858">
      <c r="A858" s="29"/>
      <c r="H858" s="17"/>
      <c r="O858" s="16"/>
      <c r="P858" s="29"/>
      <c r="R858" s="16"/>
      <c r="T858" s="29"/>
      <c r="Y858" s="29"/>
    </row>
    <row r="859">
      <c r="A859" s="29"/>
      <c r="H859" s="17"/>
      <c r="O859" s="16"/>
      <c r="P859" s="29"/>
      <c r="R859" s="16"/>
      <c r="T859" s="29"/>
      <c r="Y859" s="29"/>
    </row>
    <row r="860">
      <c r="A860" s="29"/>
      <c r="H860" s="17"/>
      <c r="O860" s="16"/>
      <c r="P860" s="29"/>
      <c r="R860" s="16"/>
      <c r="T860" s="29"/>
      <c r="Y860" s="29"/>
    </row>
    <row r="861">
      <c r="A861" s="29"/>
      <c r="H861" s="17"/>
      <c r="O861" s="16"/>
      <c r="P861" s="29"/>
      <c r="R861" s="16"/>
      <c r="T861" s="29"/>
      <c r="Y861" s="29"/>
    </row>
    <row r="862">
      <c r="A862" s="29"/>
      <c r="H862" s="17"/>
      <c r="O862" s="16"/>
      <c r="P862" s="29"/>
      <c r="R862" s="16"/>
      <c r="T862" s="29"/>
      <c r="Y862" s="29"/>
    </row>
    <row r="863">
      <c r="A863" s="29"/>
      <c r="H863" s="17"/>
      <c r="O863" s="16"/>
      <c r="P863" s="29"/>
      <c r="R863" s="16"/>
      <c r="T863" s="29"/>
      <c r="Y863" s="29"/>
    </row>
    <row r="864">
      <c r="A864" s="29"/>
      <c r="H864" s="17"/>
      <c r="O864" s="16"/>
      <c r="P864" s="29"/>
      <c r="R864" s="16"/>
      <c r="T864" s="29"/>
      <c r="Y864" s="29"/>
    </row>
    <row r="865">
      <c r="A865" s="29"/>
      <c r="H865" s="17"/>
      <c r="O865" s="16"/>
      <c r="P865" s="29"/>
      <c r="R865" s="16"/>
      <c r="T865" s="29"/>
      <c r="Y865" s="29"/>
    </row>
    <row r="866">
      <c r="A866" s="29"/>
      <c r="H866" s="17"/>
      <c r="O866" s="16"/>
      <c r="P866" s="29"/>
      <c r="R866" s="16"/>
      <c r="T866" s="29"/>
      <c r="Y866" s="29"/>
    </row>
    <row r="867">
      <c r="A867" s="29"/>
      <c r="H867" s="17"/>
      <c r="O867" s="16"/>
      <c r="P867" s="29"/>
      <c r="R867" s="16"/>
      <c r="T867" s="29"/>
      <c r="Y867" s="29"/>
    </row>
    <row r="868">
      <c r="A868" s="29"/>
      <c r="H868" s="17"/>
      <c r="O868" s="16"/>
      <c r="P868" s="29"/>
      <c r="R868" s="16"/>
      <c r="T868" s="29"/>
      <c r="Y868" s="29"/>
    </row>
    <row r="869">
      <c r="A869" s="29"/>
      <c r="H869" s="17"/>
      <c r="O869" s="16"/>
      <c r="P869" s="29"/>
      <c r="R869" s="16"/>
      <c r="T869" s="29"/>
      <c r="Y869" s="29"/>
    </row>
    <row r="870">
      <c r="A870" s="29"/>
      <c r="H870" s="17"/>
      <c r="O870" s="16"/>
      <c r="P870" s="29"/>
      <c r="R870" s="16"/>
      <c r="T870" s="29"/>
      <c r="Y870" s="29"/>
    </row>
    <row r="871">
      <c r="A871" s="29"/>
      <c r="H871" s="17"/>
      <c r="O871" s="16"/>
      <c r="P871" s="29"/>
      <c r="R871" s="16"/>
      <c r="T871" s="29"/>
      <c r="Y871" s="29"/>
    </row>
    <row r="872">
      <c r="A872" s="29"/>
      <c r="H872" s="17"/>
      <c r="O872" s="16"/>
      <c r="P872" s="29"/>
      <c r="R872" s="16"/>
      <c r="T872" s="29"/>
      <c r="Y872" s="29"/>
    </row>
    <row r="873">
      <c r="A873" s="29"/>
      <c r="H873" s="17"/>
      <c r="O873" s="16"/>
      <c r="P873" s="29"/>
      <c r="R873" s="16"/>
      <c r="T873" s="29"/>
      <c r="Y873" s="29"/>
    </row>
    <row r="874">
      <c r="A874" s="29"/>
      <c r="H874" s="17"/>
      <c r="O874" s="16"/>
      <c r="P874" s="29"/>
      <c r="R874" s="16"/>
      <c r="T874" s="29"/>
      <c r="Y874" s="29"/>
    </row>
    <row r="875">
      <c r="A875" s="29"/>
      <c r="H875" s="17"/>
      <c r="O875" s="16"/>
      <c r="P875" s="29"/>
      <c r="R875" s="16"/>
      <c r="T875" s="29"/>
      <c r="Y875" s="29"/>
    </row>
    <row r="876">
      <c r="A876" s="29"/>
      <c r="H876" s="17"/>
      <c r="O876" s="16"/>
      <c r="P876" s="29"/>
      <c r="R876" s="16"/>
      <c r="T876" s="29"/>
      <c r="Y876" s="29"/>
    </row>
    <row r="877">
      <c r="A877" s="29"/>
      <c r="H877" s="17"/>
      <c r="O877" s="16"/>
      <c r="P877" s="29"/>
      <c r="R877" s="16"/>
      <c r="T877" s="29"/>
      <c r="Y877" s="29"/>
    </row>
    <row r="878">
      <c r="A878" s="29"/>
      <c r="H878" s="17"/>
      <c r="O878" s="16"/>
      <c r="P878" s="29"/>
      <c r="R878" s="16"/>
      <c r="T878" s="29"/>
      <c r="Y878" s="29"/>
    </row>
    <row r="879">
      <c r="A879" s="29"/>
      <c r="H879" s="17"/>
      <c r="O879" s="16"/>
      <c r="P879" s="29"/>
      <c r="R879" s="16"/>
      <c r="T879" s="29"/>
      <c r="Y879" s="29"/>
    </row>
    <row r="880">
      <c r="A880" s="29"/>
      <c r="H880" s="17"/>
      <c r="O880" s="16"/>
      <c r="P880" s="29"/>
      <c r="R880" s="16"/>
      <c r="T880" s="29"/>
      <c r="Y880" s="29"/>
    </row>
    <row r="881">
      <c r="A881" s="29"/>
      <c r="H881" s="17"/>
      <c r="O881" s="16"/>
      <c r="P881" s="29"/>
      <c r="R881" s="16"/>
      <c r="T881" s="29"/>
      <c r="Y881" s="29"/>
    </row>
    <row r="882">
      <c r="A882" s="29"/>
      <c r="H882" s="17"/>
      <c r="O882" s="16"/>
      <c r="P882" s="29"/>
      <c r="R882" s="16"/>
      <c r="T882" s="29"/>
      <c r="Y882" s="29"/>
    </row>
    <row r="883">
      <c r="A883" s="29"/>
      <c r="H883" s="17"/>
      <c r="O883" s="16"/>
      <c r="P883" s="29"/>
      <c r="R883" s="16"/>
      <c r="T883" s="29"/>
      <c r="Y883" s="29"/>
    </row>
    <row r="884">
      <c r="A884" s="29"/>
      <c r="H884" s="17"/>
      <c r="O884" s="16"/>
      <c r="P884" s="29"/>
      <c r="R884" s="16"/>
      <c r="T884" s="29"/>
      <c r="Y884" s="29"/>
    </row>
    <row r="885">
      <c r="A885" s="29"/>
      <c r="H885" s="17"/>
      <c r="O885" s="16"/>
      <c r="P885" s="29"/>
      <c r="R885" s="16"/>
      <c r="T885" s="29"/>
      <c r="Y885" s="29"/>
    </row>
    <row r="886">
      <c r="A886" s="29"/>
      <c r="H886" s="17"/>
      <c r="O886" s="16"/>
      <c r="P886" s="29"/>
      <c r="R886" s="16"/>
      <c r="T886" s="29"/>
      <c r="Y886" s="29"/>
    </row>
    <row r="887">
      <c r="A887" s="29"/>
      <c r="H887" s="17"/>
      <c r="O887" s="16"/>
      <c r="P887" s="29"/>
      <c r="R887" s="16"/>
      <c r="T887" s="29"/>
      <c r="Y887" s="29"/>
    </row>
    <row r="888">
      <c r="A888" s="29"/>
      <c r="H888" s="17"/>
      <c r="O888" s="16"/>
      <c r="P888" s="29"/>
      <c r="R888" s="16"/>
      <c r="T888" s="29"/>
      <c r="Y888" s="29"/>
    </row>
    <row r="889">
      <c r="A889" s="29"/>
      <c r="H889" s="17"/>
      <c r="O889" s="16"/>
      <c r="P889" s="29"/>
      <c r="R889" s="16"/>
      <c r="T889" s="29"/>
      <c r="Y889" s="29"/>
    </row>
    <row r="890">
      <c r="A890" s="29"/>
      <c r="H890" s="17"/>
      <c r="O890" s="16"/>
      <c r="P890" s="29"/>
      <c r="R890" s="16"/>
      <c r="T890" s="29"/>
      <c r="Y890" s="29"/>
    </row>
    <row r="891">
      <c r="A891" s="29"/>
      <c r="H891" s="17"/>
      <c r="O891" s="16"/>
      <c r="P891" s="29"/>
      <c r="R891" s="16"/>
      <c r="T891" s="29"/>
      <c r="Y891" s="29"/>
    </row>
    <row r="892">
      <c r="A892" s="29"/>
      <c r="H892" s="17"/>
      <c r="O892" s="16"/>
      <c r="P892" s="29"/>
      <c r="R892" s="16"/>
      <c r="T892" s="29"/>
      <c r="Y892" s="29"/>
    </row>
    <row r="893">
      <c r="A893" s="29"/>
      <c r="H893" s="17"/>
      <c r="O893" s="16"/>
      <c r="P893" s="29"/>
      <c r="R893" s="16"/>
      <c r="T893" s="29"/>
      <c r="Y893" s="29"/>
    </row>
    <row r="894">
      <c r="A894" s="29"/>
      <c r="H894" s="17"/>
      <c r="O894" s="16"/>
      <c r="P894" s="29"/>
      <c r="R894" s="16"/>
      <c r="T894" s="29"/>
      <c r="Y894" s="29"/>
    </row>
    <row r="895">
      <c r="A895" s="29"/>
      <c r="H895" s="17"/>
      <c r="O895" s="16"/>
      <c r="P895" s="29"/>
      <c r="R895" s="16"/>
      <c r="T895" s="29"/>
      <c r="Y895" s="29"/>
    </row>
    <row r="896">
      <c r="A896" s="29"/>
      <c r="H896" s="17"/>
      <c r="O896" s="16"/>
      <c r="P896" s="29"/>
      <c r="R896" s="16"/>
      <c r="T896" s="29"/>
      <c r="Y896" s="29"/>
    </row>
    <row r="897">
      <c r="A897" s="29"/>
      <c r="H897" s="17"/>
      <c r="O897" s="16"/>
      <c r="P897" s="29"/>
      <c r="R897" s="16"/>
      <c r="T897" s="29"/>
      <c r="Y897" s="29"/>
    </row>
    <row r="898">
      <c r="A898" s="29"/>
      <c r="H898" s="17"/>
      <c r="O898" s="16"/>
      <c r="P898" s="29"/>
      <c r="R898" s="16"/>
      <c r="T898" s="29"/>
      <c r="Y898" s="29"/>
    </row>
    <row r="899">
      <c r="A899" s="29"/>
      <c r="H899" s="17"/>
      <c r="O899" s="16"/>
      <c r="P899" s="29"/>
      <c r="R899" s="16"/>
      <c r="T899" s="29"/>
      <c r="Y899" s="29"/>
    </row>
    <row r="900">
      <c r="A900" s="29"/>
      <c r="H900" s="17"/>
      <c r="O900" s="16"/>
      <c r="P900" s="29"/>
      <c r="R900" s="16"/>
      <c r="T900" s="29"/>
      <c r="Y900" s="29"/>
    </row>
    <row r="901">
      <c r="A901" s="29"/>
      <c r="H901" s="17"/>
      <c r="O901" s="16"/>
      <c r="P901" s="29"/>
      <c r="R901" s="16"/>
      <c r="T901" s="29"/>
      <c r="Y901" s="29"/>
    </row>
    <row r="902">
      <c r="A902" s="29"/>
      <c r="H902" s="17"/>
      <c r="O902" s="16"/>
      <c r="P902" s="29"/>
      <c r="R902" s="16"/>
      <c r="T902" s="29"/>
      <c r="Y902" s="29"/>
    </row>
    <row r="903">
      <c r="A903" s="29"/>
      <c r="H903" s="17"/>
      <c r="O903" s="16"/>
      <c r="P903" s="29"/>
      <c r="R903" s="16"/>
      <c r="T903" s="29"/>
      <c r="Y903" s="29"/>
    </row>
    <row r="904">
      <c r="A904" s="29"/>
      <c r="H904" s="17"/>
      <c r="O904" s="16"/>
      <c r="P904" s="29"/>
      <c r="R904" s="16"/>
      <c r="T904" s="29"/>
      <c r="Y904" s="29"/>
    </row>
    <row r="905">
      <c r="A905" s="29"/>
      <c r="H905" s="17"/>
      <c r="O905" s="16"/>
      <c r="P905" s="29"/>
      <c r="R905" s="16"/>
      <c r="T905" s="29"/>
      <c r="Y905" s="29"/>
    </row>
    <row r="906">
      <c r="A906" s="29"/>
      <c r="H906" s="17"/>
      <c r="O906" s="16"/>
      <c r="P906" s="29"/>
      <c r="R906" s="16"/>
      <c r="T906" s="29"/>
      <c r="Y906" s="29"/>
    </row>
    <row r="907">
      <c r="A907" s="29"/>
      <c r="H907" s="17"/>
      <c r="O907" s="16"/>
      <c r="P907" s="29"/>
      <c r="R907" s="16"/>
      <c r="T907" s="29"/>
      <c r="Y907" s="29"/>
    </row>
    <row r="908">
      <c r="A908" s="29"/>
      <c r="H908" s="17"/>
      <c r="O908" s="16"/>
      <c r="P908" s="29"/>
      <c r="R908" s="16"/>
      <c r="T908" s="29"/>
      <c r="Y908" s="29"/>
    </row>
    <row r="909">
      <c r="A909" s="29"/>
      <c r="H909" s="17"/>
      <c r="O909" s="16"/>
      <c r="P909" s="29"/>
      <c r="R909" s="16"/>
      <c r="T909" s="29"/>
      <c r="Y909" s="29"/>
    </row>
    <row r="910">
      <c r="A910" s="29"/>
      <c r="H910" s="17"/>
      <c r="O910" s="16"/>
      <c r="P910" s="29"/>
      <c r="R910" s="16"/>
      <c r="T910" s="29"/>
      <c r="Y910" s="29"/>
    </row>
    <row r="911">
      <c r="A911" s="29"/>
      <c r="H911" s="17"/>
      <c r="O911" s="16"/>
      <c r="P911" s="29"/>
      <c r="R911" s="16"/>
      <c r="T911" s="29"/>
      <c r="Y911" s="29"/>
    </row>
    <row r="912">
      <c r="A912" s="29"/>
      <c r="H912" s="17"/>
      <c r="O912" s="16"/>
      <c r="P912" s="29"/>
      <c r="R912" s="16"/>
      <c r="T912" s="29"/>
      <c r="Y912" s="29"/>
    </row>
    <row r="913">
      <c r="A913" s="29"/>
      <c r="H913" s="17"/>
      <c r="O913" s="16"/>
      <c r="P913" s="29"/>
      <c r="R913" s="16"/>
      <c r="T913" s="29"/>
      <c r="Y913" s="29"/>
    </row>
    <row r="914">
      <c r="A914" s="29"/>
      <c r="H914" s="17"/>
      <c r="O914" s="16"/>
      <c r="P914" s="29"/>
      <c r="R914" s="16"/>
      <c r="T914" s="29"/>
      <c r="Y914" s="29"/>
    </row>
    <row r="915">
      <c r="A915" s="29"/>
      <c r="H915" s="17"/>
      <c r="O915" s="16"/>
      <c r="P915" s="29"/>
      <c r="R915" s="16"/>
      <c r="T915" s="29"/>
      <c r="Y915" s="29"/>
    </row>
    <row r="916">
      <c r="A916" s="29"/>
      <c r="H916" s="17"/>
      <c r="O916" s="16"/>
      <c r="P916" s="29"/>
      <c r="R916" s="16"/>
      <c r="T916" s="29"/>
      <c r="Y916" s="29"/>
    </row>
    <row r="917">
      <c r="A917" s="29"/>
      <c r="H917" s="17"/>
      <c r="O917" s="16"/>
      <c r="P917" s="29"/>
      <c r="R917" s="16"/>
      <c r="T917" s="29"/>
      <c r="Y917" s="29"/>
    </row>
    <row r="918">
      <c r="A918" s="29"/>
      <c r="H918" s="17"/>
      <c r="O918" s="16"/>
      <c r="P918" s="29"/>
      <c r="R918" s="16"/>
      <c r="T918" s="29"/>
      <c r="Y918" s="29"/>
    </row>
    <row r="919">
      <c r="A919" s="29"/>
      <c r="H919" s="17"/>
      <c r="O919" s="16"/>
      <c r="P919" s="29"/>
      <c r="R919" s="16"/>
      <c r="T919" s="29"/>
      <c r="Y919" s="29"/>
    </row>
    <row r="920">
      <c r="A920" s="29"/>
      <c r="H920" s="17"/>
      <c r="O920" s="16"/>
      <c r="P920" s="29"/>
      <c r="R920" s="16"/>
      <c r="T920" s="29"/>
      <c r="Y920" s="29"/>
    </row>
    <row r="921">
      <c r="A921" s="29"/>
      <c r="H921" s="17"/>
      <c r="O921" s="16"/>
      <c r="P921" s="29"/>
      <c r="R921" s="16"/>
      <c r="T921" s="29"/>
      <c r="Y921" s="29"/>
    </row>
    <row r="922">
      <c r="A922" s="29"/>
      <c r="H922" s="17"/>
      <c r="O922" s="16"/>
      <c r="P922" s="29"/>
      <c r="R922" s="16"/>
      <c r="T922" s="29"/>
      <c r="Y922" s="29"/>
    </row>
    <row r="923">
      <c r="A923" s="29"/>
      <c r="H923" s="17"/>
      <c r="O923" s="16"/>
      <c r="P923" s="29"/>
      <c r="R923" s="16"/>
      <c r="T923" s="29"/>
      <c r="Y923" s="29"/>
    </row>
    <row r="924">
      <c r="A924" s="29"/>
      <c r="H924" s="17"/>
      <c r="O924" s="16"/>
      <c r="P924" s="29"/>
      <c r="R924" s="16"/>
      <c r="T924" s="29"/>
      <c r="Y924" s="29"/>
    </row>
    <row r="925">
      <c r="A925" s="29"/>
      <c r="H925" s="17"/>
      <c r="O925" s="16"/>
      <c r="P925" s="29"/>
      <c r="R925" s="16"/>
      <c r="T925" s="29"/>
      <c r="Y925" s="29"/>
    </row>
    <row r="926">
      <c r="A926" s="29"/>
      <c r="H926" s="17"/>
      <c r="O926" s="16"/>
      <c r="P926" s="29"/>
      <c r="R926" s="16"/>
      <c r="T926" s="29"/>
      <c r="Y926" s="29"/>
    </row>
    <row r="927">
      <c r="A927" s="29"/>
      <c r="H927" s="17"/>
      <c r="O927" s="16"/>
      <c r="P927" s="29"/>
      <c r="R927" s="16"/>
      <c r="T927" s="29"/>
      <c r="Y927" s="29"/>
    </row>
    <row r="928">
      <c r="A928" s="29"/>
      <c r="H928" s="17"/>
      <c r="O928" s="16"/>
      <c r="P928" s="29"/>
      <c r="R928" s="16"/>
      <c r="T928" s="29"/>
      <c r="Y928" s="29"/>
    </row>
    <row r="929">
      <c r="A929" s="29"/>
      <c r="H929" s="17"/>
      <c r="O929" s="16"/>
      <c r="P929" s="29"/>
      <c r="R929" s="16"/>
      <c r="T929" s="29"/>
      <c r="Y929" s="29"/>
    </row>
    <row r="930">
      <c r="A930" s="29"/>
      <c r="H930" s="17"/>
      <c r="O930" s="16"/>
      <c r="P930" s="29"/>
      <c r="R930" s="16"/>
      <c r="T930" s="29"/>
      <c r="Y930" s="29"/>
    </row>
    <row r="931">
      <c r="A931" s="29"/>
      <c r="H931" s="17"/>
      <c r="O931" s="16"/>
      <c r="P931" s="29"/>
      <c r="R931" s="16"/>
      <c r="T931" s="29"/>
      <c r="Y931" s="29"/>
    </row>
    <row r="932">
      <c r="A932" s="29"/>
      <c r="H932" s="17"/>
      <c r="O932" s="16"/>
      <c r="P932" s="29"/>
      <c r="R932" s="16"/>
      <c r="T932" s="29"/>
      <c r="Y932" s="29"/>
    </row>
    <row r="933">
      <c r="A933" s="29"/>
      <c r="H933" s="17"/>
      <c r="O933" s="16"/>
      <c r="P933" s="29"/>
      <c r="R933" s="16"/>
      <c r="T933" s="29"/>
      <c r="Y933" s="29"/>
    </row>
    <row r="934">
      <c r="A934" s="29"/>
      <c r="H934" s="17"/>
      <c r="O934" s="16"/>
      <c r="P934" s="29"/>
      <c r="R934" s="16"/>
      <c r="T934" s="29"/>
      <c r="Y934" s="29"/>
    </row>
    <row r="935">
      <c r="A935" s="29"/>
      <c r="H935" s="17"/>
      <c r="O935" s="16"/>
      <c r="P935" s="29"/>
      <c r="R935" s="16"/>
      <c r="T935" s="29"/>
      <c r="Y935" s="29"/>
    </row>
    <row r="936">
      <c r="A936" s="29"/>
      <c r="H936" s="17"/>
      <c r="O936" s="16"/>
      <c r="P936" s="29"/>
      <c r="R936" s="16"/>
      <c r="T936" s="29"/>
      <c r="Y936" s="29"/>
    </row>
    <row r="937">
      <c r="A937" s="29"/>
      <c r="H937" s="17"/>
      <c r="O937" s="16"/>
      <c r="P937" s="29"/>
      <c r="R937" s="16"/>
      <c r="T937" s="29"/>
      <c r="Y937" s="29"/>
    </row>
    <row r="938">
      <c r="A938" s="29"/>
      <c r="H938" s="17"/>
      <c r="O938" s="16"/>
      <c r="P938" s="29"/>
      <c r="R938" s="16"/>
      <c r="T938" s="29"/>
      <c r="Y938" s="29"/>
    </row>
    <row r="939">
      <c r="A939" s="29"/>
      <c r="H939" s="17"/>
      <c r="O939" s="16"/>
      <c r="P939" s="29"/>
      <c r="R939" s="16"/>
      <c r="T939" s="29"/>
      <c r="Y939" s="29"/>
    </row>
    <row r="940">
      <c r="A940" s="29"/>
      <c r="H940" s="17"/>
      <c r="O940" s="16"/>
      <c r="P940" s="29"/>
      <c r="R940" s="16"/>
      <c r="T940" s="29"/>
      <c r="Y940" s="29"/>
    </row>
    <row r="941">
      <c r="A941" s="29"/>
      <c r="H941" s="17"/>
      <c r="O941" s="16"/>
      <c r="P941" s="29"/>
      <c r="R941" s="16"/>
      <c r="T941" s="29"/>
      <c r="Y941" s="29"/>
    </row>
    <row r="942">
      <c r="A942" s="29"/>
      <c r="H942" s="17"/>
      <c r="O942" s="16"/>
      <c r="P942" s="29"/>
      <c r="R942" s="16"/>
      <c r="T942" s="29"/>
      <c r="Y942" s="29"/>
    </row>
    <row r="943">
      <c r="A943" s="29"/>
      <c r="H943" s="17"/>
      <c r="O943" s="16"/>
      <c r="P943" s="29"/>
      <c r="R943" s="16"/>
      <c r="T943" s="29"/>
      <c r="Y943" s="29"/>
    </row>
    <row r="944">
      <c r="A944" s="29"/>
      <c r="H944" s="17"/>
      <c r="O944" s="16"/>
      <c r="P944" s="29"/>
      <c r="R944" s="16"/>
      <c r="T944" s="29"/>
      <c r="Y944" s="29"/>
    </row>
    <row r="945">
      <c r="A945" s="29"/>
      <c r="H945" s="17"/>
      <c r="O945" s="16"/>
      <c r="P945" s="29"/>
      <c r="R945" s="16"/>
      <c r="T945" s="29"/>
      <c r="Y945" s="29"/>
    </row>
    <row r="946">
      <c r="A946" s="29"/>
      <c r="H946" s="17"/>
      <c r="O946" s="16"/>
      <c r="P946" s="29"/>
      <c r="R946" s="16"/>
      <c r="T946" s="29"/>
      <c r="Y946" s="29"/>
    </row>
    <row r="947">
      <c r="A947" s="29"/>
      <c r="H947" s="17"/>
      <c r="O947" s="16"/>
      <c r="P947" s="29"/>
      <c r="R947" s="16"/>
      <c r="T947" s="29"/>
      <c r="Y947" s="29"/>
    </row>
    <row r="948">
      <c r="A948" s="29"/>
      <c r="H948" s="17"/>
      <c r="O948" s="16"/>
      <c r="P948" s="29"/>
      <c r="R948" s="16"/>
      <c r="T948" s="29"/>
      <c r="Y948" s="29"/>
    </row>
    <row r="949">
      <c r="A949" s="29"/>
      <c r="H949" s="17"/>
      <c r="O949" s="16"/>
      <c r="P949" s="29"/>
      <c r="R949" s="16"/>
      <c r="T949" s="29"/>
      <c r="Y949" s="29"/>
    </row>
    <row r="950">
      <c r="A950" s="29"/>
      <c r="H950" s="17"/>
      <c r="O950" s="16"/>
      <c r="P950" s="29"/>
      <c r="R950" s="16"/>
      <c r="T950" s="29"/>
      <c r="Y950" s="29"/>
    </row>
    <row r="951">
      <c r="A951" s="29"/>
      <c r="H951" s="17"/>
      <c r="O951" s="16"/>
      <c r="P951" s="29"/>
      <c r="R951" s="16"/>
      <c r="T951" s="29"/>
      <c r="Y951" s="29"/>
    </row>
    <row r="952">
      <c r="A952" s="29"/>
      <c r="H952" s="17"/>
      <c r="O952" s="16"/>
      <c r="P952" s="29"/>
      <c r="R952" s="16"/>
      <c r="T952" s="29"/>
      <c r="Y952" s="29"/>
    </row>
    <row r="953">
      <c r="A953" s="29"/>
      <c r="H953" s="17"/>
      <c r="O953" s="16"/>
      <c r="P953" s="29"/>
      <c r="R953" s="16"/>
      <c r="T953" s="29"/>
      <c r="Y953" s="29"/>
    </row>
    <row r="954">
      <c r="A954" s="29"/>
      <c r="H954" s="17"/>
      <c r="O954" s="16"/>
      <c r="P954" s="29"/>
      <c r="R954" s="16"/>
      <c r="T954" s="29"/>
      <c r="Y954" s="29"/>
    </row>
    <row r="955">
      <c r="A955" s="29"/>
      <c r="H955" s="17"/>
      <c r="O955" s="16"/>
      <c r="P955" s="29"/>
      <c r="R955" s="16"/>
      <c r="T955" s="29"/>
      <c r="Y955" s="29"/>
    </row>
    <row r="956">
      <c r="A956" s="29"/>
      <c r="H956" s="17"/>
      <c r="O956" s="16"/>
      <c r="P956" s="29"/>
      <c r="R956" s="16"/>
      <c r="T956" s="29"/>
      <c r="Y956" s="29"/>
    </row>
    <row r="957">
      <c r="A957" s="29"/>
      <c r="H957" s="17"/>
      <c r="O957" s="16"/>
      <c r="P957" s="29"/>
      <c r="R957" s="16"/>
      <c r="T957" s="29"/>
      <c r="Y957" s="29"/>
    </row>
    <row r="958">
      <c r="A958" s="29"/>
      <c r="H958" s="17"/>
      <c r="O958" s="16"/>
      <c r="P958" s="29"/>
      <c r="R958" s="16"/>
      <c r="T958" s="29"/>
      <c r="Y958" s="29"/>
    </row>
    <row r="959">
      <c r="A959" s="29"/>
      <c r="H959" s="17"/>
      <c r="O959" s="16"/>
      <c r="P959" s="29"/>
      <c r="R959" s="16"/>
      <c r="T959" s="29"/>
      <c r="Y959" s="29"/>
    </row>
    <row r="960">
      <c r="A960" s="29"/>
      <c r="H960" s="17"/>
      <c r="O960" s="16"/>
      <c r="P960" s="29"/>
      <c r="R960" s="16"/>
      <c r="T960" s="29"/>
      <c r="Y960" s="29"/>
    </row>
    <row r="961">
      <c r="A961" s="29"/>
      <c r="H961" s="17"/>
      <c r="O961" s="16"/>
      <c r="P961" s="29"/>
      <c r="R961" s="16"/>
      <c r="T961" s="29"/>
      <c r="Y961" s="29"/>
    </row>
    <row r="962">
      <c r="A962" s="29"/>
      <c r="H962" s="17"/>
      <c r="O962" s="16"/>
      <c r="P962" s="29"/>
      <c r="R962" s="16"/>
      <c r="T962" s="29"/>
      <c r="Y962" s="29"/>
    </row>
    <row r="963">
      <c r="A963" s="29"/>
      <c r="H963" s="17"/>
      <c r="O963" s="16"/>
      <c r="P963" s="29"/>
      <c r="R963" s="16"/>
      <c r="T963" s="29"/>
      <c r="Y963" s="29"/>
    </row>
    <row r="964">
      <c r="A964" s="29"/>
      <c r="H964" s="17"/>
      <c r="O964" s="16"/>
      <c r="P964" s="29"/>
      <c r="R964" s="16"/>
      <c r="T964" s="29"/>
      <c r="Y964" s="29"/>
    </row>
    <row r="965">
      <c r="A965" s="29"/>
      <c r="H965" s="17"/>
      <c r="O965" s="16"/>
      <c r="P965" s="29"/>
      <c r="R965" s="16"/>
      <c r="T965" s="29"/>
      <c r="Y965" s="29"/>
    </row>
    <row r="966">
      <c r="A966" s="29"/>
      <c r="H966" s="17"/>
      <c r="O966" s="16"/>
      <c r="P966" s="29"/>
      <c r="R966" s="16"/>
      <c r="T966" s="29"/>
      <c r="Y966" s="29"/>
    </row>
    <row r="967">
      <c r="A967" s="29"/>
      <c r="H967" s="17"/>
      <c r="O967" s="16"/>
      <c r="P967" s="29"/>
      <c r="R967" s="16"/>
      <c r="T967" s="29"/>
      <c r="Y967" s="29"/>
    </row>
    <row r="968">
      <c r="A968" s="29"/>
      <c r="H968" s="17"/>
      <c r="O968" s="16"/>
      <c r="P968" s="29"/>
      <c r="R968" s="16"/>
      <c r="T968" s="29"/>
      <c r="Y968" s="29"/>
    </row>
    <row r="969">
      <c r="A969" s="29"/>
      <c r="H969" s="17"/>
      <c r="O969" s="16"/>
      <c r="P969" s="29"/>
      <c r="R969" s="16"/>
      <c r="T969" s="29"/>
      <c r="Y969" s="29"/>
    </row>
    <row r="970">
      <c r="A970" s="29"/>
      <c r="H970" s="17"/>
      <c r="O970" s="16"/>
      <c r="P970" s="29"/>
      <c r="R970" s="16"/>
      <c r="T970" s="29"/>
      <c r="Y970" s="29"/>
    </row>
    <row r="971">
      <c r="A971" s="29"/>
      <c r="H971" s="17"/>
      <c r="O971" s="16"/>
      <c r="P971" s="29"/>
      <c r="R971" s="16"/>
      <c r="T971" s="29"/>
      <c r="Y971" s="29"/>
    </row>
    <row r="972">
      <c r="A972" s="29"/>
      <c r="H972" s="17"/>
      <c r="O972" s="16"/>
      <c r="P972" s="29"/>
      <c r="R972" s="16"/>
      <c r="T972" s="29"/>
      <c r="Y972" s="29"/>
    </row>
    <row r="973">
      <c r="A973" s="29"/>
      <c r="H973" s="17"/>
      <c r="O973" s="16"/>
      <c r="P973" s="29"/>
      <c r="R973" s="16"/>
      <c r="T973" s="29"/>
      <c r="Y973" s="29"/>
    </row>
    <row r="974">
      <c r="A974" s="29"/>
      <c r="H974" s="17"/>
      <c r="O974" s="16"/>
      <c r="P974" s="29"/>
      <c r="R974" s="16"/>
      <c r="T974" s="29"/>
      <c r="Y974" s="29"/>
    </row>
    <row r="975">
      <c r="A975" s="29"/>
      <c r="H975" s="17"/>
      <c r="O975" s="16"/>
      <c r="P975" s="29"/>
      <c r="R975" s="16"/>
      <c r="T975" s="29"/>
      <c r="Y975" s="29"/>
    </row>
    <row r="976">
      <c r="A976" s="29"/>
      <c r="H976" s="17"/>
      <c r="O976" s="16"/>
      <c r="P976" s="29"/>
      <c r="R976" s="16"/>
      <c r="T976" s="29"/>
      <c r="Y976" s="29"/>
    </row>
    <row r="977">
      <c r="A977" s="29"/>
      <c r="H977" s="17"/>
      <c r="O977" s="16"/>
      <c r="P977" s="29"/>
      <c r="R977" s="16"/>
      <c r="T977" s="29"/>
      <c r="Y977" s="29"/>
    </row>
    <row r="978">
      <c r="A978" s="29"/>
      <c r="H978" s="17"/>
      <c r="O978" s="16"/>
      <c r="P978" s="29"/>
      <c r="R978" s="16"/>
      <c r="T978" s="29"/>
      <c r="Y978" s="29"/>
    </row>
    <row r="979">
      <c r="A979" s="29"/>
      <c r="H979" s="17"/>
      <c r="O979" s="16"/>
      <c r="P979" s="29"/>
      <c r="R979" s="16"/>
      <c r="T979" s="29"/>
      <c r="Y979" s="29"/>
    </row>
    <row r="980">
      <c r="A980" s="29"/>
      <c r="H980" s="17"/>
      <c r="O980" s="16"/>
      <c r="P980" s="29"/>
      <c r="R980" s="16"/>
      <c r="T980" s="29"/>
      <c r="Y980" s="29"/>
    </row>
    <row r="981">
      <c r="A981" s="29"/>
      <c r="H981" s="17"/>
      <c r="O981" s="16"/>
      <c r="P981" s="29"/>
      <c r="R981" s="16"/>
      <c r="T981" s="29"/>
      <c r="Y981" s="29"/>
    </row>
    <row r="982">
      <c r="A982" s="29"/>
      <c r="H982" s="17"/>
      <c r="O982" s="16"/>
      <c r="P982" s="29"/>
      <c r="R982" s="16"/>
      <c r="T982" s="29"/>
      <c r="Y982" s="29"/>
    </row>
    <row r="983">
      <c r="A983" s="29"/>
      <c r="H983" s="17"/>
      <c r="O983" s="16"/>
      <c r="P983" s="29"/>
      <c r="R983" s="16"/>
      <c r="T983" s="29"/>
      <c r="Y983" s="29"/>
    </row>
    <row r="984">
      <c r="A984" s="29"/>
      <c r="H984" s="17"/>
      <c r="O984" s="16"/>
      <c r="P984" s="29"/>
      <c r="R984" s="16"/>
      <c r="T984" s="29"/>
      <c r="Y984" s="29"/>
    </row>
    <row r="985">
      <c r="A985" s="29"/>
      <c r="H985" s="17"/>
      <c r="O985" s="16"/>
      <c r="P985" s="29"/>
      <c r="R985" s="16"/>
      <c r="T985" s="29"/>
      <c r="Y985" s="29"/>
    </row>
    <row r="986">
      <c r="A986" s="29"/>
      <c r="H986" s="17"/>
      <c r="O986" s="16"/>
      <c r="P986" s="29"/>
      <c r="R986" s="16"/>
      <c r="T986" s="29"/>
      <c r="Y986" s="29"/>
    </row>
    <row r="987">
      <c r="A987" s="29"/>
      <c r="H987" s="17"/>
      <c r="O987" s="16"/>
      <c r="P987" s="29"/>
      <c r="R987" s="16"/>
      <c r="T987" s="29"/>
      <c r="Y987" s="29"/>
    </row>
    <row r="988">
      <c r="A988" s="29"/>
      <c r="H988" s="17"/>
      <c r="O988" s="16"/>
      <c r="P988" s="29"/>
      <c r="R988" s="16"/>
      <c r="T988" s="29"/>
      <c r="Y988" s="29"/>
    </row>
    <row r="989">
      <c r="A989" s="29"/>
      <c r="H989" s="17"/>
      <c r="O989" s="16"/>
      <c r="P989" s="29"/>
      <c r="R989" s="16"/>
      <c r="T989" s="29"/>
      <c r="Y989" s="29"/>
    </row>
    <row r="990">
      <c r="A990" s="29"/>
      <c r="H990" s="17"/>
      <c r="O990" s="16"/>
      <c r="P990" s="29"/>
      <c r="R990" s="16"/>
      <c r="T990" s="29"/>
      <c r="Y990" s="29"/>
    </row>
    <row r="991">
      <c r="A991" s="29"/>
      <c r="H991" s="17"/>
      <c r="O991" s="16"/>
      <c r="P991" s="29"/>
      <c r="R991" s="16"/>
      <c r="T991" s="29"/>
      <c r="Y991" s="29"/>
    </row>
    <row r="992">
      <c r="A992" s="29"/>
      <c r="H992" s="17"/>
      <c r="O992" s="16"/>
      <c r="P992" s="29"/>
      <c r="R992" s="16"/>
      <c r="T992" s="29"/>
      <c r="Y992" s="29"/>
    </row>
    <row r="993">
      <c r="A993" s="29"/>
      <c r="H993" s="17"/>
      <c r="O993" s="16"/>
      <c r="P993" s="29"/>
      <c r="R993" s="16"/>
      <c r="T993" s="29"/>
      <c r="Y993" s="29"/>
    </row>
    <row r="994">
      <c r="A994" s="29"/>
      <c r="H994" s="17"/>
      <c r="O994" s="16"/>
      <c r="P994" s="29"/>
      <c r="R994" s="16"/>
      <c r="T994" s="29"/>
      <c r="Y994" s="29"/>
    </row>
    <row r="995">
      <c r="A995" s="29"/>
      <c r="H995" s="17"/>
      <c r="O995" s="16"/>
      <c r="P995" s="29"/>
      <c r="R995" s="16"/>
      <c r="T995" s="29"/>
      <c r="Y995" s="29"/>
    </row>
    <row r="996">
      <c r="A996" s="29"/>
      <c r="H996" s="17"/>
      <c r="O996" s="16"/>
      <c r="P996" s="29"/>
      <c r="R996" s="16"/>
      <c r="T996" s="29"/>
      <c r="Y996" s="29"/>
    </row>
    <row r="997">
      <c r="A997" s="29"/>
      <c r="H997" s="17"/>
      <c r="O997" s="16"/>
      <c r="P997" s="29"/>
      <c r="R997" s="16"/>
      <c r="T997" s="29"/>
      <c r="Y997" s="29"/>
    </row>
    <row r="998">
      <c r="A998" s="29"/>
      <c r="H998" s="17"/>
      <c r="O998" s="16"/>
      <c r="P998" s="29"/>
      <c r="R998" s="16"/>
      <c r="T998" s="29"/>
      <c r="Y998" s="29"/>
    </row>
  </sheetData>
  <dataValidations>
    <dataValidation type="list" allowBlank="1" showErrorMessage="1" sqref="J2">
      <formula1>"Ed-Tech,AI Solutions,Publishing,Localization,Technology,Recruitment,BPO,Edtech and Ai"</formula1>
    </dataValidation>
    <dataValidation type="list" allowBlank="1" showErrorMessage="1" sqref="H2:H998">
      <formula1>"LinkedIn,Twitter,Instagram,Facebook,Youtube,By Refrence"</formula1>
    </dataValidation>
    <dataValidation type="list" allowBlank="1" showErrorMessage="1" sqref="O2:O998">
      <formula1>"Follow Up 1,Follow Up 2,Follow Up 3,Follow Up 4,Follow Up 5,Follow Up 6,Won,Lost,In Discussion,Proposal Sent"</formula1>
    </dataValidation>
    <dataValidation type="list" allowBlank="1" showErrorMessage="1" sqref="N2">
      <formula1>"Sandeep Kumar,Bakhshish,Vaibhavi Priya"</formula1>
    </dataValidation>
    <dataValidation type="list" allowBlank="1" showErrorMessage="1" sqref="R2:R998">
      <formula1>"Follow Up 2,Follow Up 3,Follow Up 4,Follow Up 5,Follow Up 6"</formula1>
    </dataValidation>
    <dataValidation type="list" allowBlank="1" showErrorMessage="1" sqref="M2">
      <formula1>"India,United States,United Kingdom,Singapore,Dubai,Canada,Australia,Poland"</formula1>
    </dataValidation>
  </dataValidations>
  <hyperlinks>
    <hyperlink r:id="rId1" ref="K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0</v>
      </c>
      <c r="B1" s="7" t="s">
        <v>13</v>
      </c>
      <c r="C1" s="7" t="s">
        <v>8</v>
      </c>
      <c r="D1" s="7" t="s">
        <v>9</v>
      </c>
      <c r="E1" s="10" t="s">
        <v>10</v>
      </c>
      <c r="F1" s="1" t="s">
        <v>21</v>
      </c>
      <c r="G1" s="2" t="s">
        <v>11</v>
      </c>
      <c r="H1" s="7" t="s">
        <v>12</v>
      </c>
      <c r="I1" s="2" t="s">
        <v>14</v>
      </c>
      <c r="J1" s="7" t="s">
        <v>28</v>
      </c>
      <c r="K1" s="7" t="s">
        <v>15</v>
      </c>
      <c r="L1" s="7" t="s">
        <v>29</v>
      </c>
      <c r="M1" s="7" t="s">
        <v>30</v>
      </c>
      <c r="N1" s="7" t="s">
        <v>20</v>
      </c>
      <c r="O1" s="7" t="s">
        <v>31</v>
      </c>
      <c r="P1" s="7" t="s">
        <v>32</v>
      </c>
      <c r="Q1" s="13"/>
      <c r="R1" s="13"/>
      <c r="S1" s="13"/>
      <c r="T1" s="13"/>
      <c r="U1" s="13"/>
      <c r="V1" s="13"/>
      <c r="W1" s="13"/>
      <c r="X1" s="13"/>
      <c r="Y1" s="13"/>
      <c r="Z1" s="13"/>
      <c r="AA1" s="13"/>
      <c r="AB1" s="13"/>
      <c r="AC1" s="13"/>
      <c r="AD1" s="13"/>
      <c r="AE1" s="13"/>
      <c r="AF1" s="13"/>
    </row>
    <row r="2">
      <c r="A2" s="14">
        <f t="array" ref="A2:A3577">IF(C2:C3577&lt;&gt;"",IF(A2:A3577="",TODAY(),A2:A3577),"")</f>
        <v>46232</v>
      </c>
      <c r="B2" s="19" t="str">
        <f t="array" ref="B2:B3577">IF(C2:C3577&lt;&gt;"","MCLD-"&amp;TEXT(ROW(C2:C3577)-1,"000"),)</f>
        <v>MCLD-001</v>
      </c>
      <c r="C2" s="20" t="s">
        <v>36</v>
      </c>
      <c r="D2" s="21"/>
      <c r="E2" s="22" t="s">
        <v>39</v>
      </c>
      <c r="H2" s="23" t="s">
        <v>42</v>
      </c>
      <c r="I2" s="21"/>
      <c r="J2" s="25"/>
      <c r="K2" s="26" t="s">
        <v>44</v>
      </c>
      <c r="L2" s="25"/>
      <c r="M2" s="21"/>
      <c r="N2" s="25"/>
      <c r="O2" s="25"/>
      <c r="P2" s="25">
        <v>200.0</v>
      </c>
    </row>
    <row r="3">
      <c r="A3" s="14">
        <v>46232.0</v>
      </c>
      <c r="B3" s="16" t="s">
        <v>45</v>
      </c>
      <c r="C3" s="20" t="s">
        <v>46</v>
      </c>
      <c r="D3" s="21"/>
      <c r="E3" s="27"/>
      <c r="H3" s="23" t="s">
        <v>48</v>
      </c>
      <c r="I3" s="21"/>
      <c r="J3" s="25"/>
      <c r="K3" s="26" t="s">
        <v>44</v>
      </c>
      <c r="L3" s="25"/>
      <c r="M3" s="21"/>
      <c r="N3" s="25"/>
      <c r="O3" s="25"/>
      <c r="P3" s="25">
        <v>500.0</v>
      </c>
    </row>
    <row r="4">
      <c r="A4" s="14">
        <v>46232.0</v>
      </c>
      <c r="B4" s="16" t="s">
        <v>49</v>
      </c>
      <c r="C4" s="20" t="s">
        <v>50</v>
      </c>
      <c r="D4" s="21"/>
      <c r="E4" s="22" t="s">
        <v>51</v>
      </c>
      <c r="H4" s="23" t="s">
        <v>48</v>
      </c>
      <c r="I4" s="21"/>
      <c r="J4" s="25"/>
      <c r="K4" s="26" t="s">
        <v>44</v>
      </c>
      <c r="L4" s="25"/>
      <c r="M4" s="21"/>
      <c r="N4" s="25"/>
      <c r="O4" s="25"/>
      <c r="P4" s="25">
        <v>100.0</v>
      </c>
    </row>
    <row r="5">
      <c r="A5" s="28">
        <v>46232.0</v>
      </c>
      <c r="B5" s="16" t="s">
        <v>54</v>
      </c>
      <c r="C5" s="20" t="s">
        <v>55</v>
      </c>
      <c r="D5" s="21"/>
      <c r="E5" s="22" t="s">
        <v>56</v>
      </c>
      <c r="H5" s="23" t="s">
        <v>57</v>
      </c>
      <c r="I5" s="21"/>
      <c r="J5" s="25"/>
      <c r="K5" s="26" t="s">
        <v>44</v>
      </c>
      <c r="L5" s="16"/>
      <c r="M5" s="21"/>
    </row>
    <row r="6">
      <c r="A6" s="28">
        <v>46232.0</v>
      </c>
      <c r="B6" s="16" t="s">
        <v>58</v>
      </c>
      <c r="C6" s="20" t="s">
        <v>59</v>
      </c>
      <c r="D6" s="21"/>
      <c r="E6" s="22" t="s">
        <v>60</v>
      </c>
      <c r="H6" s="23" t="s">
        <v>61</v>
      </c>
      <c r="I6" s="21"/>
      <c r="J6" s="25"/>
      <c r="K6" s="26" t="s">
        <v>44</v>
      </c>
      <c r="L6" s="16"/>
      <c r="M6" s="21"/>
    </row>
    <row r="7">
      <c r="A7" s="28">
        <v>46232.0</v>
      </c>
      <c r="B7" s="16" t="s">
        <v>62</v>
      </c>
      <c r="C7" s="20" t="s">
        <v>63</v>
      </c>
      <c r="D7" s="21"/>
      <c r="E7" s="22" t="s">
        <v>64</v>
      </c>
      <c r="H7" s="23" t="s">
        <v>65</v>
      </c>
      <c r="I7" s="21"/>
      <c r="J7" s="25"/>
      <c r="K7" s="26" t="s">
        <v>44</v>
      </c>
      <c r="L7" s="16"/>
      <c r="M7" s="21"/>
    </row>
    <row r="8">
      <c r="A8" s="28">
        <v>46232.0</v>
      </c>
      <c r="B8" s="16" t="s">
        <v>66</v>
      </c>
      <c r="C8" s="20" t="s">
        <v>67</v>
      </c>
      <c r="D8" s="21"/>
      <c r="E8" s="22" t="s">
        <v>68</v>
      </c>
      <c r="H8" s="23" t="s">
        <v>69</v>
      </c>
      <c r="I8" s="21"/>
      <c r="J8" s="25"/>
      <c r="K8" s="26" t="s">
        <v>44</v>
      </c>
      <c r="L8" s="16"/>
      <c r="M8" s="21"/>
    </row>
    <row r="9">
      <c r="A9" s="28">
        <v>46232.0</v>
      </c>
      <c r="B9" s="16" t="s">
        <v>70</v>
      </c>
      <c r="C9" s="20" t="s">
        <v>71</v>
      </c>
      <c r="D9" s="21"/>
      <c r="E9" s="22" t="s">
        <v>72</v>
      </c>
      <c r="H9" s="23" t="s">
        <v>69</v>
      </c>
      <c r="I9" s="21"/>
      <c r="J9" s="25"/>
      <c r="K9" s="26" t="s">
        <v>44</v>
      </c>
      <c r="L9" s="16"/>
      <c r="M9" s="21"/>
    </row>
    <row r="10">
      <c r="A10" s="28">
        <v>46232.0</v>
      </c>
      <c r="B10" s="16" t="s">
        <v>73</v>
      </c>
      <c r="C10" s="20" t="s">
        <v>74</v>
      </c>
      <c r="D10" s="21"/>
      <c r="E10" s="22" t="s">
        <v>75</v>
      </c>
      <c r="H10" s="23" t="s">
        <v>76</v>
      </c>
      <c r="I10" s="21"/>
      <c r="J10" s="25"/>
      <c r="K10" s="26" t="s">
        <v>44</v>
      </c>
      <c r="L10" s="16"/>
      <c r="M10" s="21"/>
    </row>
    <row r="11">
      <c r="A11" s="28">
        <v>46232.0</v>
      </c>
      <c r="B11" s="16" t="s">
        <v>77</v>
      </c>
      <c r="C11" s="20" t="s">
        <v>78</v>
      </c>
      <c r="D11" s="21"/>
      <c r="E11" s="22" t="s">
        <v>79</v>
      </c>
      <c r="H11" s="23" t="s">
        <v>80</v>
      </c>
      <c r="I11" s="21"/>
      <c r="J11" s="25"/>
      <c r="K11" s="26" t="s">
        <v>44</v>
      </c>
      <c r="L11" s="16"/>
      <c r="M11" s="21"/>
    </row>
    <row r="12">
      <c r="A12" s="28">
        <v>46232.0</v>
      </c>
      <c r="B12" s="16" t="s">
        <v>81</v>
      </c>
      <c r="C12" s="20" t="s">
        <v>82</v>
      </c>
      <c r="D12" s="21"/>
      <c r="E12" s="22" t="s">
        <v>83</v>
      </c>
      <c r="H12" s="23" t="s">
        <v>84</v>
      </c>
      <c r="I12" s="21"/>
      <c r="J12" s="25"/>
      <c r="K12" s="26" t="s">
        <v>44</v>
      </c>
      <c r="L12" s="16"/>
      <c r="M12" s="21"/>
    </row>
    <row r="13">
      <c r="A13" s="28">
        <v>46232.0</v>
      </c>
      <c r="B13" s="16" t="s">
        <v>85</v>
      </c>
      <c r="C13" s="20" t="s">
        <v>86</v>
      </c>
      <c r="D13" s="21"/>
      <c r="E13" s="22" t="s">
        <v>87</v>
      </c>
      <c r="H13" s="23" t="s">
        <v>69</v>
      </c>
      <c r="I13" s="21"/>
      <c r="J13" s="25"/>
      <c r="K13" s="26" t="s">
        <v>44</v>
      </c>
      <c r="L13" s="16"/>
      <c r="M13" s="21"/>
    </row>
    <row r="14">
      <c r="A14" s="28">
        <v>46232.0</v>
      </c>
      <c r="B14" s="16" t="s">
        <v>88</v>
      </c>
      <c r="C14" s="20" t="s">
        <v>89</v>
      </c>
      <c r="D14" s="21"/>
      <c r="E14" s="22" t="s">
        <v>90</v>
      </c>
      <c r="H14" s="23" t="s">
        <v>69</v>
      </c>
      <c r="I14" s="21"/>
      <c r="J14" s="25"/>
      <c r="K14" s="26" t="s">
        <v>44</v>
      </c>
      <c r="L14" s="16"/>
      <c r="M14" s="21"/>
    </row>
    <row r="15">
      <c r="A15" s="28">
        <v>46232.0</v>
      </c>
      <c r="B15" s="16" t="s">
        <v>91</v>
      </c>
      <c r="C15" s="20" t="s">
        <v>92</v>
      </c>
      <c r="D15" s="21"/>
      <c r="E15" s="22" t="s">
        <v>93</v>
      </c>
      <c r="H15" s="23" t="s">
        <v>94</v>
      </c>
      <c r="I15" s="21"/>
      <c r="J15" s="25"/>
      <c r="K15" s="26" t="s">
        <v>44</v>
      </c>
      <c r="L15" s="16"/>
      <c r="M15" s="21"/>
    </row>
    <row r="16">
      <c r="A16" s="28">
        <v>46232.0</v>
      </c>
      <c r="B16" s="16" t="s">
        <v>95</v>
      </c>
      <c r="C16" s="20" t="s">
        <v>96</v>
      </c>
      <c r="D16" s="21"/>
      <c r="E16" s="22" t="s">
        <v>97</v>
      </c>
      <c r="H16" s="23" t="s">
        <v>98</v>
      </c>
      <c r="I16" s="21"/>
      <c r="J16" s="25"/>
      <c r="K16" s="26" t="s">
        <v>44</v>
      </c>
      <c r="L16" s="16"/>
      <c r="M16" s="21"/>
    </row>
    <row r="17">
      <c r="A17" s="28">
        <v>46232.0</v>
      </c>
      <c r="B17" s="16" t="s">
        <v>99</v>
      </c>
      <c r="C17" s="20" t="s">
        <v>100</v>
      </c>
      <c r="D17" s="21"/>
      <c r="E17" s="22" t="s">
        <v>101</v>
      </c>
      <c r="H17" s="23" t="s">
        <v>57</v>
      </c>
      <c r="I17" s="21"/>
      <c r="J17" s="25"/>
      <c r="K17" s="26" t="s">
        <v>44</v>
      </c>
      <c r="L17" s="16"/>
      <c r="M17" s="21"/>
    </row>
    <row r="18">
      <c r="A18" s="28">
        <v>46232.0</v>
      </c>
      <c r="B18" s="16" t="s">
        <v>102</v>
      </c>
      <c r="C18" s="20" t="s">
        <v>103</v>
      </c>
      <c r="D18" s="21"/>
      <c r="E18" s="22" t="s">
        <v>104</v>
      </c>
      <c r="H18" s="23" t="s">
        <v>111</v>
      </c>
      <c r="I18" s="21"/>
      <c r="J18" s="25"/>
      <c r="K18" s="26" t="s">
        <v>44</v>
      </c>
      <c r="L18" s="16"/>
      <c r="M18" s="21"/>
    </row>
    <row r="19">
      <c r="A19" s="28">
        <v>46232.0</v>
      </c>
      <c r="B19" s="16" t="s">
        <v>113</v>
      </c>
      <c r="C19" s="20" t="s">
        <v>114</v>
      </c>
      <c r="D19" s="21"/>
      <c r="E19" s="22" t="s">
        <v>115</v>
      </c>
      <c r="H19" s="23" t="s">
        <v>118</v>
      </c>
      <c r="I19" s="21"/>
      <c r="J19" s="25"/>
      <c r="K19" s="26" t="s">
        <v>44</v>
      </c>
      <c r="L19" s="16"/>
      <c r="M19" s="21"/>
    </row>
    <row r="20">
      <c r="A20" s="28">
        <v>46232.0</v>
      </c>
      <c r="B20" s="16" t="s">
        <v>120</v>
      </c>
      <c r="C20" s="20" t="s">
        <v>121</v>
      </c>
      <c r="D20" s="21"/>
      <c r="E20" s="22" t="s">
        <v>122</v>
      </c>
      <c r="H20" s="23" t="s">
        <v>48</v>
      </c>
      <c r="I20" s="21"/>
      <c r="J20" s="25"/>
      <c r="K20" s="26" t="s">
        <v>44</v>
      </c>
      <c r="L20" s="16"/>
      <c r="M20" s="21"/>
    </row>
    <row r="21">
      <c r="A21" s="28">
        <v>46232.0</v>
      </c>
      <c r="B21" s="16" t="s">
        <v>123</v>
      </c>
      <c r="C21" s="20" t="s">
        <v>124</v>
      </c>
      <c r="D21" s="21"/>
      <c r="E21" s="22" t="s">
        <v>125</v>
      </c>
      <c r="H21" s="23" t="s">
        <v>127</v>
      </c>
      <c r="I21" s="21"/>
      <c r="J21" s="25"/>
      <c r="K21" s="26" t="s">
        <v>44</v>
      </c>
      <c r="L21" s="16"/>
      <c r="M21" s="21"/>
    </row>
    <row r="22">
      <c r="A22" s="28">
        <v>46232.0</v>
      </c>
      <c r="B22" s="16" t="s">
        <v>130</v>
      </c>
      <c r="C22" s="20" t="s">
        <v>131</v>
      </c>
      <c r="D22" s="21"/>
      <c r="E22" s="22" t="s">
        <v>132</v>
      </c>
      <c r="H22" s="23" t="s">
        <v>134</v>
      </c>
      <c r="I22" s="21"/>
      <c r="J22" s="25"/>
      <c r="K22" s="26" t="s">
        <v>44</v>
      </c>
      <c r="L22" s="16"/>
      <c r="M22" s="21"/>
    </row>
    <row r="23">
      <c r="A23" s="28">
        <v>46232.0</v>
      </c>
      <c r="B23" s="16" t="s">
        <v>135</v>
      </c>
      <c r="C23" s="20" t="s">
        <v>136</v>
      </c>
      <c r="D23" s="21"/>
      <c r="E23" s="22" t="s">
        <v>137</v>
      </c>
      <c r="H23" s="23" t="s">
        <v>48</v>
      </c>
      <c r="I23" s="21"/>
      <c r="J23" s="25"/>
      <c r="K23" s="26" t="s">
        <v>44</v>
      </c>
      <c r="L23" s="16"/>
      <c r="M23" s="21"/>
    </row>
    <row r="24">
      <c r="A24" s="28">
        <v>46232.0</v>
      </c>
      <c r="B24" s="16" t="s">
        <v>142</v>
      </c>
      <c r="C24" s="20" t="s">
        <v>144</v>
      </c>
      <c r="D24" s="21"/>
      <c r="E24" s="22" t="s">
        <v>145</v>
      </c>
      <c r="H24" s="23" t="s">
        <v>148</v>
      </c>
      <c r="I24" s="21"/>
      <c r="J24" s="25"/>
      <c r="K24" s="26" t="s">
        <v>44</v>
      </c>
      <c r="L24" s="16"/>
      <c r="M24" s="21"/>
    </row>
    <row r="25">
      <c r="A25" s="28">
        <v>46232.0</v>
      </c>
      <c r="B25" s="16" t="s">
        <v>153</v>
      </c>
      <c r="C25" s="20" t="s">
        <v>154</v>
      </c>
      <c r="D25" s="21"/>
      <c r="E25" s="22" t="s">
        <v>156</v>
      </c>
      <c r="H25" s="23" t="s">
        <v>48</v>
      </c>
      <c r="I25" s="21"/>
      <c r="J25" s="25"/>
      <c r="K25" s="26" t="s">
        <v>44</v>
      </c>
      <c r="L25" s="16"/>
      <c r="M25" s="21"/>
    </row>
    <row r="26">
      <c r="A26" s="28">
        <v>46232.0</v>
      </c>
      <c r="B26" s="16" t="s">
        <v>164</v>
      </c>
      <c r="C26" s="20" t="s">
        <v>165</v>
      </c>
      <c r="D26" s="21"/>
      <c r="E26" s="22" t="s">
        <v>166</v>
      </c>
      <c r="H26" s="23" t="s">
        <v>111</v>
      </c>
      <c r="I26" s="21"/>
      <c r="J26" s="25"/>
      <c r="K26" s="26" t="s">
        <v>44</v>
      </c>
      <c r="L26" s="16"/>
      <c r="M26" s="21"/>
    </row>
    <row r="27">
      <c r="A27" s="28">
        <v>46232.0</v>
      </c>
      <c r="B27" s="16" t="s">
        <v>171</v>
      </c>
      <c r="C27" s="20" t="s">
        <v>172</v>
      </c>
      <c r="D27" s="21"/>
      <c r="E27" s="22" t="s">
        <v>173</v>
      </c>
      <c r="H27" s="23" t="s">
        <v>69</v>
      </c>
      <c r="I27" s="21"/>
      <c r="J27" s="25"/>
      <c r="K27" s="26" t="s">
        <v>44</v>
      </c>
      <c r="L27" s="16"/>
      <c r="M27" s="21"/>
    </row>
    <row r="28">
      <c r="A28" s="28">
        <v>46232.0</v>
      </c>
      <c r="B28" s="16" t="s">
        <v>177</v>
      </c>
      <c r="C28" s="20" t="s">
        <v>178</v>
      </c>
      <c r="D28" s="21"/>
      <c r="E28" s="22" t="s">
        <v>181</v>
      </c>
      <c r="H28" s="23" t="s">
        <v>184</v>
      </c>
      <c r="I28" s="21"/>
      <c r="J28" s="25"/>
      <c r="K28" s="26" t="s">
        <v>44</v>
      </c>
      <c r="L28" s="16"/>
      <c r="M28" s="21"/>
    </row>
    <row r="29">
      <c r="A29" s="28">
        <v>46232.0</v>
      </c>
      <c r="B29" s="16" t="s">
        <v>187</v>
      </c>
      <c r="C29" s="20" t="s">
        <v>188</v>
      </c>
      <c r="D29" s="21"/>
      <c r="E29" s="22" t="s">
        <v>189</v>
      </c>
      <c r="H29" s="23" t="s">
        <v>48</v>
      </c>
      <c r="I29" s="21"/>
      <c r="J29" s="25"/>
      <c r="K29" s="26" t="s">
        <v>44</v>
      </c>
      <c r="L29" s="16"/>
      <c r="M29" s="21"/>
    </row>
    <row r="30">
      <c r="A30" s="28">
        <v>46232.0</v>
      </c>
      <c r="B30" s="16" t="s">
        <v>198</v>
      </c>
      <c r="C30" s="20" t="s">
        <v>143</v>
      </c>
      <c r="D30" s="21"/>
      <c r="E30" s="22" t="s">
        <v>199</v>
      </c>
      <c r="H30" s="23" t="s">
        <v>48</v>
      </c>
      <c r="I30" s="21"/>
      <c r="J30" s="25"/>
      <c r="K30" s="26" t="s">
        <v>44</v>
      </c>
      <c r="L30" s="16"/>
      <c r="M30" s="21"/>
    </row>
    <row r="31">
      <c r="A31" s="28">
        <v>46232.0</v>
      </c>
      <c r="B31" s="16" t="s">
        <v>212</v>
      </c>
      <c r="C31" s="20" t="s">
        <v>213</v>
      </c>
      <c r="D31" s="21"/>
      <c r="E31" s="22" t="s">
        <v>214</v>
      </c>
      <c r="H31" s="23" t="s">
        <v>69</v>
      </c>
      <c r="I31" s="21"/>
      <c r="J31" s="25"/>
      <c r="K31" s="26" t="s">
        <v>44</v>
      </c>
      <c r="L31" s="16"/>
      <c r="M31" s="21"/>
    </row>
    <row r="32">
      <c r="A32" s="28">
        <v>46232.0</v>
      </c>
      <c r="B32" s="16" t="s">
        <v>224</v>
      </c>
      <c r="C32" s="20" t="s">
        <v>225</v>
      </c>
      <c r="D32" s="21"/>
      <c r="E32" s="22" t="s">
        <v>226</v>
      </c>
      <c r="H32" s="23" t="s">
        <v>98</v>
      </c>
      <c r="I32" s="21"/>
      <c r="J32" s="25"/>
      <c r="K32" s="26" t="s">
        <v>44</v>
      </c>
      <c r="L32" s="16"/>
      <c r="M32" s="21"/>
    </row>
    <row r="33">
      <c r="A33" s="28">
        <v>46232.0</v>
      </c>
      <c r="B33" s="16" t="s">
        <v>239</v>
      </c>
      <c r="C33" s="20" t="s">
        <v>240</v>
      </c>
      <c r="D33" s="21"/>
      <c r="E33" s="22" t="s">
        <v>241</v>
      </c>
      <c r="H33" s="23" t="s">
        <v>57</v>
      </c>
      <c r="I33" s="21"/>
      <c r="J33" s="25"/>
      <c r="K33" s="26" t="s">
        <v>44</v>
      </c>
      <c r="L33" s="16"/>
      <c r="M33" s="21"/>
    </row>
    <row r="34">
      <c r="A34" s="28">
        <v>46232.0</v>
      </c>
      <c r="B34" s="16" t="s">
        <v>253</v>
      </c>
      <c r="C34" s="20" t="s">
        <v>254</v>
      </c>
      <c r="D34" s="21"/>
      <c r="E34" s="22" t="s">
        <v>255</v>
      </c>
      <c r="H34" s="23" t="s">
        <v>260</v>
      </c>
      <c r="I34" s="21"/>
      <c r="J34" s="25"/>
      <c r="K34" s="26" t="s">
        <v>44</v>
      </c>
      <c r="L34" s="16"/>
      <c r="M34" s="21"/>
    </row>
    <row r="35">
      <c r="A35" s="28">
        <v>46232.0</v>
      </c>
      <c r="B35" s="16" t="s">
        <v>264</v>
      </c>
      <c r="C35" s="20" t="s">
        <v>266</v>
      </c>
      <c r="D35" s="21"/>
      <c r="E35" s="22" t="s">
        <v>267</v>
      </c>
      <c r="H35" s="23" t="s">
        <v>69</v>
      </c>
      <c r="I35" s="21"/>
      <c r="J35" s="25"/>
      <c r="K35" s="26" t="s">
        <v>44</v>
      </c>
      <c r="L35" s="16"/>
      <c r="M35" s="21"/>
    </row>
    <row r="36">
      <c r="A36" s="28">
        <v>46232.0</v>
      </c>
      <c r="B36" s="16" t="s">
        <v>272</v>
      </c>
      <c r="C36" s="20" t="s">
        <v>273</v>
      </c>
      <c r="D36" s="21"/>
      <c r="E36" s="22" t="s">
        <v>274</v>
      </c>
      <c r="H36" s="23" t="s">
        <v>279</v>
      </c>
      <c r="I36" s="21"/>
      <c r="J36" s="25"/>
      <c r="K36" s="26" t="s">
        <v>44</v>
      </c>
      <c r="L36" s="16"/>
      <c r="M36" s="21"/>
    </row>
    <row r="37">
      <c r="A37" s="28">
        <v>46232.0</v>
      </c>
      <c r="B37" s="16" t="s">
        <v>285</v>
      </c>
      <c r="C37" s="20" t="s">
        <v>286</v>
      </c>
      <c r="D37" s="21"/>
      <c r="E37" s="22" t="s">
        <v>287</v>
      </c>
      <c r="H37" s="23" t="s">
        <v>48</v>
      </c>
      <c r="I37" s="21"/>
      <c r="J37" s="25"/>
      <c r="K37" s="26" t="s">
        <v>44</v>
      </c>
      <c r="L37" s="16"/>
      <c r="M37" s="21"/>
    </row>
    <row r="38">
      <c r="A38" s="28">
        <v>46232.0</v>
      </c>
      <c r="B38" s="16" t="s">
        <v>292</v>
      </c>
      <c r="C38" s="20" t="s">
        <v>293</v>
      </c>
      <c r="D38" s="21"/>
      <c r="E38" s="22" t="s">
        <v>294</v>
      </c>
      <c r="H38" s="23" t="s">
        <v>299</v>
      </c>
      <c r="I38" s="21"/>
      <c r="J38" s="25"/>
      <c r="K38" s="26" t="s">
        <v>44</v>
      </c>
      <c r="L38" s="16"/>
      <c r="M38" s="21"/>
    </row>
    <row r="39">
      <c r="A39" s="28">
        <v>46232.0</v>
      </c>
      <c r="B39" s="16" t="s">
        <v>304</v>
      </c>
      <c r="C39" s="20" t="s">
        <v>305</v>
      </c>
      <c r="D39" s="21"/>
      <c r="E39" s="22" t="s">
        <v>306</v>
      </c>
      <c r="H39" s="23" t="s">
        <v>307</v>
      </c>
      <c r="I39" s="21"/>
      <c r="J39" s="25"/>
      <c r="K39" s="26" t="s">
        <v>44</v>
      </c>
      <c r="L39" s="16"/>
      <c r="M39" s="21"/>
    </row>
    <row r="40">
      <c r="A40" s="28">
        <v>46232.0</v>
      </c>
      <c r="B40" s="16" t="s">
        <v>312</v>
      </c>
      <c r="C40" s="20" t="s">
        <v>313</v>
      </c>
      <c r="D40" s="21"/>
      <c r="E40" s="22" t="s">
        <v>314</v>
      </c>
      <c r="H40" s="23" t="s">
        <v>69</v>
      </c>
      <c r="I40" s="21"/>
      <c r="J40" s="25"/>
      <c r="K40" s="26" t="s">
        <v>44</v>
      </c>
      <c r="L40" s="16"/>
      <c r="M40" s="21"/>
    </row>
    <row r="41">
      <c r="A41" s="28">
        <v>46232.0</v>
      </c>
      <c r="B41" s="16" t="s">
        <v>325</v>
      </c>
      <c r="C41" s="20" t="s">
        <v>326</v>
      </c>
      <c r="D41" s="21"/>
      <c r="E41" s="22" t="s">
        <v>327</v>
      </c>
      <c r="H41" s="23" t="s">
        <v>69</v>
      </c>
      <c r="I41" s="21"/>
      <c r="J41" s="25"/>
      <c r="K41" s="26" t="s">
        <v>44</v>
      </c>
      <c r="L41" s="16"/>
      <c r="M41" s="21"/>
    </row>
    <row r="42">
      <c r="A42" s="28">
        <v>46232.0</v>
      </c>
      <c r="B42" s="16" t="s">
        <v>342</v>
      </c>
      <c r="C42" s="20" t="s">
        <v>343</v>
      </c>
      <c r="D42" s="21"/>
      <c r="E42" s="22" t="s">
        <v>344</v>
      </c>
      <c r="H42" s="23" t="s">
        <v>69</v>
      </c>
      <c r="I42" s="21"/>
      <c r="J42" s="25"/>
      <c r="K42" s="26" t="s">
        <v>44</v>
      </c>
      <c r="L42" s="16"/>
      <c r="M42" s="21"/>
    </row>
    <row r="43">
      <c r="A43" s="28">
        <v>46232.0</v>
      </c>
      <c r="B43" s="16" t="s">
        <v>354</v>
      </c>
      <c r="C43" s="20" t="s">
        <v>355</v>
      </c>
      <c r="D43" s="21"/>
      <c r="E43" s="22" t="s">
        <v>356</v>
      </c>
      <c r="H43" s="23" t="s">
        <v>80</v>
      </c>
      <c r="I43" s="21"/>
      <c r="J43" s="25"/>
      <c r="K43" s="26" t="s">
        <v>44</v>
      </c>
      <c r="L43" s="16"/>
      <c r="M43" s="21"/>
    </row>
    <row r="44">
      <c r="A44" s="28">
        <v>46232.0</v>
      </c>
      <c r="B44" s="16" t="s">
        <v>362</v>
      </c>
      <c r="C44" s="20" t="s">
        <v>363</v>
      </c>
      <c r="D44" s="21"/>
      <c r="E44" s="22" t="s">
        <v>364</v>
      </c>
      <c r="H44" s="23" t="s">
        <v>370</v>
      </c>
      <c r="I44" s="21"/>
      <c r="J44" s="25"/>
      <c r="K44" s="26" t="s">
        <v>44</v>
      </c>
      <c r="L44" s="16"/>
      <c r="M44" s="21"/>
    </row>
    <row r="45">
      <c r="A45" s="28">
        <v>46232.0</v>
      </c>
      <c r="B45" s="16" t="s">
        <v>375</v>
      </c>
      <c r="C45" s="20" t="s">
        <v>376</v>
      </c>
      <c r="D45" s="21"/>
      <c r="E45" s="22" t="s">
        <v>377</v>
      </c>
      <c r="H45" s="23" t="s">
        <v>69</v>
      </c>
      <c r="I45" s="21"/>
      <c r="J45" s="25"/>
      <c r="K45" s="26" t="s">
        <v>44</v>
      </c>
      <c r="L45" s="16"/>
      <c r="M45" s="21"/>
    </row>
    <row r="46">
      <c r="A46" s="28">
        <v>46232.0</v>
      </c>
      <c r="B46" s="16" t="s">
        <v>382</v>
      </c>
      <c r="C46" s="20" t="s">
        <v>383</v>
      </c>
      <c r="D46" s="21"/>
      <c r="E46" s="22" t="s">
        <v>384</v>
      </c>
      <c r="H46" s="23" t="s">
        <v>69</v>
      </c>
      <c r="I46" s="21"/>
      <c r="J46" s="25"/>
      <c r="K46" s="26" t="s">
        <v>44</v>
      </c>
      <c r="L46" s="16"/>
      <c r="M46" s="21"/>
    </row>
    <row r="47">
      <c r="A47" s="28">
        <v>46232.0</v>
      </c>
      <c r="B47" s="16" t="s">
        <v>389</v>
      </c>
      <c r="C47" s="20" t="s">
        <v>390</v>
      </c>
      <c r="D47" s="21"/>
      <c r="E47" s="22" t="s">
        <v>391</v>
      </c>
      <c r="H47" s="23" t="s">
        <v>396</v>
      </c>
      <c r="I47" s="21"/>
      <c r="J47" s="25"/>
      <c r="K47" s="26" t="s">
        <v>44</v>
      </c>
      <c r="L47" s="16"/>
      <c r="M47" s="21"/>
    </row>
    <row r="48">
      <c r="A48" s="28">
        <v>46232.0</v>
      </c>
      <c r="B48" s="16" t="s">
        <v>397</v>
      </c>
      <c r="C48" s="20" t="s">
        <v>398</v>
      </c>
      <c r="D48" s="21"/>
      <c r="E48" s="22" t="s">
        <v>399</v>
      </c>
      <c r="H48" s="23" t="s">
        <v>404</v>
      </c>
      <c r="I48" s="21"/>
      <c r="J48" s="25"/>
      <c r="K48" s="26" t="s">
        <v>44</v>
      </c>
      <c r="L48" s="16"/>
      <c r="M48" s="21"/>
    </row>
    <row r="49">
      <c r="A49" s="28">
        <v>46232.0</v>
      </c>
      <c r="B49" s="16" t="s">
        <v>405</v>
      </c>
      <c r="C49" s="20" t="s">
        <v>406</v>
      </c>
      <c r="D49" s="21"/>
      <c r="E49" s="22" t="s">
        <v>407</v>
      </c>
      <c r="H49" s="23" t="s">
        <v>412</v>
      </c>
      <c r="I49" s="21"/>
      <c r="J49" s="25"/>
      <c r="K49" s="26" t="s">
        <v>44</v>
      </c>
      <c r="L49" s="16"/>
      <c r="M49" s="21"/>
    </row>
    <row r="50">
      <c r="A50" s="28">
        <v>46232.0</v>
      </c>
      <c r="B50" s="16" t="s">
        <v>413</v>
      </c>
      <c r="C50" s="20" t="s">
        <v>414</v>
      </c>
      <c r="D50" s="21"/>
      <c r="E50" s="22" t="s">
        <v>415</v>
      </c>
      <c r="H50" s="23" t="s">
        <v>69</v>
      </c>
      <c r="I50" s="21"/>
      <c r="J50" s="25"/>
      <c r="K50" s="26" t="s">
        <v>44</v>
      </c>
      <c r="L50" s="16"/>
      <c r="M50" s="21"/>
    </row>
    <row r="51">
      <c r="A51" s="28">
        <v>46232.0</v>
      </c>
      <c r="B51" s="16" t="s">
        <v>422</v>
      </c>
      <c r="C51" s="20" t="s">
        <v>423</v>
      </c>
      <c r="D51" s="21"/>
      <c r="E51" s="22" t="s">
        <v>425</v>
      </c>
      <c r="H51" s="23" t="s">
        <v>427</v>
      </c>
      <c r="I51" s="21"/>
      <c r="J51" s="25"/>
      <c r="K51" s="26" t="s">
        <v>44</v>
      </c>
      <c r="L51" s="16"/>
      <c r="M51" s="21"/>
    </row>
    <row r="52">
      <c r="A52" s="28">
        <v>46232.0</v>
      </c>
      <c r="B52" s="16" t="s">
        <v>429</v>
      </c>
      <c r="C52" s="20" t="s">
        <v>431</v>
      </c>
      <c r="D52" s="21"/>
      <c r="E52" s="22" t="s">
        <v>432</v>
      </c>
      <c r="H52" s="23" t="s">
        <v>48</v>
      </c>
      <c r="I52" s="21"/>
      <c r="J52" s="25"/>
      <c r="K52" s="26" t="s">
        <v>44</v>
      </c>
      <c r="L52" s="16"/>
      <c r="M52" s="21"/>
    </row>
    <row r="53">
      <c r="A53" s="28">
        <v>46232.0</v>
      </c>
      <c r="B53" s="16" t="s">
        <v>436</v>
      </c>
      <c r="C53" s="20" t="s">
        <v>437</v>
      </c>
      <c r="D53" s="21"/>
      <c r="E53" s="22" t="s">
        <v>440</v>
      </c>
      <c r="H53" s="23" t="s">
        <v>98</v>
      </c>
      <c r="I53" s="21"/>
      <c r="J53" s="25"/>
      <c r="K53" s="26" t="s">
        <v>44</v>
      </c>
      <c r="L53" s="16"/>
      <c r="M53" s="21"/>
    </row>
    <row r="54">
      <c r="A54" s="28">
        <v>46232.0</v>
      </c>
      <c r="B54" s="16" t="s">
        <v>445</v>
      </c>
      <c r="C54" s="20" t="s">
        <v>446</v>
      </c>
      <c r="D54" s="21"/>
      <c r="E54" s="22" t="s">
        <v>447</v>
      </c>
      <c r="H54" s="23" t="s">
        <v>448</v>
      </c>
      <c r="I54" s="21"/>
      <c r="J54" s="25"/>
      <c r="K54" s="26" t="s">
        <v>44</v>
      </c>
      <c r="L54" s="16"/>
      <c r="M54" s="21"/>
    </row>
    <row r="55">
      <c r="A55" s="28">
        <v>46232.0</v>
      </c>
      <c r="B55" s="16" t="s">
        <v>451</v>
      </c>
      <c r="C55" s="20" t="s">
        <v>452</v>
      </c>
      <c r="D55" s="21"/>
      <c r="E55" s="22" t="s">
        <v>453</v>
      </c>
      <c r="H55" s="23" t="s">
        <v>48</v>
      </c>
      <c r="I55" s="21"/>
      <c r="J55" s="25"/>
      <c r="K55" s="26" t="s">
        <v>44</v>
      </c>
      <c r="L55" s="16"/>
      <c r="M55" s="21"/>
    </row>
    <row r="56">
      <c r="A56" s="28">
        <v>46232.0</v>
      </c>
      <c r="B56" s="16" t="s">
        <v>456</v>
      </c>
      <c r="C56" s="20" t="s">
        <v>457</v>
      </c>
      <c r="D56" s="21"/>
      <c r="E56" s="22" t="s">
        <v>459</v>
      </c>
      <c r="H56" s="23" t="s">
        <v>463</v>
      </c>
      <c r="I56" s="21"/>
      <c r="J56" s="25"/>
      <c r="K56" s="26" t="s">
        <v>44</v>
      </c>
      <c r="L56" s="16"/>
      <c r="M56" s="21"/>
    </row>
    <row r="57">
      <c r="A57" s="28">
        <v>46232.0</v>
      </c>
      <c r="B57" s="16" t="s">
        <v>464</v>
      </c>
      <c r="C57" s="20" t="s">
        <v>465</v>
      </c>
      <c r="D57" s="21"/>
      <c r="E57" s="22" t="s">
        <v>466</v>
      </c>
      <c r="H57" s="23" t="s">
        <v>471</v>
      </c>
      <c r="I57" s="21"/>
      <c r="J57" s="25"/>
      <c r="K57" s="26" t="s">
        <v>44</v>
      </c>
      <c r="L57" s="16"/>
      <c r="M57" s="21"/>
    </row>
    <row r="58">
      <c r="A58" s="28">
        <v>46232.0</v>
      </c>
      <c r="B58" s="16" t="s">
        <v>472</v>
      </c>
      <c r="C58" s="20" t="s">
        <v>473</v>
      </c>
      <c r="D58" s="21"/>
      <c r="E58" s="22" t="s">
        <v>474</v>
      </c>
      <c r="H58" s="23" t="s">
        <v>479</v>
      </c>
      <c r="I58" s="21"/>
      <c r="J58" s="25"/>
      <c r="K58" s="26" t="s">
        <v>44</v>
      </c>
      <c r="L58" s="16"/>
      <c r="M58" s="21"/>
    </row>
    <row r="59">
      <c r="A59" s="28">
        <v>46232.0</v>
      </c>
      <c r="B59" s="16" t="s">
        <v>482</v>
      </c>
      <c r="C59" s="20" t="s">
        <v>483</v>
      </c>
      <c r="D59" s="21"/>
      <c r="E59" s="22" t="s">
        <v>485</v>
      </c>
      <c r="H59" s="23" t="s">
        <v>487</v>
      </c>
      <c r="I59" s="21"/>
      <c r="J59" s="25"/>
      <c r="K59" s="26" t="s">
        <v>44</v>
      </c>
      <c r="L59" s="16"/>
      <c r="M59" s="21"/>
    </row>
    <row r="60">
      <c r="A60" s="28">
        <v>46232.0</v>
      </c>
      <c r="B60" s="16" t="s">
        <v>492</v>
      </c>
      <c r="C60" s="20" t="s">
        <v>493</v>
      </c>
      <c r="D60" s="21"/>
      <c r="E60" s="22" t="s">
        <v>494</v>
      </c>
      <c r="H60" s="23" t="s">
        <v>495</v>
      </c>
      <c r="I60" s="21"/>
      <c r="J60" s="25"/>
      <c r="K60" s="26" t="s">
        <v>44</v>
      </c>
      <c r="L60" s="16"/>
      <c r="M60" s="21"/>
    </row>
    <row r="61">
      <c r="A61" s="28">
        <v>46232.0</v>
      </c>
      <c r="B61" s="16" t="s">
        <v>499</v>
      </c>
      <c r="C61" s="20" t="s">
        <v>500</v>
      </c>
      <c r="D61" s="21"/>
      <c r="E61" s="22" t="s">
        <v>501</v>
      </c>
      <c r="H61" s="23" t="s">
        <v>65</v>
      </c>
      <c r="I61" s="21"/>
      <c r="J61" s="25"/>
      <c r="K61" s="26" t="s">
        <v>44</v>
      </c>
      <c r="L61" s="16"/>
      <c r="M61" s="21"/>
    </row>
    <row r="62">
      <c r="A62" s="28">
        <v>46232.0</v>
      </c>
      <c r="B62" s="16" t="s">
        <v>506</v>
      </c>
      <c r="C62" s="20" t="s">
        <v>507</v>
      </c>
      <c r="D62" s="21"/>
      <c r="E62" s="22" t="s">
        <v>508</v>
      </c>
      <c r="H62" s="23" t="s">
        <v>514</v>
      </c>
      <c r="I62" s="21"/>
      <c r="J62" s="25"/>
      <c r="K62" s="26" t="s">
        <v>44</v>
      </c>
      <c r="L62" s="16"/>
      <c r="M62" s="21"/>
    </row>
    <row r="63">
      <c r="A63" s="28">
        <v>46232.0</v>
      </c>
      <c r="B63" s="16" t="s">
        <v>515</v>
      </c>
      <c r="C63" s="20" t="s">
        <v>516</v>
      </c>
      <c r="D63" s="21"/>
      <c r="E63" s="22" t="s">
        <v>517</v>
      </c>
      <c r="H63" s="23" t="s">
        <v>528</v>
      </c>
      <c r="I63" s="21"/>
      <c r="J63" s="25"/>
      <c r="K63" s="26" t="s">
        <v>44</v>
      </c>
      <c r="L63" s="16"/>
      <c r="M63" s="21"/>
    </row>
    <row r="64">
      <c r="A64" s="28">
        <v>46232.0</v>
      </c>
      <c r="B64" s="16" t="s">
        <v>529</v>
      </c>
      <c r="C64" s="20" t="s">
        <v>530</v>
      </c>
      <c r="D64" s="21"/>
      <c r="E64" s="22" t="s">
        <v>531</v>
      </c>
      <c r="H64" s="23" t="s">
        <v>536</v>
      </c>
      <c r="I64" s="21"/>
      <c r="J64" s="25"/>
      <c r="K64" s="26" t="s">
        <v>44</v>
      </c>
      <c r="L64" s="16"/>
      <c r="M64" s="21"/>
    </row>
    <row r="65">
      <c r="A65" s="28">
        <v>46232.0</v>
      </c>
      <c r="B65" s="16" t="s">
        <v>537</v>
      </c>
      <c r="C65" s="20" t="s">
        <v>538</v>
      </c>
      <c r="D65" s="21"/>
      <c r="E65" s="22" t="s">
        <v>539</v>
      </c>
      <c r="H65" s="23" t="s">
        <v>307</v>
      </c>
      <c r="I65" s="21"/>
      <c r="J65" s="25"/>
      <c r="K65" s="26" t="s">
        <v>44</v>
      </c>
      <c r="L65" s="16"/>
      <c r="M65" s="21"/>
    </row>
    <row r="66">
      <c r="A66" s="28">
        <v>46232.0</v>
      </c>
      <c r="B66" s="16" t="s">
        <v>545</v>
      </c>
      <c r="C66" s="20" t="s">
        <v>546</v>
      </c>
      <c r="D66" s="21"/>
      <c r="E66" s="22" t="s">
        <v>549</v>
      </c>
      <c r="H66" s="23" t="s">
        <v>84</v>
      </c>
      <c r="I66" s="21"/>
      <c r="J66" s="25"/>
      <c r="K66" s="26" t="s">
        <v>44</v>
      </c>
      <c r="L66" s="16"/>
      <c r="M66" s="21"/>
    </row>
    <row r="67">
      <c r="A67" s="28">
        <v>46232.0</v>
      </c>
      <c r="B67" s="16" t="s">
        <v>558</v>
      </c>
      <c r="C67" s="20" t="s">
        <v>559</v>
      </c>
      <c r="D67" s="21"/>
      <c r="E67" s="22" t="s">
        <v>560</v>
      </c>
      <c r="H67" s="23" t="s">
        <v>564</v>
      </c>
      <c r="I67" s="21"/>
      <c r="J67" s="25"/>
      <c r="K67" s="26" t="s">
        <v>44</v>
      </c>
      <c r="L67" s="16"/>
      <c r="M67" s="21"/>
    </row>
    <row r="68">
      <c r="A68" s="28">
        <v>46232.0</v>
      </c>
      <c r="B68" s="16" t="s">
        <v>566</v>
      </c>
      <c r="C68" s="20" t="s">
        <v>568</v>
      </c>
      <c r="D68" s="21"/>
      <c r="E68" s="22" t="s">
        <v>569</v>
      </c>
      <c r="H68" s="23" t="s">
        <v>57</v>
      </c>
      <c r="I68" s="21"/>
      <c r="J68" s="25"/>
      <c r="K68" s="26" t="s">
        <v>44</v>
      </c>
      <c r="L68" s="16"/>
      <c r="M68" s="21"/>
    </row>
    <row r="69">
      <c r="A69" s="28">
        <v>46232.0</v>
      </c>
      <c r="B69" s="16" t="s">
        <v>575</v>
      </c>
      <c r="C69" s="20" t="s">
        <v>577</v>
      </c>
      <c r="D69" s="21"/>
      <c r="E69" s="22" t="s">
        <v>578</v>
      </c>
      <c r="H69" s="23" t="s">
        <v>583</v>
      </c>
      <c r="I69" s="21"/>
      <c r="J69" s="25"/>
      <c r="K69" s="26" t="s">
        <v>44</v>
      </c>
      <c r="L69" s="16"/>
      <c r="M69" s="21"/>
    </row>
    <row r="70">
      <c r="A70" s="28">
        <v>46232.0</v>
      </c>
      <c r="B70" s="16" t="s">
        <v>584</v>
      </c>
      <c r="C70" s="20" t="s">
        <v>585</v>
      </c>
      <c r="D70" s="21"/>
      <c r="E70" s="22" t="s">
        <v>586</v>
      </c>
      <c r="H70" s="23" t="s">
        <v>590</v>
      </c>
      <c r="I70" s="21"/>
      <c r="J70" s="25"/>
      <c r="K70" s="26" t="s">
        <v>44</v>
      </c>
      <c r="L70" s="16"/>
      <c r="M70" s="21"/>
    </row>
    <row r="71">
      <c r="A71" s="28">
        <v>46232.0</v>
      </c>
      <c r="B71" s="16" t="s">
        <v>594</v>
      </c>
      <c r="C71" s="20" t="s">
        <v>595</v>
      </c>
      <c r="D71" s="21"/>
      <c r="E71" s="22" t="s">
        <v>596</v>
      </c>
      <c r="H71" s="23" t="s">
        <v>599</v>
      </c>
      <c r="I71" s="21"/>
      <c r="J71" s="25"/>
      <c r="K71" s="26" t="s">
        <v>44</v>
      </c>
      <c r="L71" s="16"/>
      <c r="M71" s="21"/>
    </row>
    <row r="72">
      <c r="A72" s="28">
        <v>46232.0</v>
      </c>
      <c r="B72" s="16" t="s">
        <v>601</v>
      </c>
      <c r="C72" s="20" t="s">
        <v>602</v>
      </c>
      <c r="D72" s="21"/>
      <c r="E72" s="22" t="s">
        <v>603</v>
      </c>
      <c r="H72" s="23" t="s">
        <v>604</v>
      </c>
      <c r="I72" s="21"/>
      <c r="J72" s="25"/>
      <c r="K72" s="26" t="s">
        <v>44</v>
      </c>
      <c r="L72" s="16"/>
      <c r="M72" s="21"/>
    </row>
    <row r="73">
      <c r="A73" s="28">
        <v>46232.0</v>
      </c>
      <c r="B73" s="16" t="s">
        <v>605</v>
      </c>
      <c r="C73" s="20" t="s">
        <v>606</v>
      </c>
      <c r="D73" s="21"/>
      <c r="E73" s="22" t="s">
        <v>607</v>
      </c>
      <c r="H73" s="23" t="s">
        <v>614</v>
      </c>
      <c r="I73" s="21"/>
      <c r="J73" s="25"/>
      <c r="K73" s="26" t="s">
        <v>44</v>
      </c>
      <c r="L73" s="16"/>
      <c r="M73" s="21"/>
    </row>
    <row r="74">
      <c r="A74" s="28">
        <v>46232.0</v>
      </c>
      <c r="B74" s="16" t="s">
        <v>616</v>
      </c>
      <c r="C74" s="20" t="s">
        <v>617</v>
      </c>
      <c r="D74" s="21"/>
      <c r="E74" s="22" t="s">
        <v>618</v>
      </c>
      <c r="H74" s="23" t="s">
        <v>622</v>
      </c>
      <c r="I74" s="21"/>
      <c r="J74" s="25"/>
      <c r="K74" s="26" t="s">
        <v>44</v>
      </c>
      <c r="L74" s="16"/>
      <c r="M74" s="21"/>
    </row>
    <row r="75">
      <c r="A75" s="28">
        <v>46232.0</v>
      </c>
      <c r="B75" s="16" t="s">
        <v>623</v>
      </c>
      <c r="C75" s="20" t="s">
        <v>624</v>
      </c>
      <c r="D75" s="21"/>
      <c r="E75" s="22" t="s">
        <v>627</v>
      </c>
      <c r="H75" s="23" t="s">
        <v>69</v>
      </c>
      <c r="I75" s="21"/>
      <c r="J75" s="25"/>
      <c r="K75" s="26" t="s">
        <v>44</v>
      </c>
      <c r="L75" s="16"/>
      <c r="M75" s="21"/>
    </row>
    <row r="76">
      <c r="A76" s="28">
        <v>46232.0</v>
      </c>
      <c r="B76" s="16" t="s">
        <v>630</v>
      </c>
      <c r="C76" s="20" t="s">
        <v>631</v>
      </c>
      <c r="D76" s="21"/>
      <c r="E76" s="22" t="s">
        <v>632</v>
      </c>
      <c r="H76" s="23" t="s">
        <v>65</v>
      </c>
      <c r="I76" s="21"/>
      <c r="J76" s="25"/>
      <c r="K76" s="26" t="s">
        <v>44</v>
      </c>
      <c r="L76" s="16"/>
      <c r="M76" s="21"/>
    </row>
    <row r="77">
      <c r="A77" s="28">
        <v>46232.0</v>
      </c>
      <c r="B77" s="16" t="s">
        <v>637</v>
      </c>
      <c r="C77" s="20" t="s">
        <v>638</v>
      </c>
      <c r="D77" s="21"/>
      <c r="E77" s="22" t="s">
        <v>639</v>
      </c>
      <c r="H77" s="23" t="s">
        <v>48</v>
      </c>
      <c r="I77" s="21"/>
      <c r="J77" s="25"/>
      <c r="K77" s="26" t="s">
        <v>44</v>
      </c>
      <c r="L77" s="16"/>
      <c r="M77" s="21"/>
    </row>
    <row r="78">
      <c r="A78" s="28">
        <v>46232.0</v>
      </c>
      <c r="B78" s="16" t="s">
        <v>646</v>
      </c>
      <c r="C78" s="20" t="s">
        <v>647</v>
      </c>
      <c r="D78" s="21"/>
      <c r="E78" s="22" t="s">
        <v>648</v>
      </c>
      <c r="H78" s="23" t="s">
        <v>652</v>
      </c>
      <c r="I78" s="21"/>
      <c r="J78" s="25"/>
      <c r="K78" s="26" t="s">
        <v>44</v>
      </c>
      <c r="L78" s="16"/>
      <c r="M78" s="21"/>
    </row>
    <row r="79">
      <c r="A79" s="28">
        <v>46232.0</v>
      </c>
      <c r="B79" s="16" t="s">
        <v>658</v>
      </c>
      <c r="C79" s="20" t="s">
        <v>659</v>
      </c>
      <c r="D79" s="21"/>
      <c r="E79" s="22" t="s">
        <v>660</v>
      </c>
      <c r="H79" s="23" t="s">
        <v>370</v>
      </c>
      <c r="I79" s="21"/>
      <c r="J79" s="25"/>
      <c r="K79" s="26" t="s">
        <v>44</v>
      </c>
      <c r="L79" s="16"/>
      <c r="M79" s="21"/>
    </row>
    <row r="80">
      <c r="A80" s="28">
        <v>46232.0</v>
      </c>
      <c r="B80" s="16" t="s">
        <v>668</v>
      </c>
      <c r="C80" s="20" t="s">
        <v>669</v>
      </c>
      <c r="D80" s="21"/>
      <c r="E80" s="22" t="s">
        <v>670</v>
      </c>
      <c r="H80" s="23" t="s">
        <v>65</v>
      </c>
      <c r="I80" s="21"/>
      <c r="J80" s="25"/>
      <c r="K80" s="26" t="s">
        <v>44</v>
      </c>
      <c r="L80" s="16"/>
      <c r="M80" s="21"/>
    </row>
    <row r="81">
      <c r="A81" s="28">
        <v>46232.0</v>
      </c>
      <c r="B81" s="16" t="s">
        <v>678</v>
      </c>
      <c r="C81" s="20" t="s">
        <v>680</v>
      </c>
      <c r="D81" s="21"/>
      <c r="E81" s="22" t="s">
        <v>681</v>
      </c>
      <c r="H81" s="23" t="s">
        <v>42</v>
      </c>
      <c r="I81" s="21"/>
      <c r="J81" s="25"/>
      <c r="K81" s="26" t="s">
        <v>44</v>
      </c>
      <c r="L81" s="16"/>
      <c r="M81" s="21"/>
    </row>
    <row r="82">
      <c r="A82" s="28">
        <v>46232.0</v>
      </c>
      <c r="B82" s="16" t="s">
        <v>687</v>
      </c>
      <c r="C82" s="20" t="s">
        <v>688</v>
      </c>
      <c r="D82" s="21"/>
      <c r="E82" s="22" t="s">
        <v>690</v>
      </c>
      <c r="H82" s="23" t="s">
        <v>48</v>
      </c>
      <c r="I82" s="21"/>
      <c r="J82" s="25"/>
      <c r="K82" s="26" t="s">
        <v>44</v>
      </c>
      <c r="L82" s="16"/>
      <c r="M82" s="21"/>
    </row>
    <row r="83">
      <c r="A83" s="28">
        <v>46232.0</v>
      </c>
      <c r="B83" s="16" t="s">
        <v>697</v>
      </c>
      <c r="C83" s="20" t="s">
        <v>698</v>
      </c>
      <c r="D83" s="21"/>
      <c r="E83" s="22" t="s">
        <v>701</v>
      </c>
      <c r="H83" s="23" t="s">
        <v>48</v>
      </c>
      <c r="I83" s="21"/>
      <c r="J83" s="25"/>
      <c r="K83" s="26" t="s">
        <v>44</v>
      </c>
      <c r="L83" s="16"/>
      <c r="M83" s="21"/>
    </row>
    <row r="84">
      <c r="A84" s="28">
        <v>46232.0</v>
      </c>
      <c r="B84" s="16" t="s">
        <v>707</v>
      </c>
      <c r="C84" s="20" t="s">
        <v>708</v>
      </c>
      <c r="D84" s="21"/>
      <c r="E84" s="22" t="s">
        <v>709</v>
      </c>
      <c r="H84" s="23" t="s">
        <v>713</v>
      </c>
      <c r="I84" s="21"/>
      <c r="J84" s="25"/>
      <c r="K84" s="26" t="s">
        <v>44</v>
      </c>
      <c r="L84" s="16"/>
      <c r="M84" s="21"/>
    </row>
    <row r="85">
      <c r="A85" s="28">
        <v>46232.0</v>
      </c>
      <c r="B85" s="16" t="s">
        <v>718</v>
      </c>
      <c r="C85" s="20" t="s">
        <v>719</v>
      </c>
      <c r="D85" s="21"/>
      <c r="E85" s="22" t="s">
        <v>720</v>
      </c>
      <c r="H85" s="23" t="s">
        <v>148</v>
      </c>
      <c r="I85" s="21"/>
      <c r="J85" s="25"/>
      <c r="K85" s="26" t="s">
        <v>44</v>
      </c>
      <c r="L85" s="16"/>
      <c r="M85" s="21"/>
    </row>
    <row r="86">
      <c r="A86" s="28">
        <v>46232.0</v>
      </c>
      <c r="B86" s="16" t="s">
        <v>728</v>
      </c>
      <c r="C86" s="20" t="s">
        <v>729</v>
      </c>
      <c r="D86" s="21"/>
      <c r="E86" s="22" t="s">
        <v>730</v>
      </c>
      <c r="H86" s="23" t="s">
        <v>69</v>
      </c>
      <c r="I86" s="21"/>
      <c r="J86" s="25"/>
      <c r="K86" s="26" t="s">
        <v>44</v>
      </c>
      <c r="L86" s="16"/>
      <c r="M86" s="21"/>
    </row>
    <row r="87">
      <c r="A87" s="28">
        <v>46232.0</v>
      </c>
      <c r="B87" s="16" t="s">
        <v>737</v>
      </c>
      <c r="C87" s="20" t="s">
        <v>738</v>
      </c>
      <c r="D87" s="21"/>
      <c r="E87" s="22" t="s">
        <v>739</v>
      </c>
      <c r="H87" s="23" t="s">
        <v>370</v>
      </c>
      <c r="I87" s="21"/>
      <c r="J87" s="25"/>
      <c r="K87" s="26" t="s">
        <v>44</v>
      </c>
      <c r="L87" s="16"/>
      <c r="M87" s="21"/>
    </row>
    <row r="88">
      <c r="A88" s="28">
        <v>46232.0</v>
      </c>
      <c r="B88" s="16" t="s">
        <v>746</v>
      </c>
      <c r="C88" s="20" t="s">
        <v>747</v>
      </c>
      <c r="D88" s="21"/>
      <c r="E88" s="22" t="s">
        <v>748</v>
      </c>
      <c r="H88" s="23" t="s">
        <v>751</v>
      </c>
      <c r="I88" s="21"/>
      <c r="J88" s="25"/>
      <c r="K88" s="26" t="s">
        <v>44</v>
      </c>
      <c r="L88" s="16"/>
      <c r="M88" s="21"/>
    </row>
    <row r="89">
      <c r="A89" s="28">
        <v>46232.0</v>
      </c>
      <c r="B89" s="16" t="s">
        <v>754</v>
      </c>
      <c r="C89" s="20" t="s">
        <v>755</v>
      </c>
      <c r="D89" s="21"/>
      <c r="E89" s="22" t="s">
        <v>756</v>
      </c>
      <c r="H89" s="23" t="s">
        <v>299</v>
      </c>
      <c r="I89" s="21"/>
      <c r="J89" s="25"/>
      <c r="K89" s="26" t="s">
        <v>44</v>
      </c>
      <c r="L89" s="16"/>
      <c r="M89" s="21"/>
    </row>
    <row r="90">
      <c r="A90" s="28">
        <v>46232.0</v>
      </c>
      <c r="B90" s="16" t="s">
        <v>759</v>
      </c>
      <c r="C90" s="20" t="s">
        <v>760</v>
      </c>
      <c r="D90" s="21"/>
      <c r="E90" s="22" t="s">
        <v>761</v>
      </c>
      <c r="H90" s="23" t="s">
        <v>767</v>
      </c>
      <c r="I90" s="21"/>
      <c r="J90" s="25"/>
      <c r="K90" s="26" t="s">
        <v>44</v>
      </c>
      <c r="L90" s="16"/>
      <c r="M90" s="21"/>
    </row>
    <row r="91">
      <c r="A91" s="28">
        <v>46232.0</v>
      </c>
      <c r="B91" s="16" t="s">
        <v>771</v>
      </c>
      <c r="C91" s="20" t="s">
        <v>772</v>
      </c>
      <c r="D91" s="21"/>
      <c r="E91" s="22" t="s">
        <v>773</v>
      </c>
      <c r="H91" s="23" t="s">
        <v>778</v>
      </c>
      <c r="I91" s="21"/>
      <c r="J91" s="25"/>
      <c r="K91" s="26" t="s">
        <v>44</v>
      </c>
      <c r="L91" s="16"/>
      <c r="M91" s="21"/>
    </row>
    <row r="92">
      <c r="A92" s="28">
        <v>46232.0</v>
      </c>
      <c r="B92" s="16" t="s">
        <v>780</v>
      </c>
      <c r="C92" s="20" t="s">
        <v>781</v>
      </c>
      <c r="D92" s="21"/>
      <c r="E92" s="22" t="s">
        <v>782</v>
      </c>
      <c r="H92" s="23" t="s">
        <v>69</v>
      </c>
      <c r="I92" s="21"/>
      <c r="J92" s="25"/>
      <c r="K92" s="26" t="s">
        <v>44</v>
      </c>
      <c r="L92" s="16"/>
      <c r="M92" s="21"/>
    </row>
    <row r="93">
      <c r="A93" s="28">
        <v>46232.0</v>
      </c>
      <c r="B93" s="16" t="s">
        <v>786</v>
      </c>
      <c r="C93" s="20" t="s">
        <v>787</v>
      </c>
      <c r="D93" s="21"/>
      <c r="E93" s="22" t="s">
        <v>788</v>
      </c>
      <c r="H93" s="23" t="s">
        <v>792</v>
      </c>
      <c r="I93" s="21"/>
      <c r="J93" s="25"/>
      <c r="K93" s="26" t="s">
        <v>44</v>
      </c>
      <c r="L93" s="16"/>
      <c r="M93" s="21"/>
    </row>
    <row r="94">
      <c r="A94" s="28">
        <v>46232.0</v>
      </c>
      <c r="B94" s="16" t="s">
        <v>793</v>
      </c>
      <c r="C94" s="20" t="s">
        <v>794</v>
      </c>
      <c r="D94" s="21"/>
      <c r="E94" s="22" t="s">
        <v>796</v>
      </c>
      <c r="H94" s="23" t="s">
        <v>800</v>
      </c>
      <c r="I94" s="21"/>
      <c r="J94" s="25"/>
      <c r="K94" s="26" t="s">
        <v>44</v>
      </c>
      <c r="L94" s="16"/>
      <c r="M94" s="21"/>
    </row>
    <row r="95">
      <c r="A95" s="28">
        <v>46232.0</v>
      </c>
      <c r="B95" s="16" t="s">
        <v>801</v>
      </c>
      <c r="C95" s="20" t="s">
        <v>802</v>
      </c>
      <c r="D95" s="21"/>
      <c r="E95" s="22" t="s">
        <v>803</v>
      </c>
      <c r="H95" s="23" t="s">
        <v>479</v>
      </c>
      <c r="I95" s="21"/>
      <c r="J95" s="25"/>
      <c r="K95" s="26" t="s">
        <v>44</v>
      </c>
      <c r="L95" s="16"/>
      <c r="M95" s="21"/>
    </row>
    <row r="96">
      <c r="A96" s="28">
        <v>46232.0</v>
      </c>
      <c r="B96" s="16" t="s">
        <v>814</v>
      </c>
      <c r="C96" s="20" t="s">
        <v>815</v>
      </c>
      <c r="D96" s="21"/>
      <c r="E96" s="22" t="s">
        <v>816</v>
      </c>
      <c r="H96" s="23" t="s">
        <v>821</v>
      </c>
      <c r="I96" s="21"/>
      <c r="J96" s="25"/>
      <c r="K96" s="26" t="s">
        <v>44</v>
      </c>
      <c r="L96" s="16"/>
      <c r="M96" s="21"/>
    </row>
    <row r="97">
      <c r="A97" s="28">
        <v>46232.0</v>
      </c>
      <c r="B97" s="16" t="s">
        <v>825</v>
      </c>
      <c r="C97" s="20" t="s">
        <v>826</v>
      </c>
      <c r="D97" s="21"/>
      <c r="E97" s="22" t="s">
        <v>827</v>
      </c>
      <c r="H97" s="23" t="s">
        <v>832</v>
      </c>
      <c r="I97" s="21"/>
      <c r="J97" s="25"/>
      <c r="K97" s="26" t="s">
        <v>44</v>
      </c>
      <c r="L97" s="16"/>
      <c r="M97" s="21"/>
    </row>
    <row r="98">
      <c r="A98" s="28">
        <v>46232.0</v>
      </c>
      <c r="B98" s="16" t="s">
        <v>837</v>
      </c>
      <c r="C98" s="20" t="s">
        <v>838</v>
      </c>
      <c r="D98" s="21"/>
      <c r="E98" s="22" t="s">
        <v>839</v>
      </c>
      <c r="H98" s="23" t="s">
        <v>844</v>
      </c>
      <c r="I98" s="21"/>
      <c r="J98" s="25"/>
      <c r="K98" s="26" t="s">
        <v>44</v>
      </c>
      <c r="L98" s="16"/>
      <c r="M98" s="21"/>
    </row>
    <row r="99">
      <c r="A99" s="28">
        <v>46232.0</v>
      </c>
      <c r="B99" s="16" t="s">
        <v>849</v>
      </c>
      <c r="C99" s="20" t="s">
        <v>850</v>
      </c>
      <c r="D99" s="21"/>
      <c r="E99" s="22" t="s">
        <v>851</v>
      </c>
      <c r="H99" s="23" t="s">
        <v>856</v>
      </c>
      <c r="I99" s="21"/>
      <c r="J99" s="25"/>
      <c r="K99" s="26" t="s">
        <v>44</v>
      </c>
      <c r="L99" s="16"/>
      <c r="M99" s="21"/>
    </row>
    <row r="100">
      <c r="A100" s="28">
        <v>46232.0</v>
      </c>
      <c r="B100" s="16" t="s">
        <v>862</v>
      </c>
      <c r="C100" s="20" t="s">
        <v>863</v>
      </c>
      <c r="D100" s="21"/>
      <c r="E100" s="22" t="s">
        <v>864</v>
      </c>
      <c r="H100" s="23" t="s">
        <v>57</v>
      </c>
      <c r="I100" s="21"/>
      <c r="J100" s="25"/>
      <c r="K100" s="26" t="s">
        <v>44</v>
      </c>
      <c r="L100" s="16"/>
      <c r="M100" s="21"/>
    </row>
    <row r="101">
      <c r="A101" s="28">
        <v>46232.0</v>
      </c>
      <c r="B101" s="16" t="s">
        <v>871</v>
      </c>
      <c r="C101" s="20" t="s">
        <v>872</v>
      </c>
      <c r="D101" s="21"/>
      <c r="E101" s="22" t="s">
        <v>875</v>
      </c>
      <c r="H101" s="23" t="s">
        <v>279</v>
      </c>
      <c r="I101" s="21"/>
      <c r="J101" s="25"/>
      <c r="K101" s="26" t="s">
        <v>44</v>
      </c>
      <c r="L101" s="16"/>
      <c r="M101" s="21"/>
    </row>
    <row r="102">
      <c r="A102" s="28">
        <v>46232.0</v>
      </c>
      <c r="B102" s="16" t="s">
        <v>880</v>
      </c>
      <c r="C102" s="20" t="s">
        <v>881</v>
      </c>
      <c r="D102" s="21"/>
      <c r="E102" s="22" t="s">
        <v>882</v>
      </c>
      <c r="H102" s="23" t="s">
        <v>479</v>
      </c>
      <c r="I102" s="21"/>
      <c r="J102" s="25"/>
      <c r="K102" s="26" t="s">
        <v>44</v>
      </c>
      <c r="L102" s="16"/>
      <c r="M102" s="21"/>
    </row>
    <row r="103">
      <c r="A103" s="28">
        <v>46232.0</v>
      </c>
      <c r="B103" s="16" t="s">
        <v>892</v>
      </c>
      <c r="C103" s="20" t="s">
        <v>893</v>
      </c>
      <c r="D103" s="21"/>
      <c r="E103" s="22" t="s">
        <v>895</v>
      </c>
      <c r="H103" s="23" t="s">
        <v>896</v>
      </c>
      <c r="I103" s="21"/>
      <c r="J103" s="25"/>
      <c r="K103" s="26" t="s">
        <v>44</v>
      </c>
      <c r="L103" s="16"/>
      <c r="M103" s="21"/>
    </row>
    <row r="104">
      <c r="A104" s="28">
        <v>46232.0</v>
      </c>
      <c r="B104" s="16" t="s">
        <v>901</v>
      </c>
      <c r="C104" s="20" t="s">
        <v>902</v>
      </c>
      <c r="D104" s="21"/>
      <c r="E104" s="22" t="s">
        <v>903</v>
      </c>
      <c r="H104" s="23" t="s">
        <v>904</v>
      </c>
      <c r="I104" s="21"/>
      <c r="J104" s="25"/>
      <c r="K104" s="26" t="s">
        <v>44</v>
      </c>
      <c r="L104" s="16"/>
      <c r="M104" s="21"/>
    </row>
    <row r="105">
      <c r="A105" s="28">
        <v>46232.0</v>
      </c>
      <c r="B105" s="16" t="s">
        <v>908</v>
      </c>
      <c r="C105" s="20" t="s">
        <v>909</v>
      </c>
      <c r="D105" s="21"/>
      <c r="E105" s="22" t="s">
        <v>910</v>
      </c>
      <c r="H105" s="23" t="s">
        <v>479</v>
      </c>
      <c r="I105" s="21"/>
      <c r="J105" s="25"/>
      <c r="K105" s="26" t="s">
        <v>44</v>
      </c>
      <c r="L105" s="16"/>
      <c r="M105" s="21"/>
    </row>
    <row r="106">
      <c r="A106" s="28">
        <v>46232.0</v>
      </c>
      <c r="B106" s="16" t="s">
        <v>915</v>
      </c>
      <c r="C106" s="20" t="s">
        <v>916</v>
      </c>
      <c r="D106" s="21"/>
      <c r="E106" s="22" t="s">
        <v>917</v>
      </c>
      <c r="H106" s="23" t="s">
        <v>69</v>
      </c>
      <c r="I106" s="21"/>
      <c r="J106" s="25"/>
      <c r="K106" s="26" t="s">
        <v>44</v>
      </c>
      <c r="L106" s="16"/>
      <c r="M106" s="21"/>
    </row>
    <row r="107">
      <c r="A107" s="28">
        <v>46232.0</v>
      </c>
      <c r="B107" s="16" t="s">
        <v>922</v>
      </c>
      <c r="C107" s="20" t="s">
        <v>923</v>
      </c>
      <c r="D107" s="21"/>
      <c r="E107" s="22" t="s">
        <v>924</v>
      </c>
      <c r="H107" s="23" t="s">
        <v>69</v>
      </c>
      <c r="I107" s="21"/>
      <c r="J107" s="25"/>
      <c r="K107" s="26" t="s">
        <v>44</v>
      </c>
      <c r="L107" s="16"/>
      <c r="M107" s="21"/>
    </row>
    <row r="108">
      <c r="A108" s="28">
        <v>46232.0</v>
      </c>
      <c r="B108" s="16" t="s">
        <v>927</v>
      </c>
      <c r="C108" s="20" t="s">
        <v>928</v>
      </c>
      <c r="D108" s="21"/>
      <c r="E108" s="22" t="s">
        <v>929</v>
      </c>
      <c r="H108" s="23" t="s">
        <v>48</v>
      </c>
      <c r="I108" s="21"/>
      <c r="J108" s="25"/>
      <c r="K108" s="26" t="s">
        <v>44</v>
      </c>
      <c r="L108" s="16"/>
      <c r="M108" s="21"/>
    </row>
    <row r="109">
      <c r="A109" s="28">
        <v>46232.0</v>
      </c>
      <c r="B109" s="16" t="s">
        <v>930</v>
      </c>
      <c r="C109" s="20" t="s">
        <v>931</v>
      </c>
      <c r="D109" s="21"/>
      <c r="E109" s="22" t="s">
        <v>932</v>
      </c>
      <c r="H109" s="23" t="s">
        <v>48</v>
      </c>
      <c r="I109" s="21"/>
      <c r="J109" s="25"/>
      <c r="K109" s="26" t="s">
        <v>44</v>
      </c>
      <c r="L109" s="16"/>
      <c r="M109" s="21"/>
    </row>
    <row r="110">
      <c r="A110" s="28">
        <v>46232.0</v>
      </c>
      <c r="B110" s="16" t="s">
        <v>933</v>
      </c>
      <c r="C110" s="20" t="s">
        <v>934</v>
      </c>
      <c r="D110" s="21"/>
      <c r="E110" s="22" t="s">
        <v>935</v>
      </c>
      <c r="H110" s="23" t="s">
        <v>936</v>
      </c>
      <c r="I110" s="21"/>
      <c r="J110" s="25"/>
      <c r="K110" s="26" t="s">
        <v>44</v>
      </c>
      <c r="L110" s="16"/>
      <c r="M110" s="21"/>
    </row>
    <row r="111">
      <c r="A111" s="28">
        <v>46232.0</v>
      </c>
      <c r="B111" s="16" t="s">
        <v>937</v>
      </c>
      <c r="C111" s="20" t="s">
        <v>938</v>
      </c>
      <c r="D111" s="21"/>
      <c r="E111" s="22" t="s">
        <v>939</v>
      </c>
      <c r="H111" s="23" t="s">
        <v>48</v>
      </c>
      <c r="I111" s="21"/>
      <c r="J111" s="25"/>
      <c r="K111" s="26" t="s">
        <v>44</v>
      </c>
      <c r="L111" s="16"/>
      <c r="M111" s="21"/>
    </row>
    <row r="112">
      <c r="A112" s="28">
        <v>46232.0</v>
      </c>
      <c r="B112" s="16" t="s">
        <v>940</v>
      </c>
      <c r="C112" s="20" t="s">
        <v>941</v>
      </c>
      <c r="D112" s="21"/>
      <c r="E112" s="22" t="s">
        <v>942</v>
      </c>
      <c r="H112" s="23" t="s">
        <v>943</v>
      </c>
      <c r="I112" s="21"/>
      <c r="J112" s="25"/>
      <c r="K112" s="26" t="s">
        <v>44</v>
      </c>
      <c r="L112" s="16"/>
      <c r="M112" s="21"/>
    </row>
    <row r="113">
      <c r="A113" s="28">
        <v>46232.0</v>
      </c>
      <c r="B113" s="16" t="s">
        <v>944</v>
      </c>
      <c r="C113" s="20" t="s">
        <v>945</v>
      </c>
      <c r="D113" s="21"/>
      <c r="E113" s="22" t="s">
        <v>946</v>
      </c>
      <c r="H113" s="23" t="s">
        <v>404</v>
      </c>
      <c r="I113" s="21"/>
      <c r="J113" s="25"/>
      <c r="K113" s="26" t="s">
        <v>44</v>
      </c>
      <c r="L113" s="16"/>
      <c r="M113" s="21"/>
    </row>
    <row r="114">
      <c r="A114" s="28">
        <v>46232.0</v>
      </c>
      <c r="B114" s="16" t="s">
        <v>947</v>
      </c>
      <c r="C114" s="20" t="s">
        <v>948</v>
      </c>
      <c r="D114" s="21"/>
      <c r="E114" s="22" t="s">
        <v>949</v>
      </c>
      <c r="H114" s="23" t="s">
        <v>65</v>
      </c>
      <c r="I114" s="21"/>
      <c r="J114" s="25"/>
      <c r="K114" s="26" t="s">
        <v>44</v>
      </c>
      <c r="L114" s="16"/>
      <c r="M114" s="21"/>
    </row>
    <row r="115">
      <c r="A115" s="28">
        <v>46232.0</v>
      </c>
      <c r="B115" s="16" t="s">
        <v>950</v>
      </c>
      <c r="C115" s="20" t="s">
        <v>951</v>
      </c>
      <c r="D115" s="21"/>
      <c r="E115" s="22" t="s">
        <v>952</v>
      </c>
      <c r="H115" s="23" t="s">
        <v>713</v>
      </c>
      <c r="I115" s="21"/>
      <c r="J115" s="25"/>
      <c r="K115" s="26" t="s">
        <v>44</v>
      </c>
      <c r="L115" s="16"/>
      <c r="M115" s="21"/>
    </row>
    <row r="116">
      <c r="A116" s="28">
        <v>46232.0</v>
      </c>
      <c r="B116" s="16" t="s">
        <v>953</v>
      </c>
      <c r="C116" s="20" t="s">
        <v>954</v>
      </c>
      <c r="D116" s="21"/>
      <c r="E116" s="22" t="s">
        <v>955</v>
      </c>
      <c r="H116" s="23" t="s">
        <v>956</v>
      </c>
      <c r="I116" s="21"/>
      <c r="J116" s="25"/>
      <c r="K116" s="26" t="s">
        <v>44</v>
      </c>
      <c r="L116" s="16"/>
      <c r="M116" s="21"/>
    </row>
    <row r="117">
      <c r="A117" s="28">
        <v>46232.0</v>
      </c>
      <c r="B117" s="16" t="s">
        <v>957</v>
      </c>
      <c r="C117" s="20" t="s">
        <v>958</v>
      </c>
      <c r="D117" s="21"/>
      <c r="E117" s="22" t="s">
        <v>959</v>
      </c>
      <c r="H117" s="23" t="s">
        <v>960</v>
      </c>
      <c r="I117" s="21"/>
      <c r="J117" s="25"/>
      <c r="K117" s="26" t="s">
        <v>44</v>
      </c>
      <c r="L117" s="16"/>
      <c r="M117" s="21"/>
    </row>
    <row r="118">
      <c r="A118" s="28">
        <v>46232.0</v>
      </c>
      <c r="B118" s="16" t="s">
        <v>961</v>
      </c>
      <c r="C118" s="20" t="s">
        <v>962</v>
      </c>
      <c r="D118" s="21"/>
      <c r="E118" s="22" t="s">
        <v>963</v>
      </c>
      <c r="H118" s="23" t="s">
        <v>48</v>
      </c>
      <c r="I118" s="21"/>
      <c r="J118" s="25"/>
      <c r="K118" s="26" t="s">
        <v>44</v>
      </c>
      <c r="L118" s="16"/>
      <c r="M118" s="21"/>
    </row>
    <row r="119">
      <c r="A119" s="28">
        <v>46232.0</v>
      </c>
      <c r="B119" s="16" t="s">
        <v>964</v>
      </c>
      <c r="C119" s="20" t="s">
        <v>965</v>
      </c>
      <c r="D119" s="21"/>
      <c r="E119" s="22" t="s">
        <v>966</v>
      </c>
      <c r="H119" s="23" t="s">
        <v>80</v>
      </c>
      <c r="I119" s="21"/>
      <c r="J119" s="25"/>
      <c r="K119" s="26" t="s">
        <v>44</v>
      </c>
      <c r="L119" s="16"/>
      <c r="M119" s="21"/>
    </row>
    <row r="120">
      <c r="A120" s="28">
        <v>46232.0</v>
      </c>
      <c r="B120" s="16" t="s">
        <v>967</v>
      </c>
      <c r="C120" s="20" t="s">
        <v>968</v>
      </c>
      <c r="D120" s="21"/>
      <c r="E120" s="22" t="s">
        <v>969</v>
      </c>
      <c r="H120" s="23" t="s">
        <v>564</v>
      </c>
      <c r="I120" s="21"/>
      <c r="J120" s="25"/>
      <c r="K120" s="26" t="s">
        <v>44</v>
      </c>
      <c r="L120" s="16"/>
      <c r="M120" s="21"/>
    </row>
    <row r="121">
      <c r="A121" s="28">
        <v>46232.0</v>
      </c>
      <c r="B121" s="16" t="s">
        <v>970</v>
      </c>
      <c r="C121" s="20" t="s">
        <v>971</v>
      </c>
      <c r="D121" s="21"/>
      <c r="E121" s="22" t="s">
        <v>972</v>
      </c>
      <c r="H121" s="23" t="s">
        <v>69</v>
      </c>
      <c r="I121" s="21"/>
      <c r="J121" s="25"/>
      <c r="K121" s="26" t="s">
        <v>44</v>
      </c>
      <c r="L121" s="16"/>
      <c r="M121" s="21"/>
    </row>
    <row r="122">
      <c r="A122" s="28">
        <v>46232.0</v>
      </c>
      <c r="B122" s="16" t="s">
        <v>973</v>
      </c>
      <c r="C122" s="20" t="s">
        <v>974</v>
      </c>
      <c r="D122" s="21"/>
      <c r="E122" s="22" t="s">
        <v>975</v>
      </c>
      <c r="H122" s="23" t="s">
        <v>976</v>
      </c>
      <c r="I122" s="21"/>
      <c r="J122" s="25"/>
      <c r="K122" s="26" t="s">
        <v>44</v>
      </c>
      <c r="L122" s="16"/>
      <c r="M122" s="21"/>
    </row>
    <row r="123">
      <c r="A123" s="28">
        <v>46232.0</v>
      </c>
      <c r="B123" s="16" t="s">
        <v>977</v>
      </c>
      <c r="C123" s="20" t="s">
        <v>978</v>
      </c>
      <c r="D123" s="21"/>
      <c r="E123" s="22" t="s">
        <v>979</v>
      </c>
      <c r="H123" s="23" t="s">
        <v>299</v>
      </c>
      <c r="I123" s="21"/>
      <c r="J123" s="25"/>
      <c r="K123" s="26" t="s">
        <v>44</v>
      </c>
      <c r="L123" s="16"/>
      <c r="M123" s="21"/>
    </row>
    <row r="124">
      <c r="A124" s="28">
        <v>46232.0</v>
      </c>
      <c r="B124" s="16" t="s">
        <v>980</v>
      </c>
      <c r="C124" s="20" t="s">
        <v>981</v>
      </c>
      <c r="D124" s="21"/>
      <c r="E124" s="22" t="s">
        <v>982</v>
      </c>
      <c r="H124" s="23" t="s">
        <v>983</v>
      </c>
      <c r="I124" s="21"/>
      <c r="J124" s="25"/>
      <c r="K124" s="26" t="s">
        <v>44</v>
      </c>
      <c r="L124" s="16"/>
      <c r="M124" s="21"/>
    </row>
    <row r="125">
      <c r="A125" s="28">
        <v>46232.0</v>
      </c>
      <c r="B125" s="16" t="s">
        <v>984</v>
      </c>
      <c r="C125" s="20" t="s">
        <v>985</v>
      </c>
      <c r="D125" s="21"/>
      <c r="E125" s="22" t="s">
        <v>986</v>
      </c>
      <c r="H125" s="23" t="s">
        <v>404</v>
      </c>
      <c r="I125" s="21"/>
      <c r="J125" s="25"/>
      <c r="K125" s="26" t="s">
        <v>44</v>
      </c>
      <c r="L125" s="16"/>
      <c r="M125" s="21"/>
    </row>
    <row r="126">
      <c r="A126" s="28">
        <v>46232.0</v>
      </c>
      <c r="B126" s="16" t="s">
        <v>987</v>
      </c>
      <c r="C126" s="20" t="s">
        <v>988</v>
      </c>
      <c r="D126" s="21"/>
      <c r="E126" s="22" t="s">
        <v>989</v>
      </c>
      <c r="H126" s="23" t="s">
        <v>990</v>
      </c>
      <c r="I126" s="21"/>
      <c r="J126" s="25"/>
      <c r="K126" s="26" t="s">
        <v>44</v>
      </c>
      <c r="L126" s="16"/>
      <c r="M126" s="21"/>
    </row>
    <row r="127">
      <c r="A127" s="28">
        <v>46232.0</v>
      </c>
      <c r="B127" s="16" t="s">
        <v>991</v>
      </c>
      <c r="C127" s="20" t="s">
        <v>992</v>
      </c>
      <c r="D127" s="21"/>
      <c r="E127" s="22" t="s">
        <v>993</v>
      </c>
      <c r="H127" s="23" t="s">
        <v>994</v>
      </c>
      <c r="I127" s="21"/>
      <c r="J127" s="25"/>
      <c r="K127" s="26" t="s">
        <v>44</v>
      </c>
      <c r="L127" s="16"/>
      <c r="M127" s="21"/>
    </row>
    <row r="128">
      <c r="A128" s="28">
        <v>46232.0</v>
      </c>
      <c r="B128" s="16" t="s">
        <v>995</v>
      </c>
      <c r="C128" s="20" t="s">
        <v>996</v>
      </c>
      <c r="D128" s="21"/>
      <c r="E128" s="22" t="s">
        <v>997</v>
      </c>
      <c r="H128" s="23" t="s">
        <v>479</v>
      </c>
      <c r="I128" s="21"/>
      <c r="J128" s="25"/>
      <c r="K128" s="26" t="s">
        <v>44</v>
      </c>
      <c r="L128" s="16"/>
      <c r="M128" s="21"/>
    </row>
    <row r="129">
      <c r="A129" s="28">
        <v>46232.0</v>
      </c>
      <c r="B129" s="16" t="s">
        <v>998</v>
      </c>
      <c r="C129" s="20" t="s">
        <v>999</v>
      </c>
      <c r="D129" s="21"/>
      <c r="E129" s="22" t="s">
        <v>1000</v>
      </c>
      <c r="H129" s="23" t="s">
        <v>412</v>
      </c>
      <c r="I129" s="21"/>
      <c r="J129" s="25"/>
      <c r="K129" s="26" t="s">
        <v>44</v>
      </c>
      <c r="L129" s="16"/>
      <c r="M129" s="21"/>
    </row>
    <row r="130">
      <c r="A130" s="28">
        <v>46232.0</v>
      </c>
      <c r="B130" s="16" t="s">
        <v>1001</v>
      </c>
      <c r="C130" s="20" t="s">
        <v>1002</v>
      </c>
      <c r="D130" s="21"/>
      <c r="E130" s="22" t="s">
        <v>1003</v>
      </c>
      <c r="H130" s="23" t="s">
        <v>57</v>
      </c>
      <c r="I130" s="21"/>
      <c r="J130" s="25"/>
      <c r="K130" s="26" t="s">
        <v>44</v>
      </c>
      <c r="L130" s="16"/>
      <c r="M130" s="21"/>
    </row>
    <row r="131">
      <c r="A131" s="28">
        <v>46232.0</v>
      </c>
      <c r="B131" s="16" t="s">
        <v>1004</v>
      </c>
      <c r="C131" s="20" t="s">
        <v>1005</v>
      </c>
      <c r="D131" s="21"/>
      <c r="E131" s="22" t="s">
        <v>1006</v>
      </c>
      <c r="H131" s="23" t="s">
        <v>80</v>
      </c>
      <c r="I131" s="21"/>
      <c r="J131" s="25"/>
      <c r="K131" s="26" t="s">
        <v>44</v>
      </c>
      <c r="L131" s="16"/>
      <c r="M131" s="21"/>
    </row>
    <row r="132">
      <c r="A132" s="28">
        <v>46232.0</v>
      </c>
      <c r="B132" s="16" t="s">
        <v>1007</v>
      </c>
      <c r="C132" s="20" t="s">
        <v>1008</v>
      </c>
      <c r="D132" s="21"/>
      <c r="E132" s="22" t="s">
        <v>1009</v>
      </c>
      <c r="H132" s="23" t="s">
        <v>936</v>
      </c>
      <c r="I132" s="21"/>
      <c r="J132" s="25"/>
      <c r="K132" s="26" t="s">
        <v>44</v>
      </c>
      <c r="L132" s="16"/>
      <c r="M132" s="21"/>
    </row>
    <row r="133">
      <c r="A133" s="28">
        <v>46232.0</v>
      </c>
      <c r="B133" s="16" t="s">
        <v>1010</v>
      </c>
      <c r="C133" s="20" t="s">
        <v>1011</v>
      </c>
      <c r="D133" s="21"/>
      <c r="E133" s="22" t="s">
        <v>1012</v>
      </c>
      <c r="H133" s="23" t="s">
        <v>48</v>
      </c>
      <c r="I133" s="21"/>
      <c r="J133" s="25"/>
      <c r="K133" s="26" t="s">
        <v>44</v>
      </c>
      <c r="L133" s="16"/>
      <c r="M133" s="21"/>
    </row>
    <row r="134">
      <c r="A134" s="28">
        <v>46232.0</v>
      </c>
      <c r="B134" s="16" t="s">
        <v>1013</v>
      </c>
      <c r="C134" s="20" t="s">
        <v>1014</v>
      </c>
      <c r="D134" s="21"/>
      <c r="E134" s="22" t="s">
        <v>1015</v>
      </c>
      <c r="H134" s="23" t="s">
        <v>1016</v>
      </c>
      <c r="I134" s="21"/>
      <c r="J134" s="25"/>
      <c r="K134" s="26" t="s">
        <v>44</v>
      </c>
      <c r="L134" s="16"/>
      <c r="M134" s="21"/>
    </row>
    <row r="135">
      <c r="A135" s="28">
        <v>46232.0</v>
      </c>
      <c r="B135" s="16" t="s">
        <v>1017</v>
      </c>
      <c r="C135" s="20" t="s">
        <v>1018</v>
      </c>
      <c r="D135" s="21"/>
      <c r="E135" s="22" t="s">
        <v>1019</v>
      </c>
      <c r="H135" s="23" t="s">
        <v>1020</v>
      </c>
      <c r="I135" s="21"/>
      <c r="J135" s="25"/>
      <c r="K135" s="26" t="s">
        <v>44</v>
      </c>
      <c r="L135" s="16"/>
      <c r="M135" s="21"/>
    </row>
    <row r="136">
      <c r="A136" s="28">
        <v>46232.0</v>
      </c>
      <c r="B136" s="16" t="s">
        <v>1021</v>
      </c>
      <c r="C136" s="20" t="s">
        <v>1022</v>
      </c>
      <c r="D136" s="21"/>
      <c r="E136" s="22" t="s">
        <v>1023</v>
      </c>
      <c r="H136" s="23" t="s">
        <v>1024</v>
      </c>
      <c r="I136" s="21"/>
      <c r="J136" s="25"/>
      <c r="K136" s="26" t="s">
        <v>44</v>
      </c>
      <c r="L136" s="16"/>
      <c r="M136" s="21"/>
    </row>
    <row r="137">
      <c r="A137" s="28">
        <v>46232.0</v>
      </c>
      <c r="B137" s="16" t="s">
        <v>1025</v>
      </c>
      <c r="C137" s="20" t="s">
        <v>1026</v>
      </c>
      <c r="D137" s="21"/>
      <c r="E137" s="22" t="s">
        <v>1027</v>
      </c>
      <c r="H137" s="23" t="s">
        <v>65</v>
      </c>
      <c r="I137" s="21"/>
      <c r="J137" s="25"/>
      <c r="K137" s="26" t="s">
        <v>44</v>
      </c>
      <c r="L137" s="16"/>
      <c r="M137" s="21"/>
    </row>
    <row r="138">
      <c r="A138" s="28">
        <v>46232.0</v>
      </c>
      <c r="B138" s="16" t="s">
        <v>1028</v>
      </c>
      <c r="C138" s="20" t="s">
        <v>1029</v>
      </c>
      <c r="D138" s="21"/>
      <c r="E138" s="22" t="s">
        <v>1030</v>
      </c>
      <c r="H138" s="23" t="s">
        <v>463</v>
      </c>
      <c r="I138" s="21"/>
      <c r="J138" s="25"/>
      <c r="K138" s="26" t="s">
        <v>44</v>
      </c>
      <c r="L138" s="16"/>
      <c r="M138" s="21"/>
    </row>
    <row r="139">
      <c r="A139" s="28">
        <v>46232.0</v>
      </c>
      <c r="B139" s="16" t="s">
        <v>1031</v>
      </c>
      <c r="C139" s="20" t="s">
        <v>1032</v>
      </c>
      <c r="D139" s="21"/>
      <c r="E139" s="22" t="s">
        <v>1033</v>
      </c>
      <c r="H139" s="23" t="s">
        <v>1016</v>
      </c>
      <c r="I139" s="21"/>
      <c r="J139" s="25"/>
      <c r="K139" s="26" t="s">
        <v>44</v>
      </c>
      <c r="L139" s="16"/>
      <c r="M139" s="21"/>
    </row>
    <row r="140">
      <c r="A140" s="28">
        <v>46232.0</v>
      </c>
      <c r="B140" s="16" t="s">
        <v>1034</v>
      </c>
      <c r="C140" s="20" t="s">
        <v>1035</v>
      </c>
      <c r="D140" s="21"/>
      <c r="E140" s="22" t="s">
        <v>1036</v>
      </c>
      <c r="H140" s="23" t="s">
        <v>65</v>
      </c>
      <c r="I140" s="21"/>
      <c r="J140" s="25"/>
      <c r="K140" s="26" t="s">
        <v>44</v>
      </c>
      <c r="L140" s="16"/>
      <c r="M140" s="21"/>
    </row>
    <row r="141">
      <c r="A141" s="28">
        <v>46232.0</v>
      </c>
      <c r="B141" s="16" t="s">
        <v>1037</v>
      </c>
      <c r="C141" s="20" t="s">
        <v>1038</v>
      </c>
      <c r="D141" s="21"/>
      <c r="E141" s="22" t="s">
        <v>1039</v>
      </c>
      <c r="H141" s="23" t="s">
        <v>48</v>
      </c>
      <c r="I141" s="21"/>
      <c r="J141" s="25"/>
      <c r="K141" s="26" t="s">
        <v>44</v>
      </c>
      <c r="L141" s="16"/>
      <c r="M141" s="21"/>
    </row>
    <row r="142">
      <c r="A142" s="28">
        <v>46232.0</v>
      </c>
      <c r="B142" s="16" t="s">
        <v>1040</v>
      </c>
      <c r="C142" s="20" t="s">
        <v>1041</v>
      </c>
      <c r="D142" s="21"/>
      <c r="E142" s="22" t="s">
        <v>1042</v>
      </c>
      <c r="H142" s="23" t="s">
        <v>1043</v>
      </c>
      <c r="I142" s="21"/>
      <c r="J142" s="25"/>
      <c r="K142" s="26" t="s">
        <v>44</v>
      </c>
      <c r="L142" s="16"/>
      <c r="M142" s="21"/>
    </row>
    <row r="143">
      <c r="A143" s="28">
        <v>46232.0</v>
      </c>
      <c r="B143" s="16" t="s">
        <v>1044</v>
      </c>
      <c r="C143" s="20" t="s">
        <v>1045</v>
      </c>
      <c r="D143" s="21"/>
      <c r="E143" s="22" t="s">
        <v>1046</v>
      </c>
      <c r="H143" s="23" t="s">
        <v>42</v>
      </c>
      <c r="I143" s="21"/>
      <c r="J143" s="25"/>
      <c r="K143" s="26" t="s">
        <v>44</v>
      </c>
      <c r="L143" s="16"/>
      <c r="M143" s="21"/>
    </row>
    <row r="144">
      <c r="A144" s="28">
        <v>46232.0</v>
      </c>
      <c r="B144" s="16" t="s">
        <v>1047</v>
      </c>
      <c r="C144" s="20" t="s">
        <v>1048</v>
      </c>
      <c r="D144" s="21"/>
      <c r="E144" s="22" t="s">
        <v>1049</v>
      </c>
      <c r="H144" s="23" t="s">
        <v>370</v>
      </c>
      <c r="I144" s="21"/>
      <c r="J144" s="25"/>
      <c r="K144" s="26" t="s">
        <v>44</v>
      </c>
      <c r="L144" s="16"/>
      <c r="M144" s="21"/>
    </row>
    <row r="145">
      <c r="A145" s="28">
        <v>46232.0</v>
      </c>
      <c r="B145" s="16" t="s">
        <v>1050</v>
      </c>
      <c r="C145" s="20" t="s">
        <v>1051</v>
      </c>
      <c r="D145" s="21"/>
      <c r="E145" s="22" t="s">
        <v>1052</v>
      </c>
      <c r="H145" s="23" t="s">
        <v>48</v>
      </c>
      <c r="I145" s="21"/>
      <c r="J145" s="25"/>
      <c r="K145" s="26" t="s">
        <v>44</v>
      </c>
      <c r="L145" s="16"/>
      <c r="M145" s="21"/>
    </row>
    <row r="146">
      <c r="A146" s="28">
        <v>46232.0</v>
      </c>
      <c r="B146" s="16" t="s">
        <v>1053</v>
      </c>
      <c r="C146" s="20" t="s">
        <v>1054</v>
      </c>
      <c r="D146" s="21"/>
      <c r="E146" s="22" t="s">
        <v>1055</v>
      </c>
      <c r="H146" s="23" t="s">
        <v>1056</v>
      </c>
      <c r="I146" s="21"/>
      <c r="J146" s="25"/>
      <c r="K146" s="26" t="s">
        <v>44</v>
      </c>
      <c r="L146" s="16"/>
      <c r="M146" s="21"/>
    </row>
    <row r="147">
      <c r="A147" s="28">
        <v>46232.0</v>
      </c>
      <c r="B147" s="16" t="s">
        <v>1057</v>
      </c>
      <c r="C147" s="20" t="s">
        <v>1058</v>
      </c>
      <c r="D147" s="21"/>
      <c r="E147" s="22" t="s">
        <v>1059</v>
      </c>
      <c r="H147" s="23" t="s">
        <v>1060</v>
      </c>
      <c r="I147" s="21"/>
      <c r="J147" s="25"/>
      <c r="K147" s="26" t="s">
        <v>44</v>
      </c>
      <c r="L147" s="16"/>
      <c r="M147" s="21"/>
    </row>
    <row r="148">
      <c r="A148" s="28">
        <v>46232.0</v>
      </c>
      <c r="B148" s="16" t="s">
        <v>1061</v>
      </c>
      <c r="C148" s="20" t="s">
        <v>1062</v>
      </c>
      <c r="D148" s="21"/>
      <c r="E148" s="22" t="s">
        <v>1063</v>
      </c>
      <c r="H148" s="23" t="s">
        <v>960</v>
      </c>
      <c r="I148" s="21"/>
      <c r="J148" s="25"/>
      <c r="K148" s="26" t="s">
        <v>44</v>
      </c>
      <c r="L148" s="16"/>
      <c r="M148" s="21"/>
    </row>
    <row r="149">
      <c r="A149" s="28">
        <v>46232.0</v>
      </c>
      <c r="B149" s="16" t="s">
        <v>1064</v>
      </c>
      <c r="C149" s="20" t="s">
        <v>1065</v>
      </c>
      <c r="D149" s="21"/>
      <c r="E149" s="22" t="s">
        <v>1066</v>
      </c>
      <c r="H149" s="23" t="s">
        <v>307</v>
      </c>
      <c r="I149" s="21"/>
      <c r="J149" s="25"/>
      <c r="K149" s="26" t="s">
        <v>44</v>
      </c>
      <c r="L149" s="16"/>
      <c r="M149" s="21"/>
    </row>
    <row r="150">
      <c r="A150" s="28">
        <v>46232.0</v>
      </c>
      <c r="B150" s="16" t="s">
        <v>1067</v>
      </c>
      <c r="C150" s="20" t="s">
        <v>1068</v>
      </c>
      <c r="D150" s="21"/>
      <c r="E150" s="22" t="s">
        <v>1069</v>
      </c>
      <c r="H150" s="23" t="s">
        <v>148</v>
      </c>
      <c r="I150" s="21"/>
      <c r="J150" s="25"/>
      <c r="K150" s="26" t="s">
        <v>44</v>
      </c>
      <c r="L150" s="16"/>
      <c r="M150" s="21"/>
    </row>
    <row r="151">
      <c r="A151" s="28">
        <v>46232.0</v>
      </c>
      <c r="B151" s="16" t="s">
        <v>1070</v>
      </c>
      <c r="C151" s="20" t="s">
        <v>1071</v>
      </c>
      <c r="D151" s="21"/>
      <c r="E151" s="22" t="s">
        <v>1072</v>
      </c>
      <c r="H151" s="23" t="s">
        <v>57</v>
      </c>
      <c r="I151" s="21"/>
      <c r="J151" s="25"/>
      <c r="K151" s="26" t="s">
        <v>44</v>
      </c>
      <c r="L151" s="16"/>
      <c r="M151" s="21"/>
    </row>
    <row r="152">
      <c r="A152" s="28">
        <v>46232.0</v>
      </c>
      <c r="B152" s="16" t="s">
        <v>1073</v>
      </c>
      <c r="C152" s="20" t="s">
        <v>1074</v>
      </c>
      <c r="D152" s="21"/>
      <c r="E152" s="22" t="s">
        <v>1075</v>
      </c>
      <c r="H152" s="23" t="s">
        <v>1076</v>
      </c>
      <c r="I152" s="21"/>
      <c r="J152" s="25"/>
      <c r="K152" s="26" t="s">
        <v>44</v>
      </c>
      <c r="L152" s="16"/>
      <c r="M152" s="21"/>
    </row>
    <row r="153">
      <c r="A153" s="28">
        <v>46232.0</v>
      </c>
      <c r="B153" s="16" t="s">
        <v>1077</v>
      </c>
      <c r="C153" s="46" t="s">
        <v>1078</v>
      </c>
      <c r="D153" s="21"/>
      <c r="E153" s="22" t="s">
        <v>1079</v>
      </c>
      <c r="H153" s="23" t="s">
        <v>84</v>
      </c>
      <c r="I153" s="21"/>
      <c r="J153" s="25"/>
      <c r="K153" s="26" t="s">
        <v>44</v>
      </c>
      <c r="L153" s="16"/>
      <c r="M153" s="21"/>
    </row>
    <row r="154">
      <c r="A154" s="28">
        <v>46232.0</v>
      </c>
      <c r="B154" s="16" t="s">
        <v>1080</v>
      </c>
      <c r="C154" s="20" t="s">
        <v>1081</v>
      </c>
      <c r="D154" s="21"/>
      <c r="E154" s="22" t="s">
        <v>1082</v>
      </c>
      <c r="H154" s="23" t="s">
        <v>1083</v>
      </c>
      <c r="I154" s="21"/>
      <c r="J154" s="25"/>
      <c r="K154" s="26" t="s">
        <v>44</v>
      </c>
      <c r="L154" s="16"/>
      <c r="M154" s="21"/>
    </row>
    <row r="155">
      <c r="A155" s="28">
        <v>46232.0</v>
      </c>
      <c r="B155" s="16" t="s">
        <v>1084</v>
      </c>
      <c r="C155" s="20" t="s">
        <v>1085</v>
      </c>
      <c r="D155" s="21"/>
      <c r="E155" s="22" t="s">
        <v>1086</v>
      </c>
      <c r="H155" s="23" t="s">
        <v>48</v>
      </c>
      <c r="I155" s="21"/>
      <c r="J155" s="25"/>
      <c r="K155" s="26" t="s">
        <v>44</v>
      </c>
      <c r="L155" s="16"/>
      <c r="M155" s="21"/>
    </row>
    <row r="156">
      <c r="A156" s="28">
        <v>46232.0</v>
      </c>
      <c r="B156" s="16" t="s">
        <v>1087</v>
      </c>
      <c r="C156" s="20" t="s">
        <v>1088</v>
      </c>
      <c r="D156" s="21"/>
      <c r="E156" s="22" t="s">
        <v>1089</v>
      </c>
      <c r="H156" s="23" t="s">
        <v>479</v>
      </c>
      <c r="I156" s="21"/>
      <c r="J156" s="25"/>
      <c r="K156" s="26" t="s">
        <v>44</v>
      </c>
      <c r="L156" s="16"/>
      <c r="M156" s="21"/>
    </row>
    <row r="157">
      <c r="A157" s="28">
        <v>46232.0</v>
      </c>
      <c r="B157" s="16" t="s">
        <v>1090</v>
      </c>
      <c r="C157" s="20" t="s">
        <v>1091</v>
      </c>
      <c r="D157" s="21"/>
      <c r="E157" s="22" t="s">
        <v>1092</v>
      </c>
      <c r="H157" s="23" t="s">
        <v>1093</v>
      </c>
      <c r="I157" s="21"/>
      <c r="J157" s="25"/>
      <c r="K157" s="26" t="s">
        <v>44</v>
      </c>
      <c r="L157" s="16"/>
      <c r="M157" s="21"/>
    </row>
    <row r="158">
      <c r="A158" s="28">
        <v>46232.0</v>
      </c>
      <c r="B158" s="16" t="s">
        <v>1094</v>
      </c>
      <c r="C158" s="20" t="s">
        <v>1095</v>
      </c>
      <c r="D158" s="21"/>
      <c r="E158" s="22" t="s">
        <v>1096</v>
      </c>
      <c r="H158" s="23" t="s">
        <v>57</v>
      </c>
      <c r="I158" s="21"/>
      <c r="J158" s="25"/>
      <c r="K158" s="26" t="s">
        <v>44</v>
      </c>
      <c r="L158" s="16"/>
      <c r="M158" s="21"/>
    </row>
    <row r="159">
      <c r="A159" s="28">
        <v>46232.0</v>
      </c>
      <c r="B159" s="16" t="s">
        <v>1097</v>
      </c>
      <c r="C159" s="20" t="s">
        <v>1098</v>
      </c>
      <c r="D159" s="21"/>
      <c r="E159" s="22" t="s">
        <v>1099</v>
      </c>
      <c r="H159" s="23" t="s">
        <v>69</v>
      </c>
      <c r="I159" s="21"/>
      <c r="J159" s="25"/>
      <c r="K159" s="26" t="s">
        <v>44</v>
      </c>
      <c r="L159" s="16"/>
      <c r="M159" s="21"/>
    </row>
    <row r="160">
      <c r="A160" s="28">
        <v>46232.0</v>
      </c>
      <c r="B160" s="16" t="s">
        <v>1100</v>
      </c>
      <c r="C160" s="20" t="s">
        <v>1101</v>
      </c>
      <c r="D160" s="21"/>
      <c r="E160" s="22" t="s">
        <v>1102</v>
      </c>
      <c r="H160" s="23" t="s">
        <v>148</v>
      </c>
      <c r="I160" s="21"/>
      <c r="J160" s="25"/>
      <c r="K160" s="26" t="s">
        <v>44</v>
      </c>
      <c r="L160" s="16"/>
      <c r="M160" s="21"/>
    </row>
    <row r="161">
      <c r="A161" s="28">
        <v>46232.0</v>
      </c>
      <c r="B161" s="16" t="s">
        <v>1103</v>
      </c>
      <c r="C161" s="20" t="s">
        <v>1104</v>
      </c>
      <c r="D161" s="21"/>
      <c r="E161" s="22" t="s">
        <v>1105</v>
      </c>
      <c r="H161" s="23" t="s">
        <v>960</v>
      </c>
      <c r="I161" s="21"/>
      <c r="J161" s="25"/>
      <c r="K161" s="26" t="s">
        <v>44</v>
      </c>
      <c r="L161" s="16"/>
      <c r="M161" s="21"/>
    </row>
    <row r="162">
      <c r="A162" s="28">
        <v>46232.0</v>
      </c>
      <c r="B162" s="16" t="s">
        <v>1106</v>
      </c>
      <c r="C162" s="20" t="s">
        <v>1107</v>
      </c>
      <c r="D162" s="21"/>
      <c r="E162" s="22" t="s">
        <v>1108</v>
      </c>
      <c r="H162" s="23" t="s">
        <v>479</v>
      </c>
      <c r="I162" s="21"/>
      <c r="J162" s="25"/>
      <c r="K162" s="26" t="s">
        <v>44</v>
      </c>
      <c r="L162" s="16"/>
      <c r="M162" s="21"/>
    </row>
    <row r="163">
      <c r="A163" s="28">
        <v>46232.0</v>
      </c>
      <c r="B163" s="16" t="s">
        <v>1109</v>
      </c>
      <c r="C163" s="20" t="s">
        <v>1110</v>
      </c>
      <c r="D163" s="21"/>
      <c r="E163" s="22" t="s">
        <v>1111</v>
      </c>
      <c r="H163" s="23" t="s">
        <v>1112</v>
      </c>
      <c r="I163" s="21"/>
      <c r="J163" s="25"/>
      <c r="K163" s="26" t="s">
        <v>44</v>
      </c>
      <c r="L163" s="16"/>
      <c r="M163" s="21"/>
    </row>
    <row r="164">
      <c r="A164" s="28">
        <v>46232.0</v>
      </c>
      <c r="B164" s="16" t="s">
        <v>1113</v>
      </c>
      <c r="C164" s="20" t="s">
        <v>1114</v>
      </c>
      <c r="D164" s="21"/>
      <c r="E164" s="22" t="s">
        <v>1115</v>
      </c>
      <c r="H164" s="23" t="s">
        <v>48</v>
      </c>
      <c r="I164" s="21"/>
      <c r="J164" s="25"/>
      <c r="K164" s="26" t="s">
        <v>44</v>
      </c>
      <c r="L164" s="16"/>
      <c r="M164" s="21"/>
    </row>
    <row r="165">
      <c r="A165" s="28">
        <v>46232.0</v>
      </c>
      <c r="B165" s="16" t="s">
        <v>1116</v>
      </c>
      <c r="C165" s="20" t="s">
        <v>1117</v>
      </c>
      <c r="D165" s="21"/>
      <c r="E165" s="22" t="s">
        <v>1118</v>
      </c>
      <c r="H165" s="23" t="s">
        <v>48</v>
      </c>
      <c r="I165" s="21"/>
      <c r="J165" s="25"/>
      <c r="K165" s="26" t="s">
        <v>44</v>
      </c>
      <c r="L165" s="16"/>
      <c r="M165" s="21"/>
    </row>
    <row r="166">
      <c r="A166" s="28">
        <v>46232.0</v>
      </c>
      <c r="B166" s="16" t="s">
        <v>1119</v>
      </c>
      <c r="C166" s="20" t="s">
        <v>1120</v>
      </c>
      <c r="D166" s="21"/>
      <c r="E166" s="22" t="s">
        <v>1121</v>
      </c>
      <c r="H166" s="23" t="s">
        <v>1020</v>
      </c>
      <c r="I166" s="21"/>
      <c r="J166" s="25"/>
      <c r="K166" s="26" t="s">
        <v>44</v>
      </c>
      <c r="L166" s="16"/>
      <c r="M166" s="21"/>
    </row>
    <row r="167">
      <c r="A167" s="28">
        <v>46232.0</v>
      </c>
      <c r="B167" s="16" t="s">
        <v>1122</v>
      </c>
      <c r="C167" s="20" t="s">
        <v>1123</v>
      </c>
      <c r="D167" s="21"/>
      <c r="E167" s="22" t="s">
        <v>1124</v>
      </c>
      <c r="H167" s="23" t="s">
        <v>57</v>
      </c>
      <c r="I167" s="21"/>
      <c r="J167" s="25"/>
      <c r="K167" s="26" t="s">
        <v>44</v>
      </c>
      <c r="L167" s="16"/>
      <c r="M167" s="21"/>
    </row>
    <row r="168">
      <c r="A168" s="28">
        <v>46232.0</v>
      </c>
      <c r="B168" s="16" t="s">
        <v>1125</v>
      </c>
      <c r="C168" s="20" t="s">
        <v>1126</v>
      </c>
      <c r="D168" s="21"/>
      <c r="E168" s="22" t="s">
        <v>1127</v>
      </c>
      <c r="H168" s="23" t="s">
        <v>69</v>
      </c>
      <c r="I168" s="21"/>
      <c r="J168" s="25"/>
      <c r="K168" s="26" t="s">
        <v>44</v>
      </c>
      <c r="L168" s="16"/>
      <c r="M168" s="21"/>
    </row>
    <row r="169">
      <c r="A169" s="28">
        <v>46232.0</v>
      </c>
      <c r="B169" s="16" t="s">
        <v>1128</v>
      </c>
      <c r="C169" s="20" t="s">
        <v>1129</v>
      </c>
      <c r="D169" s="21"/>
      <c r="E169" s="22" t="s">
        <v>1130</v>
      </c>
      <c r="H169" s="23" t="s">
        <v>69</v>
      </c>
      <c r="I169" s="21"/>
      <c r="J169" s="25"/>
      <c r="K169" s="26" t="s">
        <v>44</v>
      </c>
      <c r="L169" s="16"/>
      <c r="M169" s="21"/>
    </row>
    <row r="170">
      <c r="A170" s="28">
        <v>46232.0</v>
      </c>
      <c r="B170" s="16" t="s">
        <v>1131</v>
      </c>
      <c r="C170" s="20" t="s">
        <v>1132</v>
      </c>
      <c r="D170" s="21"/>
      <c r="E170" s="22" t="s">
        <v>1133</v>
      </c>
      <c r="H170" s="23" t="s">
        <v>800</v>
      </c>
      <c r="I170" s="21"/>
      <c r="J170" s="25"/>
      <c r="K170" s="26" t="s">
        <v>44</v>
      </c>
      <c r="L170" s="16"/>
      <c r="M170" s="21"/>
    </row>
    <row r="171">
      <c r="A171" s="28">
        <v>46232.0</v>
      </c>
      <c r="B171" s="16" t="s">
        <v>1134</v>
      </c>
      <c r="C171" s="20" t="s">
        <v>1135</v>
      </c>
      <c r="D171" s="21"/>
      <c r="E171" s="22" t="s">
        <v>1136</v>
      </c>
      <c r="H171" s="23" t="s">
        <v>1137</v>
      </c>
      <c r="I171" s="21"/>
      <c r="J171" s="25"/>
      <c r="K171" s="26" t="s">
        <v>44</v>
      </c>
      <c r="L171" s="16"/>
      <c r="M171" s="21"/>
    </row>
    <row r="172">
      <c r="A172" s="28">
        <v>46232.0</v>
      </c>
      <c r="B172" s="16" t="s">
        <v>1138</v>
      </c>
      <c r="C172" s="20" t="s">
        <v>1139</v>
      </c>
      <c r="D172" s="21"/>
      <c r="E172" s="22" t="s">
        <v>1140</v>
      </c>
      <c r="H172" s="23" t="s">
        <v>1141</v>
      </c>
      <c r="I172" s="21"/>
      <c r="J172" s="25"/>
      <c r="K172" s="26" t="s">
        <v>44</v>
      </c>
      <c r="L172" s="16"/>
      <c r="M172" s="21"/>
    </row>
    <row r="173">
      <c r="A173" s="28">
        <v>46232.0</v>
      </c>
      <c r="B173" s="16" t="s">
        <v>1142</v>
      </c>
      <c r="C173" s="20" t="s">
        <v>1143</v>
      </c>
      <c r="D173" s="21"/>
      <c r="E173" s="22" t="s">
        <v>1144</v>
      </c>
      <c r="H173" s="23" t="s">
        <v>1145</v>
      </c>
      <c r="I173" s="21"/>
      <c r="J173" s="25"/>
      <c r="K173" s="26" t="s">
        <v>44</v>
      </c>
      <c r="L173" s="16"/>
      <c r="M173" s="21"/>
    </row>
    <row r="174">
      <c r="A174" s="28">
        <v>46232.0</v>
      </c>
      <c r="B174" s="16" t="s">
        <v>1146</v>
      </c>
      <c r="C174" s="20" t="s">
        <v>1147</v>
      </c>
      <c r="D174" s="21"/>
      <c r="E174" s="22" t="s">
        <v>1148</v>
      </c>
      <c r="H174" s="23" t="s">
        <v>1149</v>
      </c>
      <c r="I174" s="21"/>
      <c r="J174" s="25"/>
      <c r="K174" s="26" t="s">
        <v>44</v>
      </c>
      <c r="L174" s="16"/>
      <c r="M174" s="21"/>
    </row>
    <row r="175">
      <c r="A175" s="28">
        <v>46232.0</v>
      </c>
      <c r="B175" s="16" t="s">
        <v>1150</v>
      </c>
      <c r="C175" s="20" t="s">
        <v>1151</v>
      </c>
      <c r="D175" s="21"/>
      <c r="E175" s="22" t="s">
        <v>1152</v>
      </c>
      <c r="H175" s="23" t="s">
        <v>1153</v>
      </c>
      <c r="I175" s="21"/>
      <c r="J175" s="25"/>
      <c r="K175" s="26" t="s">
        <v>44</v>
      </c>
      <c r="L175" s="16"/>
      <c r="M175" s="21"/>
    </row>
    <row r="176">
      <c r="A176" s="28">
        <v>46232.0</v>
      </c>
      <c r="B176" s="16" t="s">
        <v>1154</v>
      </c>
      <c r="C176" s="20" t="s">
        <v>1155</v>
      </c>
      <c r="D176" s="21"/>
      <c r="E176" s="22" t="s">
        <v>1156</v>
      </c>
      <c r="H176" s="23" t="s">
        <v>713</v>
      </c>
      <c r="I176" s="21"/>
      <c r="J176" s="25"/>
      <c r="K176" s="26" t="s">
        <v>44</v>
      </c>
      <c r="L176" s="16"/>
      <c r="M176" s="21"/>
    </row>
    <row r="177">
      <c r="A177" s="28">
        <v>46232.0</v>
      </c>
      <c r="B177" s="16" t="s">
        <v>1157</v>
      </c>
      <c r="C177" s="20" t="s">
        <v>1158</v>
      </c>
      <c r="D177" s="21"/>
      <c r="E177" s="22" t="s">
        <v>1159</v>
      </c>
      <c r="H177" s="23" t="s">
        <v>1160</v>
      </c>
      <c r="I177" s="21"/>
      <c r="J177" s="25"/>
      <c r="K177" s="26" t="s">
        <v>44</v>
      </c>
      <c r="L177" s="16"/>
      <c r="M177" s="21"/>
    </row>
    <row r="178">
      <c r="A178" s="28">
        <v>46232.0</v>
      </c>
      <c r="B178" s="16" t="s">
        <v>1161</v>
      </c>
      <c r="C178" s="20" t="s">
        <v>1162</v>
      </c>
      <c r="D178" s="21"/>
      <c r="E178" s="22" t="s">
        <v>1163</v>
      </c>
      <c r="H178" s="23" t="s">
        <v>1164</v>
      </c>
      <c r="I178" s="21"/>
      <c r="J178" s="25"/>
      <c r="K178" s="26" t="s">
        <v>44</v>
      </c>
      <c r="L178" s="16"/>
      <c r="M178" s="21"/>
    </row>
    <row r="179">
      <c r="A179" s="28">
        <v>46232.0</v>
      </c>
      <c r="B179" s="16" t="s">
        <v>1165</v>
      </c>
      <c r="C179" s="46" t="s">
        <v>1166</v>
      </c>
      <c r="D179" s="21"/>
      <c r="E179" s="22" t="s">
        <v>1167</v>
      </c>
      <c r="H179" s="23" t="s">
        <v>48</v>
      </c>
      <c r="I179" s="21"/>
      <c r="J179" s="25"/>
      <c r="K179" s="26" t="s">
        <v>44</v>
      </c>
      <c r="L179" s="16"/>
      <c r="M179" s="21"/>
    </row>
    <row r="180">
      <c r="A180" s="28">
        <v>46232.0</v>
      </c>
      <c r="B180" s="16" t="s">
        <v>1168</v>
      </c>
      <c r="C180" s="20" t="s">
        <v>1169</v>
      </c>
      <c r="D180" s="21"/>
      <c r="E180" s="22" t="s">
        <v>1170</v>
      </c>
      <c r="H180" s="23" t="s">
        <v>713</v>
      </c>
      <c r="I180" s="21"/>
      <c r="J180" s="25"/>
      <c r="K180" s="26" t="s">
        <v>44</v>
      </c>
      <c r="L180" s="16"/>
      <c r="M180" s="21"/>
    </row>
    <row r="181">
      <c r="A181" s="28">
        <v>46232.0</v>
      </c>
      <c r="B181" s="16" t="s">
        <v>1176</v>
      </c>
      <c r="C181" s="20" t="s">
        <v>1177</v>
      </c>
      <c r="D181" s="21"/>
      <c r="E181" s="22" t="s">
        <v>1178</v>
      </c>
      <c r="H181" s="23" t="s">
        <v>713</v>
      </c>
      <c r="I181" s="21"/>
      <c r="J181" s="25"/>
      <c r="K181" s="26" t="s">
        <v>44</v>
      </c>
      <c r="L181" s="16"/>
      <c r="M181" s="21"/>
    </row>
    <row r="182">
      <c r="A182" s="28">
        <v>46232.0</v>
      </c>
      <c r="B182" s="16" t="s">
        <v>1190</v>
      </c>
      <c r="C182" s="20" t="s">
        <v>1191</v>
      </c>
      <c r="D182" s="21"/>
      <c r="E182" s="22" t="s">
        <v>1192</v>
      </c>
      <c r="H182" s="23" t="s">
        <v>713</v>
      </c>
      <c r="I182" s="21"/>
      <c r="J182" s="25"/>
      <c r="K182" s="26" t="s">
        <v>44</v>
      </c>
      <c r="L182" s="16"/>
      <c r="M182" s="21"/>
    </row>
    <row r="183">
      <c r="A183" s="28">
        <v>46232.0</v>
      </c>
      <c r="B183" s="16" t="s">
        <v>1193</v>
      </c>
      <c r="C183" s="20" t="s">
        <v>1194</v>
      </c>
      <c r="D183" s="21"/>
      <c r="E183" s="22" t="s">
        <v>1195</v>
      </c>
      <c r="H183" s="23" t="s">
        <v>1196</v>
      </c>
      <c r="I183" s="21"/>
      <c r="J183" s="25"/>
      <c r="K183" s="26" t="s">
        <v>44</v>
      </c>
      <c r="L183" s="16"/>
      <c r="M183" s="21"/>
    </row>
    <row r="184">
      <c r="A184" s="28">
        <v>46232.0</v>
      </c>
      <c r="B184" s="16" t="s">
        <v>1197</v>
      </c>
      <c r="C184" s="20" t="s">
        <v>1198</v>
      </c>
      <c r="D184" s="21"/>
      <c r="E184" s="22" t="s">
        <v>1199</v>
      </c>
      <c r="H184" s="23" t="s">
        <v>1200</v>
      </c>
      <c r="I184" s="21"/>
      <c r="J184" s="25"/>
      <c r="K184" s="26" t="s">
        <v>44</v>
      </c>
      <c r="L184" s="16"/>
      <c r="M184" s="21"/>
    </row>
    <row r="185">
      <c r="A185" s="28">
        <v>46232.0</v>
      </c>
      <c r="B185" s="16" t="s">
        <v>1201</v>
      </c>
      <c r="C185" s="20" t="s">
        <v>1202</v>
      </c>
      <c r="D185" s="21"/>
      <c r="E185" s="22" t="s">
        <v>1203</v>
      </c>
      <c r="H185" s="23" t="s">
        <v>487</v>
      </c>
      <c r="I185" s="21"/>
      <c r="J185" s="25"/>
      <c r="K185" s="26" t="s">
        <v>44</v>
      </c>
      <c r="L185" s="16"/>
      <c r="M185" s="21"/>
    </row>
    <row r="186">
      <c r="A186" s="28">
        <v>46232.0</v>
      </c>
      <c r="B186" s="16" t="s">
        <v>1204</v>
      </c>
      <c r="C186" s="20" t="s">
        <v>1205</v>
      </c>
      <c r="D186" s="21"/>
      <c r="E186" s="22" t="s">
        <v>1206</v>
      </c>
      <c r="H186" s="23" t="s">
        <v>1207</v>
      </c>
      <c r="I186" s="21"/>
      <c r="J186" s="25"/>
      <c r="K186" s="26" t="s">
        <v>44</v>
      </c>
      <c r="L186" s="16"/>
      <c r="M186" s="21"/>
    </row>
    <row r="187">
      <c r="A187" s="28">
        <v>46232.0</v>
      </c>
      <c r="B187" s="16" t="s">
        <v>1208</v>
      </c>
      <c r="C187" s="20" t="s">
        <v>1209</v>
      </c>
      <c r="D187" s="21"/>
      <c r="E187" s="22" t="s">
        <v>1210</v>
      </c>
      <c r="H187" s="23" t="s">
        <v>48</v>
      </c>
      <c r="I187" s="21"/>
      <c r="J187" s="25"/>
      <c r="K187" s="26" t="s">
        <v>44</v>
      </c>
      <c r="L187" s="16"/>
      <c r="M187" s="21"/>
    </row>
    <row r="188">
      <c r="A188" s="28">
        <v>46232.0</v>
      </c>
      <c r="B188" s="16" t="s">
        <v>1211</v>
      </c>
      <c r="C188" s="20" t="s">
        <v>1212</v>
      </c>
      <c r="D188" s="21"/>
      <c r="E188" s="22" t="s">
        <v>1213</v>
      </c>
      <c r="H188" s="23" t="s">
        <v>127</v>
      </c>
      <c r="I188" s="21"/>
      <c r="J188" s="25"/>
      <c r="K188" s="26" t="s">
        <v>44</v>
      </c>
      <c r="L188" s="16"/>
      <c r="M188" s="21"/>
    </row>
    <row r="189">
      <c r="A189" s="28">
        <v>46232.0</v>
      </c>
      <c r="B189" s="16" t="s">
        <v>1214</v>
      </c>
      <c r="C189" s="20" t="s">
        <v>1215</v>
      </c>
      <c r="D189" s="21"/>
      <c r="E189" s="22" t="s">
        <v>1216</v>
      </c>
      <c r="H189" s="23" t="s">
        <v>1217</v>
      </c>
      <c r="I189" s="21"/>
      <c r="J189" s="25"/>
      <c r="K189" s="26" t="s">
        <v>44</v>
      </c>
      <c r="L189" s="16"/>
      <c r="M189" s="21"/>
    </row>
    <row r="190">
      <c r="A190" s="28">
        <v>46232.0</v>
      </c>
      <c r="B190" s="16" t="s">
        <v>1218</v>
      </c>
      <c r="C190" s="20" t="s">
        <v>1219</v>
      </c>
      <c r="D190" s="21"/>
      <c r="E190" s="22" t="s">
        <v>1220</v>
      </c>
      <c r="H190" s="23" t="s">
        <v>80</v>
      </c>
      <c r="I190" s="21"/>
      <c r="J190" s="25"/>
      <c r="K190" s="26" t="s">
        <v>44</v>
      </c>
      <c r="L190" s="16"/>
      <c r="M190" s="21"/>
    </row>
    <row r="191">
      <c r="A191" s="28">
        <v>46232.0</v>
      </c>
      <c r="B191" s="16" t="s">
        <v>1221</v>
      </c>
      <c r="C191" s="20" t="s">
        <v>1222</v>
      </c>
      <c r="D191" s="21"/>
      <c r="E191" s="22" t="s">
        <v>1223</v>
      </c>
      <c r="H191" s="23" t="s">
        <v>904</v>
      </c>
      <c r="I191" s="21"/>
      <c r="J191" s="25"/>
      <c r="K191" s="26" t="s">
        <v>44</v>
      </c>
      <c r="L191" s="16"/>
      <c r="M191" s="21"/>
    </row>
    <row r="192">
      <c r="A192" s="28">
        <v>46232.0</v>
      </c>
      <c r="B192" s="16" t="s">
        <v>1224</v>
      </c>
      <c r="C192" s="20" t="s">
        <v>1225</v>
      </c>
      <c r="D192" s="21"/>
      <c r="E192" s="22" t="s">
        <v>1226</v>
      </c>
      <c r="H192" s="23" t="s">
        <v>279</v>
      </c>
      <c r="I192" s="21"/>
      <c r="J192" s="25"/>
      <c r="K192" s="26" t="s">
        <v>44</v>
      </c>
      <c r="L192" s="16"/>
      <c r="M192" s="21"/>
    </row>
    <row r="193">
      <c r="A193" s="28">
        <v>46232.0</v>
      </c>
      <c r="B193" s="16" t="s">
        <v>1227</v>
      </c>
      <c r="C193" s="20" t="s">
        <v>1228</v>
      </c>
      <c r="D193" s="21"/>
      <c r="E193" s="22" t="s">
        <v>1229</v>
      </c>
      <c r="H193" s="23" t="s">
        <v>69</v>
      </c>
      <c r="I193" s="21"/>
      <c r="J193" s="25"/>
      <c r="K193" s="26" t="s">
        <v>44</v>
      </c>
      <c r="L193" s="16"/>
      <c r="M193" s="21"/>
    </row>
    <row r="194">
      <c r="A194" s="28">
        <v>46232.0</v>
      </c>
      <c r="B194" s="16" t="s">
        <v>1230</v>
      </c>
      <c r="C194" s="20" t="s">
        <v>1231</v>
      </c>
      <c r="D194" s="21"/>
      <c r="E194" s="22" t="s">
        <v>1232</v>
      </c>
      <c r="H194" s="23" t="s">
        <v>751</v>
      </c>
      <c r="I194" s="21"/>
      <c r="J194" s="25"/>
      <c r="K194" s="26" t="s">
        <v>44</v>
      </c>
      <c r="L194" s="16"/>
      <c r="M194" s="21"/>
    </row>
    <row r="195">
      <c r="A195" s="28">
        <v>46232.0</v>
      </c>
      <c r="B195" s="16" t="s">
        <v>1233</v>
      </c>
      <c r="C195" s="20" t="s">
        <v>1234</v>
      </c>
      <c r="D195" s="21"/>
      <c r="E195" s="22" t="s">
        <v>1235</v>
      </c>
      <c r="H195" s="23" t="s">
        <v>69</v>
      </c>
      <c r="I195" s="21"/>
      <c r="J195" s="25"/>
      <c r="K195" s="26" t="s">
        <v>44</v>
      </c>
      <c r="L195" s="16"/>
      <c r="M195" s="21"/>
    </row>
    <row r="196">
      <c r="A196" s="28">
        <v>46232.0</v>
      </c>
      <c r="B196" s="16" t="s">
        <v>1236</v>
      </c>
      <c r="C196" s="20" t="s">
        <v>1237</v>
      </c>
      <c r="D196" s="21"/>
      <c r="E196" s="22" t="s">
        <v>1238</v>
      </c>
      <c r="H196" s="23" t="s">
        <v>1239</v>
      </c>
      <c r="I196" s="21"/>
      <c r="J196" s="25"/>
      <c r="K196" s="26" t="s">
        <v>44</v>
      </c>
      <c r="L196" s="16"/>
      <c r="M196" s="21"/>
    </row>
    <row r="197">
      <c r="A197" s="28">
        <v>46232.0</v>
      </c>
      <c r="B197" s="16" t="s">
        <v>1240</v>
      </c>
      <c r="C197" s="20" t="s">
        <v>1241</v>
      </c>
      <c r="D197" s="21"/>
      <c r="E197" s="22" t="s">
        <v>1242</v>
      </c>
      <c r="H197" s="23" t="s">
        <v>48</v>
      </c>
      <c r="I197" s="21"/>
      <c r="J197" s="25"/>
      <c r="K197" s="26" t="s">
        <v>44</v>
      </c>
      <c r="L197" s="16"/>
      <c r="M197" s="21"/>
    </row>
    <row r="198">
      <c r="A198" s="28">
        <v>46232.0</v>
      </c>
      <c r="B198" s="16" t="s">
        <v>1243</v>
      </c>
      <c r="C198" s="20" t="s">
        <v>1244</v>
      </c>
      <c r="D198" s="21"/>
      <c r="E198" s="22" t="s">
        <v>1245</v>
      </c>
      <c r="H198" s="23" t="s">
        <v>1246</v>
      </c>
      <c r="I198" s="21"/>
      <c r="J198" s="25"/>
      <c r="K198" s="26" t="s">
        <v>44</v>
      </c>
      <c r="L198" s="16"/>
      <c r="M198" s="21"/>
    </row>
    <row r="199">
      <c r="A199" s="28">
        <v>46232.0</v>
      </c>
      <c r="B199" s="16" t="s">
        <v>1247</v>
      </c>
      <c r="C199" s="20" t="s">
        <v>1248</v>
      </c>
      <c r="D199" s="21"/>
      <c r="E199" s="22" t="s">
        <v>1249</v>
      </c>
      <c r="H199" s="23" t="s">
        <v>1250</v>
      </c>
      <c r="I199" s="21"/>
      <c r="J199" s="25"/>
      <c r="K199" s="26" t="s">
        <v>44</v>
      </c>
      <c r="L199" s="16"/>
      <c r="M199" s="21"/>
    </row>
    <row r="200">
      <c r="A200" s="28">
        <v>46232.0</v>
      </c>
      <c r="B200" s="16" t="s">
        <v>1251</v>
      </c>
      <c r="C200" s="20" t="s">
        <v>1252</v>
      </c>
      <c r="D200" s="21"/>
      <c r="E200" s="22" t="s">
        <v>1253</v>
      </c>
      <c r="H200" s="23" t="s">
        <v>118</v>
      </c>
      <c r="I200" s="21"/>
      <c r="J200" s="25"/>
      <c r="K200" s="26" t="s">
        <v>44</v>
      </c>
      <c r="L200" s="16"/>
      <c r="M200" s="21"/>
    </row>
    <row r="201">
      <c r="A201" s="28">
        <v>46232.0</v>
      </c>
      <c r="B201" s="16" t="s">
        <v>1254</v>
      </c>
      <c r="C201" s="20" t="s">
        <v>1255</v>
      </c>
      <c r="D201" s="21"/>
      <c r="E201" s="22" t="s">
        <v>1256</v>
      </c>
      <c r="H201" s="23" t="s">
        <v>69</v>
      </c>
      <c r="I201" s="21"/>
      <c r="J201" s="25"/>
      <c r="K201" s="26" t="s">
        <v>44</v>
      </c>
      <c r="L201" s="16"/>
      <c r="M201" s="21"/>
    </row>
    <row r="202">
      <c r="A202" s="28">
        <v>46232.0</v>
      </c>
      <c r="B202" s="16" t="s">
        <v>1257</v>
      </c>
      <c r="C202" s="20" t="s">
        <v>1258</v>
      </c>
      <c r="D202" s="21"/>
      <c r="E202" s="22" t="s">
        <v>1259</v>
      </c>
      <c r="H202" s="23" t="s">
        <v>1016</v>
      </c>
      <c r="I202" s="21"/>
      <c r="J202" s="25"/>
      <c r="K202" s="26" t="s">
        <v>44</v>
      </c>
      <c r="L202" s="16"/>
      <c r="M202" s="21"/>
    </row>
    <row r="203">
      <c r="A203" s="28">
        <v>46232.0</v>
      </c>
      <c r="B203" s="16" t="s">
        <v>1260</v>
      </c>
      <c r="C203" s="20" t="s">
        <v>1261</v>
      </c>
      <c r="D203" s="21"/>
      <c r="E203" s="22" t="s">
        <v>1262</v>
      </c>
      <c r="H203" s="23" t="s">
        <v>1250</v>
      </c>
      <c r="I203" s="21"/>
      <c r="J203" s="25"/>
      <c r="K203" s="26" t="s">
        <v>44</v>
      </c>
      <c r="L203" s="16"/>
      <c r="M203" s="21"/>
    </row>
    <row r="204">
      <c r="A204" s="28">
        <v>46232.0</v>
      </c>
      <c r="B204" s="16" t="s">
        <v>1263</v>
      </c>
      <c r="C204" s="20" t="s">
        <v>1264</v>
      </c>
      <c r="D204" s="21"/>
      <c r="E204" s="22" t="s">
        <v>1265</v>
      </c>
      <c r="H204" s="23" t="s">
        <v>1266</v>
      </c>
      <c r="I204" s="21"/>
      <c r="J204" s="25"/>
      <c r="K204" s="26" t="s">
        <v>44</v>
      </c>
      <c r="L204" s="16"/>
      <c r="M204" s="21"/>
    </row>
    <row r="205">
      <c r="A205" s="28">
        <v>46232.0</v>
      </c>
      <c r="B205" s="16" t="s">
        <v>1267</v>
      </c>
      <c r="C205" s="20" t="s">
        <v>1268</v>
      </c>
      <c r="D205" s="21"/>
      <c r="E205" s="22" t="s">
        <v>1269</v>
      </c>
      <c r="H205" s="23" t="s">
        <v>370</v>
      </c>
      <c r="I205" s="21"/>
      <c r="J205" s="25"/>
      <c r="K205" s="26" t="s">
        <v>44</v>
      </c>
      <c r="L205" s="16"/>
      <c r="M205" s="21"/>
    </row>
    <row r="206">
      <c r="A206" s="28">
        <v>46232.0</v>
      </c>
      <c r="B206" s="16" t="s">
        <v>1270</v>
      </c>
      <c r="C206" s="20" t="s">
        <v>1271</v>
      </c>
      <c r="D206" s="21"/>
      <c r="E206" s="22" t="s">
        <v>1272</v>
      </c>
      <c r="H206" s="23" t="s">
        <v>57</v>
      </c>
      <c r="I206" s="21"/>
      <c r="J206" s="25"/>
      <c r="K206" s="26" t="s">
        <v>44</v>
      </c>
      <c r="L206" s="16"/>
      <c r="M206" s="21"/>
    </row>
    <row r="207">
      <c r="A207" s="28">
        <v>46232.0</v>
      </c>
      <c r="B207" s="16" t="s">
        <v>1273</v>
      </c>
      <c r="C207" s="20" t="s">
        <v>1274</v>
      </c>
      <c r="D207" s="21"/>
      <c r="E207" s="22" t="s">
        <v>1275</v>
      </c>
      <c r="H207" s="23" t="s">
        <v>299</v>
      </c>
      <c r="I207" s="21"/>
      <c r="J207" s="25"/>
      <c r="K207" s="26" t="s">
        <v>44</v>
      </c>
      <c r="L207" s="16"/>
      <c r="M207" s="21"/>
    </row>
    <row r="208">
      <c r="A208" s="28">
        <v>46232.0</v>
      </c>
      <c r="B208" s="16" t="s">
        <v>1276</v>
      </c>
      <c r="C208" s="20" t="s">
        <v>1277</v>
      </c>
      <c r="D208" s="21"/>
      <c r="E208" s="22" t="s">
        <v>1278</v>
      </c>
      <c r="H208" s="23" t="s">
        <v>48</v>
      </c>
      <c r="I208" s="21"/>
      <c r="J208" s="25"/>
      <c r="K208" s="26" t="s">
        <v>44</v>
      </c>
      <c r="L208" s="16"/>
      <c r="M208" s="21"/>
    </row>
    <row r="209">
      <c r="A209" s="28">
        <v>46232.0</v>
      </c>
      <c r="B209" s="16" t="s">
        <v>1279</v>
      </c>
      <c r="C209" s="46" t="s">
        <v>1280</v>
      </c>
      <c r="D209" s="21"/>
      <c r="E209" s="22" t="s">
        <v>1281</v>
      </c>
      <c r="H209" s="23" t="s">
        <v>983</v>
      </c>
      <c r="I209" s="21"/>
      <c r="J209" s="25"/>
      <c r="K209" s="26" t="s">
        <v>44</v>
      </c>
      <c r="L209" s="16"/>
      <c r="M209" s="21"/>
    </row>
    <row r="210">
      <c r="A210" s="28">
        <v>46232.0</v>
      </c>
      <c r="B210" s="16" t="s">
        <v>1282</v>
      </c>
      <c r="C210" s="20" t="s">
        <v>1283</v>
      </c>
      <c r="D210" s="21"/>
      <c r="E210" s="22" t="s">
        <v>1284</v>
      </c>
      <c r="H210" s="23" t="s">
        <v>1141</v>
      </c>
      <c r="I210" s="21"/>
      <c r="J210" s="25"/>
      <c r="K210" s="26" t="s">
        <v>44</v>
      </c>
      <c r="L210" s="16"/>
      <c r="M210" s="21"/>
    </row>
    <row r="211">
      <c r="A211" s="28">
        <v>46232.0</v>
      </c>
      <c r="B211" s="16" t="s">
        <v>1285</v>
      </c>
      <c r="C211" s="20" t="s">
        <v>1286</v>
      </c>
      <c r="D211" s="21"/>
      <c r="E211" s="22" t="s">
        <v>1287</v>
      </c>
      <c r="H211" s="23" t="s">
        <v>111</v>
      </c>
      <c r="I211" s="21"/>
      <c r="J211" s="25"/>
      <c r="K211" s="26" t="s">
        <v>44</v>
      </c>
      <c r="L211" s="16"/>
      <c r="M211" s="21"/>
    </row>
    <row r="212">
      <c r="A212" s="28">
        <v>46232.0</v>
      </c>
      <c r="B212" s="16" t="s">
        <v>1288</v>
      </c>
      <c r="C212" s="20" t="s">
        <v>1289</v>
      </c>
      <c r="D212" s="21"/>
      <c r="E212" s="22" t="s">
        <v>1290</v>
      </c>
      <c r="H212" s="23" t="s">
        <v>127</v>
      </c>
      <c r="I212" s="21"/>
      <c r="J212" s="25"/>
      <c r="K212" s="26" t="s">
        <v>44</v>
      </c>
      <c r="L212" s="16"/>
      <c r="M212" s="21"/>
    </row>
    <row r="213">
      <c r="A213" s="28">
        <v>46232.0</v>
      </c>
      <c r="B213" s="16" t="s">
        <v>1291</v>
      </c>
      <c r="C213" s="20" t="s">
        <v>1292</v>
      </c>
      <c r="D213" s="21"/>
      <c r="E213" s="22" t="s">
        <v>1293</v>
      </c>
      <c r="H213" s="23" t="s">
        <v>57</v>
      </c>
      <c r="I213" s="21"/>
      <c r="J213" s="25"/>
      <c r="K213" s="26" t="s">
        <v>44</v>
      </c>
      <c r="L213" s="16"/>
      <c r="M213" s="21"/>
    </row>
    <row r="214">
      <c r="A214" s="28">
        <v>46232.0</v>
      </c>
      <c r="B214" s="16" t="s">
        <v>1294</v>
      </c>
      <c r="C214" s="20" t="s">
        <v>1295</v>
      </c>
      <c r="D214" s="21"/>
      <c r="E214" s="22" t="s">
        <v>1296</v>
      </c>
      <c r="H214" s="23" t="s">
        <v>412</v>
      </c>
      <c r="I214" s="21"/>
      <c r="J214" s="25"/>
      <c r="K214" s="26" t="s">
        <v>44</v>
      </c>
      <c r="L214" s="16"/>
      <c r="M214" s="21"/>
    </row>
    <row r="215">
      <c r="A215" s="28">
        <v>46232.0</v>
      </c>
      <c r="B215" s="16" t="s">
        <v>1297</v>
      </c>
      <c r="C215" s="20" t="s">
        <v>1298</v>
      </c>
      <c r="D215" s="21"/>
      <c r="E215" s="22" t="s">
        <v>1299</v>
      </c>
      <c r="H215" s="23" t="s">
        <v>1300</v>
      </c>
      <c r="I215" s="21"/>
      <c r="J215" s="25"/>
      <c r="K215" s="26" t="s">
        <v>44</v>
      </c>
      <c r="L215" s="16"/>
      <c r="M215" s="21"/>
    </row>
    <row r="216">
      <c r="A216" s="28">
        <v>46232.0</v>
      </c>
      <c r="B216" s="16" t="s">
        <v>1301</v>
      </c>
      <c r="C216" s="20" t="s">
        <v>1302</v>
      </c>
      <c r="D216" s="21"/>
      <c r="E216" s="22" t="s">
        <v>1303</v>
      </c>
      <c r="H216" s="23" t="s">
        <v>404</v>
      </c>
      <c r="I216" s="21"/>
      <c r="J216" s="25"/>
      <c r="K216" s="26" t="s">
        <v>44</v>
      </c>
      <c r="L216" s="16"/>
      <c r="M216" s="21"/>
    </row>
    <row r="217">
      <c r="A217" s="28">
        <v>46232.0</v>
      </c>
      <c r="B217" s="16" t="s">
        <v>1304</v>
      </c>
      <c r="C217" s="20" t="s">
        <v>1305</v>
      </c>
      <c r="D217" s="21"/>
      <c r="E217" s="22" t="s">
        <v>1306</v>
      </c>
      <c r="H217" s="23" t="s">
        <v>1307</v>
      </c>
      <c r="I217" s="21"/>
      <c r="J217" s="25"/>
      <c r="K217" s="26" t="s">
        <v>44</v>
      </c>
      <c r="L217" s="16"/>
      <c r="M217" s="21"/>
    </row>
    <row r="218">
      <c r="A218" s="28">
        <v>46232.0</v>
      </c>
      <c r="B218" s="16" t="s">
        <v>1308</v>
      </c>
      <c r="C218" s="46" t="s">
        <v>1309</v>
      </c>
      <c r="D218" s="21"/>
      <c r="E218" s="22" t="s">
        <v>1310</v>
      </c>
      <c r="H218" s="23" t="s">
        <v>1311</v>
      </c>
      <c r="I218" s="21"/>
      <c r="J218" s="25"/>
      <c r="K218" s="26" t="s">
        <v>44</v>
      </c>
      <c r="L218" s="16"/>
      <c r="M218" s="21"/>
    </row>
    <row r="219">
      <c r="A219" s="28">
        <v>46232.0</v>
      </c>
      <c r="B219" s="16" t="s">
        <v>1312</v>
      </c>
      <c r="C219" s="20" t="s">
        <v>1313</v>
      </c>
      <c r="D219" s="21"/>
      <c r="E219" s="22" t="s">
        <v>1314</v>
      </c>
      <c r="H219" s="23" t="s">
        <v>370</v>
      </c>
      <c r="I219" s="21"/>
      <c r="J219" s="25"/>
      <c r="K219" s="26" t="s">
        <v>44</v>
      </c>
      <c r="L219" s="16"/>
      <c r="M219" s="21"/>
    </row>
    <row r="220">
      <c r="A220" s="28">
        <v>46232.0</v>
      </c>
      <c r="B220" s="16" t="s">
        <v>1315</v>
      </c>
      <c r="C220" s="20" t="s">
        <v>1316</v>
      </c>
      <c r="D220" s="21"/>
      <c r="E220" s="22" t="s">
        <v>1317</v>
      </c>
      <c r="H220" s="23" t="s">
        <v>396</v>
      </c>
      <c r="I220" s="21"/>
      <c r="J220" s="25"/>
      <c r="K220" s="26" t="s">
        <v>44</v>
      </c>
      <c r="L220" s="16"/>
      <c r="M220" s="21"/>
    </row>
    <row r="221">
      <c r="A221" s="28">
        <v>46232.0</v>
      </c>
      <c r="B221" s="16" t="s">
        <v>1318</v>
      </c>
      <c r="C221" s="20" t="s">
        <v>1319</v>
      </c>
      <c r="D221" s="21"/>
      <c r="E221" s="22" t="s">
        <v>1320</v>
      </c>
      <c r="H221" s="23" t="s">
        <v>1250</v>
      </c>
      <c r="I221" s="21"/>
      <c r="J221" s="25"/>
      <c r="K221" s="26" t="s">
        <v>44</v>
      </c>
      <c r="L221" s="16"/>
      <c r="M221" s="21"/>
    </row>
    <row r="222">
      <c r="A222" s="28">
        <v>46232.0</v>
      </c>
      <c r="B222" s="16" t="s">
        <v>1321</v>
      </c>
      <c r="C222" s="20" t="s">
        <v>1322</v>
      </c>
      <c r="D222" s="21"/>
      <c r="E222" s="22" t="s">
        <v>1323</v>
      </c>
      <c r="H222" s="23" t="s">
        <v>1016</v>
      </c>
      <c r="I222" s="21"/>
      <c r="J222" s="25"/>
      <c r="K222" s="26" t="s">
        <v>44</v>
      </c>
      <c r="L222" s="16"/>
      <c r="M222" s="21"/>
    </row>
    <row r="223">
      <c r="A223" s="28">
        <v>46232.0</v>
      </c>
      <c r="B223" s="16" t="s">
        <v>1324</v>
      </c>
      <c r="C223" s="20" t="s">
        <v>1325</v>
      </c>
      <c r="D223" s="21"/>
      <c r="E223" s="22" t="s">
        <v>1326</v>
      </c>
      <c r="H223" s="23" t="s">
        <v>1327</v>
      </c>
      <c r="I223" s="21"/>
      <c r="J223" s="25"/>
      <c r="K223" s="26" t="s">
        <v>44</v>
      </c>
      <c r="L223" s="16"/>
      <c r="M223" s="21"/>
    </row>
    <row r="224">
      <c r="A224" s="28">
        <v>46232.0</v>
      </c>
      <c r="B224" s="16" t="s">
        <v>1328</v>
      </c>
      <c r="C224" s="20" t="s">
        <v>1329</v>
      </c>
      <c r="D224" s="21"/>
      <c r="E224" s="22" t="s">
        <v>1330</v>
      </c>
      <c r="H224" s="23" t="s">
        <v>1331</v>
      </c>
      <c r="I224" s="21"/>
      <c r="J224" s="25"/>
      <c r="K224" s="26" t="s">
        <v>44</v>
      </c>
      <c r="L224" s="16"/>
      <c r="M224" s="21"/>
    </row>
    <row r="225">
      <c r="A225" s="28">
        <v>46232.0</v>
      </c>
      <c r="B225" s="16" t="s">
        <v>1332</v>
      </c>
      <c r="C225" s="20" t="s">
        <v>1333</v>
      </c>
      <c r="D225" s="21"/>
      <c r="E225" s="22" t="s">
        <v>1334</v>
      </c>
      <c r="H225" s="23" t="s">
        <v>1335</v>
      </c>
      <c r="I225" s="21"/>
      <c r="J225" s="25"/>
      <c r="K225" s="26" t="s">
        <v>44</v>
      </c>
      <c r="L225" s="16"/>
      <c r="M225" s="21"/>
    </row>
    <row r="226">
      <c r="A226" s="28">
        <v>46232.0</v>
      </c>
      <c r="B226" s="16" t="s">
        <v>1336</v>
      </c>
      <c r="C226" s="20" t="s">
        <v>1337</v>
      </c>
      <c r="D226" s="21"/>
      <c r="E226" s="22" t="s">
        <v>1338</v>
      </c>
      <c r="H226" s="23" t="s">
        <v>1339</v>
      </c>
      <c r="I226" s="21"/>
      <c r="J226" s="25"/>
      <c r="K226" s="26" t="s">
        <v>44</v>
      </c>
      <c r="L226" s="16"/>
      <c r="M226" s="21"/>
    </row>
    <row r="227">
      <c r="A227" s="28">
        <v>46232.0</v>
      </c>
      <c r="B227" s="16" t="s">
        <v>1340</v>
      </c>
      <c r="C227" s="20" t="s">
        <v>1341</v>
      </c>
      <c r="D227" s="21"/>
      <c r="E227" s="22" t="s">
        <v>1342</v>
      </c>
      <c r="H227" s="23" t="s">
        <v>48</v>
      </c>
      <c r="I227" s="21"/>
      <c r="J227" s="25"/>
      <c r="K227" s="26" t="s">
        <v>44</v>
      </c>
      <c r="L227" s="16"/>
      <c r="M227" s="21"/>
    </row>
    <row r="228">
      <c r="A228" s="28">
        <v>46232.0</v>
      </c>
      <c r="B228" s="16" t="s">
        <v>1343</v>
      </c>
      <c r="C228" s="20" t="s">
        <v>1344</v>
      </c>
      <c r="D228" s="21"/>
      <c r="E228" s="22" t="s">
        <v>1345</v>
      </c>
      <c r="H228" s="23" t="s">
        <v>48</v>
      </c>
      <c r="I228" s="21"/>
      <c r="J228" s="25"/>
      <c r="K228" s="26" t="s">
        <v>44</v>
      </c>
      <c r="L228" s="16"/>
      <c r="M228" s="21"/>
    </row>
    <row r="229">
      <c r="A229" s="28">
        <v>46232.0</v>
      </c>
      <c r="B229" s="16" t="s">
        <v>1346</v>
      </c>
      <c r="C229" s="20" t="s">
        <v>1347</v>
      </c>
      <c r="D229" s="21"/>
      <c r="E229" s="22" t="s">
        <v>1348</v>
      </c>
      <c r="H229" s="23" t="s">
        <v>1016</v>
      </c>
      <c r="I229" s="21"/>
      <c r="J229" s="25"/>
      <c r="K229" s="26" t="s">
        <v>44</v>
      </c>
      <c r="L229" s="16"/>
      <c r="M229" s="21"/>
    </row>
    <row r="230">
      <c r="A230" s="28">
        <v>46232.0</v>
      </c>
      <c r="B230" s="16" t="s">
        <v>1349</v>
      </c>
      <c r="C230" s="20" t="s">
        <v>1350</v>
      </c>
      <c r="D230" s="21"/>
      <c r="E230" s="22" t="s">
        <v>1351</v>
      </c>
      <c r="H230" s="23" t="s">
        <v>1352</v>
      </c>
      <c r="I230" s="21"/>
      <c r="J230" s="25"/>
      <c r="K230" s="26" t="s">
        <v>44</v>
      </c>
      <c r="L230" s="16"/>
      <c r="M230" s="21"/>
    </row>
    <row r="231">
      <c r="A231" s="28">
        <v>46232.0</v>
      </c>
      <c r="B231" s="16" t="s">
        <v>1353</v>
      </c>
      <c r="C231" s="20" t="s">
        <v>1354</v>
      </c>
      <c r="D231" s="21"/>
      <c r="E231" s="22" t="s">
        <v>1355</v>
      </c>
      <c r="H231" s="23" t="s">
        <v>1356</v>
      </c>
      <c r="I231" s="21"/>
      <c r="J231" s="25"/>
      <c r="K231" s="26" t="s">
        <v>44</v>
      </c>
      <c r="L231" s="16"/>
      <c r="M231" s="21"/>
    </row>
    <row r="232">
      <c r="A232" s="28">
        <v>46232.0</v>
      </c>
      <c r="B232" s="16" t="s">
        <v>1357</v>
      </c>
      <c r="C232" s="20" t="s">
        <v>1358</v>
      </c>
      <c r="D232" s="21"/>
      <c r="E232" s="22" t="s">
        <v>1359</v>
      </c>
      <c r="H232" s="23" t="s">
        <v>1360</v>
      </c>
      <c r="I232" s="21"/>
      <c r="J232" s="25"/>
      <c r="K232" s="26" t="s">
        <v>44</v>
      </c>
      <c r="L232" s="16"/>
      <c r="M232" s="21"/>
    </row>
    <row r="233">
      <c r="A233" s="28">
        <v>46232.0</v>
      </c>
      <c r="B233" s="16" t="s">
        <v>1361</v>
      </c>
      <c r="C233" s="20" t="s">
        <v>1362</v>
      </c>
      <c r="D233" s="21"/>
      <c r="E233" s="22" t="s">
        <v>1363</v>
      </c>
      <c r="H233" s="23" t="s">
        <v>1364</v>
      </c>
      <c r="I233" s="21"/>
      <c r="J233" s="25"/>
      <c r="K233" s="26" t="s">
        <v>44</v>
      </c>
      <c r="L233" s="16"/>
      <c r="M233" s="21"/>
    </row>
    <row r="234">
      <c r="A234" s="28">
        <v>46232.0</v>
      </c>
      <c r="B234" s="16" t="s">
        <v>1365</v>
      </c>
      <c r="C234" s="20" t="s">
        <v>1366</v>
      </c>
      <c r="D234" s="21"/>
      <c r="E234" s="22" t="s">
        <v>1367</v>
      </c>
      <c r="H234" s="23" t="s">
        <v>1368</v>
      </c>
      <c r="I234" s="21"/>
      <c r="J234" s="25"/>
      <c r="K234" s="26" t="s">
        <v>44</v>
      </c>
      <c r="L234" s="16"/>
      <c r="M234" s="21"/>
    </row>
    <row r="235">
      <c r="A235" s="28">
        <v>46232.0</v>
      </c>
      <c r="B235" s="16" t="s">
        <v>1369</v>
      </c>
      <c r="C235" s="20" t="s">
        <v>1370</v>
      </c>
      <c r="D235" s="21"/>
      <c r="E235" s="22" t="s">
        <v>1371</v>
      </c>
      <c r="H235" s="23" t="s">
        <v>1372</v>
      </c>
      <c r="I235" s="21"/>
      <c r="J235" s="25"/>
      <c r="K235" s="26" t="s">
        <v>44</v>
      </c>
      <c r="L235" s="16"/>
      <c r="M235" s="21"/>
    </row>
    <row r="236">
      <c r="A236" s="28">
        <v>46232.0</v>
      </c>
      <c r="B236" s="16" t="s">
        <v>1373</v>
      </c>
      <c r="C236" s="20" t="s">
        <v>1374</v>
      </c>
      <c r="D236" s="21"/>
      <c r="E236" s="22" t="s">
        <v>1375</v>
      </c>
      <c r="H236" s="23" t="s">
        <v>800</v>
      </c>
      <c r="I236" s="21"/>
      <c r="J236" s="25"/>
      <c r="K236" s="26" t="s">
        <v>44</v>
      </c>
      <c r="L236" s="16"/>
      <c r="M236" s="21"/>
    </row>
    <row r="237">
      <c r="A237" s="28">
        <v>46232.0</v>
      </c>
      <c r="B237" s="16" t="s">
        <v>1376</v>
      </c>
      <c r="C237" s="20" t="s">
        <v>1377</v>
      </c>
      <c r="D237" s="21"/>
      <c r="E237" s="22" t="s">
        <v>1378</v>
      </c>
      <c r="H237" s="23" t="s">
        <v>98</v>
      </c>
      <c r="I237" s="21"/>
      <c r="J237" s="25"/>
      <c r="K237" s="26" t="s">
        <v>44</v>
      </c>
      <c r="L237" s="16"/>
      <c r="M237" s="21"/>
    </row>
    <row r="238">
      <c r="A238" s="28">
        <v>46232.0</v>
      </c>
      <c r="B238" s="16" t="s">
        <v>1379</v>
      </c>
      <c r="C238" s="20" t="s">
        <v>1380</v>
      </c>
      <c r="D238" s="21"/>
      <c r="E238" s="22" t="s">
        <v>1381</v>
      </c>
      <c r="H238" s="23" t="s">
        <v>1382</v>
      </c>
      <c r="I238" s="21"/>
      <c r="J238" s="25"/>
      <c r="K238" s="26" t="s">
        <v>44</v>
      </c>
      <c r="L238" s="16"/>
      <c r="M238" s="21"/>
    </row>
    <row r="239">
      <c r="A239" s="28">
        <v>46232.0</v>
      </c>
      <c r="B239" s="16" t="s">
        <v>1383</v>
      </c>
      <c r="C239" s="20" t="s">
        <v>1384</v>
      </c>
      <c r="D239" s="21"/>
      <c r="E239" s="22" t="s">
        <v>1385</v>
      </c>
      <c r="H239" s="23" t="s">
        <v>404</v>
      </c>
      <c r="I239" s="21"/>
      <c r="J239" s="25"/>
      <c r="K239" s="26" t="s">
        <v>44</v>
      </c>
      <c r="L239" s="16"/>
      <c r="M239" s="21"/>
    </row>
    <row r="240">
      <c r="A240" s="28">
        <v>46232.0</v>
      </c>
      <c r="B240" s="16" t="s">
        <v>1386</v>
      </c>
      <c r="C240" s="20" t="s">
        <v>1387</v>
      </c>
      <c r="D240" s="21"/>
      <c r="E240" s="22" t="s">
        <v>1388</v>
      </c>
      <c r="H240" s="23" t="s">
        <v>69</v>
      </c>
      <c r="I240" s="21"/>
      <c r="J240" s="25"/>
      <c r="K240" s="26" t="s">
        <v>44</v>
      </c>
      <c r="L240" s="16"/>
      <c r="M240" s="21"/>
    </row>
    <row r="241">
      <c r="A241" s="28">
        <v>46232.0</v>
      </c>
      <c r="B241" s="16" t="s">
        <v>1389</v>
      </c>
      <c r="C241" s="20" t="s">
        <v>1390</v>
      </c>
      <c r="D241" s="21"/>
      <c r="E241" s="22" t="s">
        <v>1391</v>
      </c>
      <c r="H241" s="23" t="s">
        <v>983</v>
      </c>
      <c r="I241" s="21"/>
      <c r="J241" s="25"/>
      <c r="K241" s="26" t="s">
        <v>44</v>
      </c>
      <c r="L241" s="16"/>
      <c r="M241" s="21"/>
    </row>
    <row r="242">
      <c r="A242" s="28">
        <v>46232.0</v>
      </c>
      <c r="B242" s="16" t="s">
        <v>1392</v>
      </c>
      <c r="C242" s="20" t="s">
        <v>1393</v>
      </c>
      <c r="D242" s="21"/>
      <c r="E242" s="22" t="s">
        <v>1394</v>
      </c>
      <c r="H242" s="23" t="s">
        <v>65</v>
      </c>
      <c r="I242" s="21"/>
      <c r="J242" s="25"/>
      <c r="K242" s="26" t="s">
        <v>44</v>
      </c>
      <c r="L242" s="16"/>
      <c r="M242" s="21"/>
    </row>
    <row r="243">
      <c r="A243" s="28">
        <v>46232.0</v>
      </c>
      <c r="B243" s="16" t="s">
        <v>1395</v>
      </c>
      <c r="C243" s="20" t="s">
        <v>1396</v>
      </c>
      <c r="D243" s="21"/>
      <c r="E243" s="22" t="s">
        <v>1397</v>
      </c>
      <c r="H243" s="23" t="s">
        <v>1398</v>
      </c>
      <c r="I243" s="21"/>
      <c r="J243" s="25"/>
      <c r="K243" s="26" t="s">
        <v>44</v>
      </c>
      <c r="L243" s="16"/>
      <c r="M243" s="21"/>
    </row>
    <row r="244">
      <c r="A244" s="28">
        <v>46232.0</v>
      </c>
      <c r="B244" s="16" t="s">
        <v>1399</v>
      </c>
      <c r="C244" s="20" t="s">
        <v>1400</v>
      </c>
      <c r="D244" s="21"/>
      <c r="E244" s="22" t="s">
        <v>1401</v>
      </c>
      <c r="H244" s="23" t="s">
        <v>69</v>
      </c>
      <c r="I244" s="21"/>
      <c r="J244" s="25"/>
      <c r="K244" s="26" t="s">
        <v>44</v>
      </c>
      <c r="L244" s="16"/>
      <c r="M244" s="21"/>
    </row>
    <row r="245">
      <c r="A245" s="28">
        <v>46232.0</v>
      </c>
      <c r="B245" s="16" t="s">
        <v>1402</v>
      </c>
      <c r="C245" s="20" t="s">
        <v>1403</v>
      </c>
      <c r="D245" s="21"/>
      <c r="E245" s="22" t="s">
        <v>1404</v>
      </c>
      <c r="H245" s="23" t="s">
        <v>1250</v>
      </c>
      <c r="I245" s="21"/>
      <c r="J245" s="25"/>
      <c r="K245" s="26" t="s">
        <v>44</v>
      </c>
      <c r="L245" s="16"/>
      <c r="M245" s="21"/>
    </row>
    <row r="246">
      <c r="A246" s="28">
        <v>46232.0</v>
      </c>
      <c r="B246" s="16" t="s">
        <v>1405</v>
      </c>
      <c r="C246" s="20" t="s">
        <v>1406</v>
      </c>
      <c r="D246" s="21"/>
      <c r="E246" s="22" t="s">
        <v>1407</v>
      </c>
      <c r="H246" s="23" t="s">
        <v>80</v>
      </c>
      <c r="I246" s="21"/>
      <c r="J246" s="25"/>
      <c r="K246" s="26" t="s">
        <v>44</v>
      </c>
      <c r="L246" s="16"/>
      <c r="M246" s="21"/>
    </row>
    <row r="247">
      <c r="A247" s="28">
        <v>46232.0</v>
      </c>
      <c r="B247" s="16" t="s">
        <v>1408</v>
      </c>
      <c r="C247" s="20" t="s">
        <v>1409</v>
      </c>
      <c r="D247" s="21"/>
      <c r="E247" s="22" t="s">
        <v>1410</v>
      </c>
      <c r="H247" s="23" t="s">
        <v>1411</v>
      </c>
      <c r="I247" s="21"/>
      <c r="J247" s="25"/>
      <c r="K247" s="26" t="s">
        <v>44</v>
      </c>
      <c r="L247" s="16"/>
      <c r="M247" s="21"/>
    </row>
    <row r="248">
      <c r="A248" s="28">
        <v>46232.0</v>
      </c>
      <c r="B248" s="16" t="s">
        <v>1412</v>
      </c>
      <c r="C248" s="20" t="s">
        <v>1413</v>
      </c>
      <c r="D248" s="21"/>
      <c r="E248" s="22" t="s">
        <v>1414</v>
      </c>
      <c r="H248" s="23" t="s">
        <v>1415</v>
      </c>
      <c r="I248" s="21"/>
      <c r="J248" s="25"/>
      <c r="K248" s="26" t="s">
        <v>44</v>
      </c>
      <c r="L248" s="16"/>
      <c r="M248" s="21"/>
    </row>
    <row r="249">
      <c r="A249" s="28">
        <v>46232.0</v>
      </c>
      <c r="B249" s="16" t="s">
        <v>1416</v>
      </c>
      <c r="C249" s="20" t="s">
        <v>1417</v>
      </c>
      <c r="D249" s="21"/>
      <c r="E249" s="22" t="s">
        <v>1418</v>
      </c>
      <c r="H249" s="23" t="s">
        <v>960</v>
      </c>
      <c r="I249" s="21"/>
      <c r="J249" s="25"/>
      <c r="K249" s="26" t="s">
        <v>44</v>
      </c>
      <c r="L249" s="16"/>
      <c r="M249" s="21"/>
    </row>
    <row r="250">
      <c r="A250" s="28">
        <v>46232.0</v>
      </c>
      <c r="B250" s="16" t="s">
        <v>1419</v>
      </c>
      <c r="C250" s="20" t="s">
        <v>1420</v>
      </c>
      <c r="D250" s="21"/>
      <c r="E250" s="22" t="s">
        <v>1421</v>
      </c>
      <c r="H250" s="23" t="s">
        <v>1422</v>
      </c>
      <c r="I250" s="21"/>
      <c r="J250" s="25"/>
      <c r="K250" s="26" t="s">
        <v>44</v>
      </c>
      <c r="L250" s="16"/>
      <c r="M250" s="21"/>
    </row>
    <row r="251">
      <c r="A251" s="28">
        <v>46232.0</v>
      </c>
      <c r="B251" s="16" t="s">
        <v>1423</v>
      </c>
      <c r="C251" s="20" t="s">
        <v>1424</v>
      </c>
      <c r="D251" s="21"/>
      <c r="E251" s="22" t="s">
        <v>1425</v>
      </c>
      <c r="H251" s="23" t="s">
        <v>69</v>
      </c>
      <c r="I251" s="21"/>
      <c r="J251" s="25"/>
      <c r="K251" s="26" t="s">
        <v>44</v>
      </c>
      <c r="L251" s="16"/>
      <c r="M251" s="21"/>
    </row>
    <row r="252">
      <c r="A252" s="28">
        <v>46232.0</v>
      </c>
      <c r="B252" s="16" t="s">
        <v>1426</v>
      </c>
      <c r="C252" s="20" t="s">
        <v>1427</v>
      </c>
      <c r="D252" s="21"/>
      <c r="E252" s="22" t="s">
        <v>1428</v>
      </c>
      <c r="H252" s="23" t="s">
        <v>1429</v>
      </c>
      <c r="I252" s="21"/>
      <c r="J252" s="25"/>
      <c r="K252" s="26" t="s">
        <v>44</v>
      </c>
      <c r="L252" s="16"/>
      <c r="M252" s="21"/>
    </row>
    <row r="253">
      <c r="A253" s="28">
        <v>46232.0</v>
      </c>
      <c r="B253" s="16" t="s">
        <v>1430</v>
      </c>
      <c r="C253" s="20" t="s">
        <v>1431</v>
      </c>
      <c r="D253" s="21"/>
      <c r="E253" s="22" t="s">
        <v>1432</v>
      </c>
      <c r="H253" s="23" t="s">
        <v>1433</v>
      </c>
      <c r="I253" s="21"/>
      <c r="J253" s="25"/>
      <c r="K253" s="26" t="s">
        <v>44</v>
      </c>
      <c r="L253" s="16"/>
      <c r="M253" s="21"/>
    </row>
    <row r="254">
      <c r="A254" s="28">
        <v>46232.0</v>
      </c>
      <c r="B254" s="16" t="s">
        <v>1434</v>
      </c>
      <c r="C254" s="20" t="s">
        <v>1435</v>
      </c>
      <c r="D254" s="21"/>
      <c r="E254" s="22" t="s">
        <v>1436</v>
      </c>
      <c r="H254" s="23" t="s">
        <v>1437</v>
      </c>
      <c r="I254" s="21"/>
      <c r="J254" s="25"/>
      <c r="K254" s="26" t="s">
        <v>44</v>
      </c>
      <c r="L254" s="16"/>
      <c r="M254" s="21"/>
    </row>
    <row r="255">
      <c r="A255" s="28">
        <v>46232.0</v>
      </c>
      <c r="B255" s="16" t="s">
        <v>1438</v>
      </c>
      <c r="C255" s="20" t="s">
        <v>1439</v>
      </c>
      <c r="D255" s="21"/>
      <c r="E255" s="22" t="s">
        <v>1440</v>
      </c>
      <c r="H255" s="23" t="s">
        <v>896</v>
      </c>
      <c r="I255" s="21"/>
      <c r="J255" s="25"/>
      <c r="K255" s="26" t="s">
        <v>44</v>
      </c>
      <c r="L255" s="16"/>
      <c r="M255" s="21"/>
    </row>
    <row r="256">
      <c r="A256" s="28">
        <v>46232.0</v>
      </c>
      <c r="B256" s="16" t="s">
        <v>1441</v>
      </c>
      <c r="C256" s="20" t="s">
        <v>1442</v>
      </c>
      <c r="D256" s="21"/>
      <c r="E256" s="22" t="s">
        <v>1443</v>
      </c>
      <c r="H256" s="23" t="s">
        <v>1444</v>
      </c>
      <c r="I256" s="21"/>
      <c r="J256" s="25"/>
      <c r="K256" s="26" t="s">
        <v>44</v>
      </c>
      <c r="L256" s="16"/>
      <c r="M256" s="21"/>
    </row>
    <row r="257">
      <c r="A257" s="28">
        <v>46232.0</v>
      </c>
      <c r="B257" s="16" t="s">
        <v>1445</v>
      </c>
      <c r="C257" s="20" t="s">
        <v>1446</v>
      </c>
      <c r="D257" s="21"/>
      <c r="E257" s="22" t="s">
        <v>1447</v>
      </c>
      <c r="H257" s="23" t="s">
        <v>1448</v>
      </c>
      <c r="I257" s="21"/>
      <c r="J257" s="25"/>
      <c r="K257" s="26" t="s">
        <v>44</v>
      </c>
      <c r="L257" s="16"/>
      <c r="M257" s="21"/>
    </row>
    <row r="258">
      <c r="A258" s="28">
        <v>46232.0</v>
      </c>
      <c r="B258" s="16" t="s">
        <v>1449</v>
      </c>
      <c r="C258" s="20" t="s">
        <v>1450</v>
      </c>
      <c r="D258" s="21"/>
      <c r="E258" s="22" t="s">
        <v>1451</v>
      </c>
      <c r="H258" s="23" t="s">
        <v>1452</v>
      </c>
      <c r="I258" s="21"/>
      <c r="J258" s="25"/>
      <c r="K258" s="26" t="s">
        <v>44</v>
      </c>
      <c r="L258" s="16"/>
      <c r="M258" s="21"/>
    </row>
    <row r="259">
      <c r="A259" s="28">
        <v>46232.0</v>
      </c>
      <c r="B259" s="16" t="s">
        <v>1453</v>
      </c>
      <c r="C259" s="20" t="s">
        <v>1454</v>
      </c>
      <c r="D259" s="21"/>
      <c r="E259" s="22" t="s">
        <v>1455</v>
      </c>
      <c r="H259" s="23" t="s">
        <v>111</v>
      </c>
      <c r="I259" s="21"/>
      <c r="J259" s="25"/>
      <c r="K259" s="26" t="s">
        <v>44</v>
      </c>
      <c r="L259" s="16"/>
      <c r="M259" s="21"/>
    </row>
    <row r="260">
      <c r="A260" s="28">
        <v>46232.0</v>
      </c>
      <c r="B260" s="16" t="s">
        <v>1456</v>
      </c>
      <c r="C260" s="20" t="s">
        <v>1457</v>
      </c>
      <c r="D260" s="21"/>
      <c r="E260" s="22" t="s">
        <v>1458</v>
      </c>
      <c r="H260" s="23" t="s">
        <v>1459</v>
      </c>
      <c r="I260" s="21"/>
      <c r="J260" s="25"/>
      <c r="K260" s="26" t="s">
        <v>44</v>
      </c>
      <c r="L260" s="16"/>
      <c r="M260" s="21"/>
    </row>
    <row r="261">
      <c r="A261" s="28">
        <v>46232.0</v>
      </c>
      <c r="B261" s="16" t="s">
        <v>1460</v>
      </c>
      <c r="C261" s="20" t="s">
        <v>1461</v>
      </c>
      <c r="D261" s="21"/>
      <c r="E261" s="22" t="s">
        <v>1462</v>
      </c>
      <c r="H261" s="23" t="s">
        <v>111</v>
      </c>
      <c r="I261" s="21"/>
      <c r="J261" s="25"/>
      <c r="K261" s="26" t="s">
        <v>44</v>
      </c>
      <c r="L261" s="16"/>
      <c r="M261" s="21"/>
    </row>
    <row r="262">
      <c r="A262" s="28">
        <v>46232.0</v>
      </c>
      <c r="B262" s="16" t="s">
        <v>1463</v>
      </c>
      <c r="C262" s="20" t="s">
        <v>1464</v>
      </c>
      <c r="D262" s="21"/>
      <c r="E262" s="22" t="s">
        <v>1465</v>
      </c>
      <c r="H262" s="23" t="s">
        <v>1466</v>
      </c>
      <c r="I262" s="21"/>
      <c r="J262" s="25"/>
      <c r="K262" s="26" t="s">
        <v>44</v>
      </c>
      <c r="L262" s="16"/>
      <c r="M262" s="21"/>
    </row>
    <row r="263">
      <c r="A263" s="28">
        <v>46232.0</v>
      </c>
      <c r="B263" s="16" t="s">
        <v>1467</v>
      </c>
      <c r="C263" s="20" t="s">
        <v>1468</v>
      </c>
      <c r="D263" s="21"/>
      <c r="E263" s="22" t="s">
        <v>1469</v>
      </c>
      <c r="H263" s="23" t="s">
        <v>1470</v>
      </c>
      <c r="I263" s="21"/>
      <c r="J263" s="25"/>
      <c r="K263" s="26" t="s">
        <v>44</v>
      </c>
      <c r="L263" s="16"/>
      <c r="M263" s="21"/>
    </row>
    <row r="264">
      <c r="A264" s="28">
        <v>46232.0</v>
      </c>
      <c r="B264" s="16" t="s">
        <v>1471</v>
      </c>
      <c r="C264" s="20" t="s">
        <v>1472</v>
      </c>
      <c r="D264" s="21"/>
      <c r="E264" s="22" t="s">
        <v>1473</v>
      </c>
      <c r="H264" s="23" t="s">
        <v>856</v>
      </c>
      <c r="I264" s="21"/>
      <c r="J264" s="25"/>
      <c r="K264" s="26" t="s">
        <v>44</v>
      </c>
      <c r="L264" s="16"/>
      <c r="M264" s="21"/>
    </row>
    <row r="265">
      <c r="A265" s="28">
        <v>46232.0</v>
      </c>
      <c r="B265" s="16" t="s">
        <v>1474</v>
      </c>
      <c r="C265" s="20" t="s">
        <v>1475</v>
      </c>
      <c r="D265" s="21"/>
      <c r="E265" s="22" t="s">
        <v>1476</v>
      </c>
      <c r="H265" s="23" t="s">
        <v>599</v>
      </c>
      <c r="I265" s="21"/>
      <c r="J265" s="25"/>
      <c r="K265" s="26" t="s">
        <v>44</v>
      </c>
      <c r="L265" s="16"/>
      <c r="M265" s="21"/>
    </row>
    <row r="266">
      <c r="A266" s="28">
        <v>46232.0</v>
      </c>
      <c r="B266" s="16" t="s">
        <v>1477</v>
      </c>
      <c r="C266" s="20" t="s">
        <v>1478</v>
      </c>
      <c r="D266" s="21"/>
      <c r="E266" s="22" t="s">
        <v>1479</v>
      </c>
      <c r="H266" s="23" t="s">
        <v>57</v>
      </c>
      <c r="I266" s="21"/>
      <c r="J266" s="25"/>
      <c r="K266" s="26" t="s">
        <v>44</v>
      </c>
      <c r="L266" s="16"/>
      <c r="M266" s="21"/>
    </row>
    <row r="267">
      <c r="A267" s="28">
        <v>46232.0</v>
      </c>
      <c r="B267" s="16" t="s">
        <v>1480</v>
      </c>
      <c r="C267" s="20" t="s">
        <v>1481</v>
      </c>
      <c r="D267" s="21"/>
      <c r="E267" s="22" t="s">
        <v>1482</v>
      </c>
      <c r="H267" s="23" t="s">
        <v>1483</v>
      </c>
      <c r="I267" s="21"/>
      <c r="J267" s="25"/>
      <c r="K267" s="26" t="s">
        <v>44</v>
      </c>
      <c r="L267" s="16"/>
      <c r="M267" s="21"/>
    </row>
    <row r="268">
      <c r="A268" s="28">
        <v>46232.0</v>
      </c>
      <c r="B268" s="16" t="s">
        <v>1484</v>
      </c>
      <c r="C268" s="20" t="s">
        <v>1485</v>
      </c>
      <c r="D268" s="21"/>
      <c r="E268" s="22" t="s">
        <v>1486</v>
      </c>
      <c r="H268" s="23" t="s">
        <v>1487</v>
      </c>
      <c r="I268" s="21"/>
      <c r="J268" s="25"/>
      <c r="K268" s="26" t="s">
        <v>44</v>
      </c>
      <c r="L268" s="16"/>
      <c r="M268" s="21"/>
    </row>
    <row r="269">
      <c r="A269" s="28">
        <v>46232.0</v>
      </c>
      <c r="B269" s="16" t="s">
        <v>1488</v>
      </c>
      <c r="C269" s="20" t="s">
        <v>1489</v>
      </c>
      <c r="D269" s="21"/>
      <c r="E269" s="22" t="s">
        <v>1490</v>
      </c>
      <c r="H269" s="23" t="s">
        <v>42</v>
      </c>
      <c r="I269" s="21"/>
      <c r="J269" s="25"/>
      <c r="K269" s="26" t="s">
        <v>44</v>
      </c>
      <c r="L269" s="16"/>
      <c r="M269" s="21"/>
    </row>
    <row r="270">
      <c r="A270" s="28">
        <v>46232.0</v>
      </c>
      <c r="B270" s="16" t="s">
        <v>1491</v>
      </c>
      <c r="C270" s="20" t="s">
        <v>1492</v>
      </c>
      <c r="D270" s="21"/>
      <c r="E270" s="22" t="s">
        <v>1493</v>
      </c>
      <c r="H270" s="23" t="s">
        <v>148</v>
      </c>
      <c r="I270" s="21"/>
      <c r="J270" s="25"/>
      <c r="K270" s="26" t="s">
        <v>44</v>
      </c>
      <c r="L270" s="16"/>
      <c r="M270" s="21"/>
    </row>
    <row r="271">
      <c r="A271" s="28">
        <v>46232.0</v>
      </c>
      <c r="B271" s="16" t="s">
        <v>1494</v>
      </c>
      <c r="C271" s="20" t="s">
        <v>1495</v>
      </c>
      <c r="D271" s="21"/>
      <c r="E271" s="22" t="s">
        <v>1496</v>
      </c>
      <c r="H271" s="23" t="s">
        <v>80</v>
      </c>
      <c r="I271" s="21"/>
      <c r="J271" s="25"/>
      <c r="K271" s="26" t="s">
        <v>44</v>
      </c>
      <c r="L271" s="16"/>
      <c r="M271" s="21"/>
    </row>
    <row r="272">
      <c r="A272" s="28">
        <v>46232.0</v>
      </c>
      <c r="B272" s="16" t="s">
        <v>1497</v>
      </c>
      <c r="C272" s="20" t="s">
        <v>1498</v>
      </c>
      <c r="D272" s="21"/>
      <c r="E272" s="22" t="s">
        <v>1499</v>
      </c>
      <c r="H272" s="23" t="s">
        <v>98</v>
      </c>
      <c r="I272" s="21"/>
      <c r="J272" s="25"/>
      <c r="K272" s="26" t="s">
        <v>44</v>
      </c>
      <c r="L272" s="16"/>
      <c r="M272" s="21"/>
    </row>
    <row r="273">
      <c r="A273" s="28">
        <v>46232.0</v>
      </c>
      <c r="B273" s="16" t="s">
        <v>1500</v>
      </c>
      <c r="C273" s="20" t="s">
        <v>1501</v>
      </c>
      <c r="D273" s="21"/>
      <c r="E273" s="22" t="s">
        <v>1502</v>
      </c>
      <c r="H273" s="23" t="s">
        <v>1503</v>
      </c>
      <c r="I273" s="21"/>
      <c r="J273" s="25"/>
      <c r="K273" s="26" t="s">
        <v>44</v>
      </c>
      <c r="L273" s="16"/>
      <c r="M273" s="21"/>
    </row>
    <row r="274">
      <c r="A274" s="28">
        <v>46232.0</v>
      </c>
      <c r="B274" s="16" t="s">
        <v>1504</v>
      </c>
      <c r="C274" s="20" t="s">
        <v>1505</v>
      </c>
      <c r="D274" s="21"/>
      <c r="E274" s="22" t="s">
        <v>1506</v>
      </c>
      <c r="H274" s="23" t="s">
        <v>65</v>
      </c>
      <c r="I274" s="21"/>
      <c r="J274" s="25"/>
      <c r="K274" s="26" t="s">
        <v>44</v>
      </c>
      <c r="L274" s="16"/>
      <c r="M274" s="21"/>
    </row>
    <row r="275">
      <c r="A275" s="28">
        <v>46232.0</v>
      </c>
      <c r="B275" s="16" t="s">
        <v>1507</v>
      </c>
      <c r="C275" s="20" t="s">
        <v>1508</v>
      </c>
      <c r="D275" s="21"/>
      <c r="E275" s="22" t="s">
        <v>1509</v>
      </c>
      <c r="H275" s="23" t="s">
        <v>1510</v>
      </c>
      <c r="I275" s="21"/>
      <c r="J275" s="25"/>
      <c r="K275" s="26" t="s">
        <v>44</v>
      </c>
      <c r="L275" s="16"/>
      <c r="M275" s="21"/>
    </row>
    <row r="276">
      <c r="A276" s="28">
        <v>46232.0</v>
      </c>
      <c r="B276" s="16" t="s">
        <v>1511</v>
      </c>
      <c r="C276" s="20" t="s">
        <v>1512</v>
      </c>
      <c r="D276" s="21"/>
      <c r="E276" s="22" t="s">
        <v>1513</v>
      </c>
      <c r="H276" s="23" t="s">
        <v>48</v>
      </c>
      <c r="I276" s="21"/>
      <c r="J276" s="25"/>
      <c r="K276" s="26" t="s">
        <v>44</v>
      </c>
      <c r="L276" s="16"/>
      <c r="M276" s="21"/>
    </row>
    <row r="277">
      <c r="A277" s="28">
        <v>46232.0</v>
      </c>
      <c r="B277" s="16" t="s">
        <v>1514</v>
      </c>
      <c r="C277" s="20" t="s">
        <v>1515</v>
      </c>
      <c r="D277" s="21"/>
      <c r="E277" s="22" t="s">
        <v>1516</v>
      </c>
      <c r="H277" s="23" t="s">
        <v>57</v>
      </c>
      <c r="I277" s="21"/>
      <c r="J277" s="25"/>
      <c r="K277" s="26" t="s">
        <v>44</v>
      </c>
      <c r="L277" s="16"/>
      <c r="M277" s="21"/>
    </row>
    <row r="278">
      <c r="A278" s="28">
        <v>46232.0</v>
      </c>
      <c r="B278" s="16" t="s">
        <v>1517</v>
      </c>
      <c r="C278" s="20" t="s">
        <v>1518</v>
      </c>
      <c r="D278" s="21"/>
      <c r="E278" s="22" t="s">
        <v>1519</v>
      </c>
      <c r="H278" s="23" t="s">
        <v>1520</v>
      </c>
      <c r="I278" s="21"/>
      <c r="J278" s="25"/>
      <c r="K278" s="26" t="s">
        <v>44</v>
      </c>
      <c r="L278" s="16"/>
      <c r="M278" s="21"/>
    </row>
    <row r="279">
      <c r="A279" s="28">
        <v>46232.0</v>
      </c>
      <c r="B279" s="16" t="s">
        <v>1521</v>
      </c>
      <c r="C279" s="20" t="s">
        <v>1522</v>
      </c>
      <c r="D279" s="21"/>
      <c r="E279" s="22" t="s">
        <v>1523</v>
      </c>
      <c r="H279" s="23" t="s">
        <v>57</v>
      </c>
      <c r="I279" s="21"/>
      <c r="J279" s="25"/>
      <c r="K279" s="26" t="s">
        <v>44</v>
      </c>
      <c r="L279" s="16"/>
      <c r="M279" s="21"/>
    </row>
    <row r="280">
      <c r="A280" s="28">
        <v>46232.0</v>
      </c>
      <c r="B280" s="16" t="s">
        <v>1524</v>
      </c>
      <c r="C280" s="20" t="s">
        <v>1525</v>
      </c>
      <c r="D280" s="21"/>
      <c r="E280" s="22" t="s">
        <v>1526</v>
      </c>
      <c r="H280" s="23" t="s">
        <v>69</v>
      </c>
      <c r="I280" s="21"/>
      <c r="J280" s="25"/>
      <c r="K280" s="26" t="s">
        <v>44</v>
      </c>
      <c r="L280" s="16"/>
      <c r="M280" s="21"/>
    </row>
    <row r="281">
      <c r="A281" s="28">
        <v>46232.0</v>
      </c>
      <c r="B281" s="16" t="s">
        <v>1527</v>
      </c>
      <c r="C281" s="20" t="s">
        <v>1528</v>
      </c>
      <c r="D281" s="21"/>
      <c r="E281" s="22" t="s">
        <v>1529</v>
      </c>
      <c r="H281" s="23" t="s">
        <v>1530</v>
      </c>
      <c r="I281" s="21"/>
      <c r="J281" s="25"/>
      <c r="K281" s="26" t="s">
        <v>44</v>
      </c>
      <c r="L281" s="16"/>
      <c r="M281" s="21"/>
    </row>
    <row r="282">
      <c r="A282" s="28">
        <v>46232.0</v>
      </c>
      <c r="B282" s="16" t="s">
        <v>1531</v>
      </c>
      <c r="C282" s="20" t="s">
        <v>1532</v>
      </c>
      <c r="D282" s="21"/>
      <c r="E282" s="22" t="s">
        <v>1533</v>
      </c>
      <c r="H282" s="23" t="s">
        <v>1534</v>
      </c>
      <c r="I282" s="21"/>
      <c r="J282" s="25"/>
      <c r="K282" s="26" t="s">
        <v>44</v>
      </c>
      <c r="L282" s="16"/>
      <c r="M282" s="21"/>
    </row>
    <row r="283">
      <c r="A283" s="28">
        <v>46232.0</v>
      </c>
      <c r="B283" s="16" t="s">
        <v>1535</v>
      </c>
      <c r="C283" s="20" t="s">
        <v>1536</v>
      </c>
      <c r="D283" s="21"/>
      <c r="E283" s="22" t="s">
        <v>1537</v>
      </c>
      <c r="H283" s="23" t="s">
        <v>65</v>
      </c>
      <c r="I283" s="21"/>
      <c r="J283" s="25"/>
      <c r="K283" s="26" t="s">
        <v>44</v>
      </c>
      <c r="L283" s="16"/>
      <c r="M283" s="21"/>
    </row>
    <row r="284">
      <c r="A284" s="28">
        <v>46232.0</v>
      </c>
      <c r="B284" s="16" t="s">
        <v>1538</v>
      </c>
      <c r="C284" s="20" t="s">
        <v>1539</v>
      </c>
      <c r="D284" s="21"/>
      <c r="E284" s="22" t="s">
        <v>1540</v>
      </c>
      <c r="H284" s="23" t="s">
        <v>1459</v>
      </c>
      <c r="I284" s="21"/>
      <c r="J284" s="25"/>
      <c r="K284" s="26" t="s">
        <v>44</v>
      </c>
      <c r="L284" s="16"/>
      <c r="M284" s="21"/>
    </row>
    <row r="285">
      <c r="A285" s="28">
        <v>46232.0</v>
      </c>
      <c r="B285" s="16" t="s">
        <v>1541</v>
      </c>
      <c r="C285" s="20" t="s">
        <v>1542</v>
      </c>
      <c r="D285" s="21"/>
      <c r="E285" s="22" t="s">
        <v>1543</v>
      </c>
      <c r="H285" s="23" t="s">
        <v>299</v>
      </c>
      <c r="I285" s="21"/>
      <c r="J285" s="25"/>
      <c r="K285" s="26" t="s">
        <v>44</v>
      </c>
      <c r="L285" s="16"/>
      <c r="M285" s="21"/>
    </row>
    <row r="286">
      <c r="A286" s="28">
        <v>46232.0</v>
      </c>
      <c r="B286" s="16" t="s">
        <v>1544</v>
      </c>
      <c r="C286" s="20" t="s">
        <v>1545</v>
      </c>
      <c r="D286" s="21"/>
      <c r="E286" s="22" t="s">
        <v>1546</v>
      </c>
      <c r="H286" s="23" t="s">
        <v>148</v>
      </c>
      <c r="I286" s="21"/>
      <c r="J286" s="25"/>
      <c r="K286" s="26" t="s">
        <v>44</v>
      </c>
      <c r="L286" s="16"/>
      <c r="M286" s="21"/>
    </row>
    <row r="287">
      <c r="A287" s="28">
        <v>46232.0</v>
      </c>
      <c r="B287" s="16" t="s">
        <v>1547</v>
      </c>
      <c r="C287" s="20" t="s">
        <v>1548</v>
      </c>
      <c r="D287" s="21"/>
      <c r="E287" s="22" t="s">
        <v>1549</v>
      </c>
      <c r="H287" s="23" t="s">
        <v>1550</v>
      </c>
      <c r="I287" s="21"/>
      <c r="J287" s="25"/>
      <c r="K287" s="26" t="s">
        <v>44</v>
      </c>
      <c r="L287" s="16"/>
      <c r="M287" s="21"/>
    </row>
    <row r="288">
      <c r="A288" s="28">
        <v>46232.0</v>
      </c>
      <c r="B288" s="16" t="s">
        <v>1551</v>
      </c>
      <c r="C288" s="20" t="s">
        <v>1552</v>
      </c>
      <c r="D288" s="21"/>
      <c r="E288" s="22" t="s">
        <v>1553</v>
      </c>
      <c r="H288" s="23" t="s">
        <v>69</v>
      </c>
      <c r="I288" s="21"/>
      <c r="J288" s="25"/>
      <c r="K288" s="26" t="s">
        <v>44</v>
      </c>
      <c r="L288" s="16"/>
      <c r="M288" s="21"/>
    </row>
    <row r="289">
      <c r="A289" s="28">
        <v>46232.0</v>
      </c>
      <c r="B289" s="16" t="s">
        <v>1554</v>
      </c>
      <c r="C289" s="20" t="s">
        <v>1555</v>
      </c>
      <c r="D289" s="21"/>
      <c r="E289" s="22" t="s">
        <v>1556</v>
      </c>
      <c r="H289" s="23" t="s">
        <v>1557</v>
      </c>
      <c r="I289" s="21"/>
      <c r="J289" s="25"/>
      <c r="K289" s="26" t="s">
        <v>44</v>
      </c>
      <c r="L289" s="16"/>
      <c r="M289" s="21"/>
    </row>
    <row r="290">
      <c r="A290" s="28">
        <v>46232.0</v>
      </c>
      <c r="B290" s="16" t="s">
        <v>1558</v>
      </c>
      <c r="C290" s="20" t="s">
        <v>1559</v>
      </c>
      <c r="D290" s="21"/>
      <c r="E290" s="22" t="s">
        <v>1560</v>
      </c>
      <c r="H290" s="23" t="s">
        <v>479</v>
      </c>
      <c r="I290" s="21"/>
      <c r="J290" s="25"/>
      <c r="K290" s="26" t="s">
        <v>44</v>
      </c>
      <c r="L290" s="16"/>
      <c r="M290" s="21"/>
    </row>
    <row r="291">
      <c r="A291" s="28">
        <v>46232.0</v>
      </c>
      <c r="B291" s="16" t="s">
        <v>1561</v>
      </c>
      <c r="C291" s="20" t="s">
        <v>1562</v>
      </c>
      <c r="D291" s="21"/>
      <c r="E291" s="22" t="s">
        <v>1563</v>
      </c>
      <c r="H291" s="23" t="s">
        <v>148</v>
      </c>
      <c r="I291" s="21"/>
      <c r="J291" s="25"/>
      <c r="K291" s="26" t="s">
        <v>44</v>
      </c>
      <c r="L291" s="16"/>
      <c r="M291" s="21"/>
    </row>
    <row r="292">
      <c r="A292" s="28">
        <v>46232.0</v>
      </c>
      <c r="B292" s="16" t="s">
        <v>1564</v>
      </c>
      <c r="C292" s="20" t="s">
        <v>1565</v>
      </c>
      <c r="D292" s="21"/>
      <c r="E292" s="22" t="s">
        <v>1566</v>
      </c>
      <c r="H292" s="23" t="s">
        <v>1246</v>
      </c>
      <c r="I292" s="21"/>
      <c r="J292" s="25"/>
      <c r="K292" s="26" t="s">
        <v>44</v>
      </c>
      <c r="L292" s="16"/>
      <c r="M292" s="21"/>
    </row>
    <row r="293">
      <c r="A293" s="28">
        <v>46232.0</v>
      </c>
      <c r="B293" s="16" t="s">
        <v>1567</v>
      </c>
      <c r="C293" s="20" t="s">
        <v>1568</v>
      </c>
      <c r="D293" s="21"/>
      <c r="E293" s="22" t="s">
        <v>1569</v>
      </c>
      <c r="H293" s="23" t="s">
        <v>1141</v>
      </c>
      <c r="I293" s="21"/>
      <c r="J293" s="25"/>
      <c r="K293" s="26" t="s">
        <v>44</v>
      </c>
      <c r="L293" s="16"/>
      <c r="M293" s="21"/>
    </row>
    <row r="294">
      <c r="A294" s="28">
        <v>46232.0</v>
      </c>
      <c r="B294" s="16" t="s">
        <v>1570</v>
      </c>
      <c r="C294" s="20" t="s">
        <v>1571</v>
      </c>
      <c r="D294" s="21"/>
      <c r="E294" s="22" t="s">
        <v>1572</v>
      </c>
      <c r="H294" s="23" t="s">
        <v>69</v>
      </c>
      <c r="I294" s="21"/>
      <c r="J294" s="25"/>
      <c r="K294" s="26" t="s">
        <v>44</v>
      </c>
      <c r="L294" s="16"/>
      <c r="M294" s="21"/>
    </row>
    <row r="295">
      <c r="A295" s="28">
        <v>46232.0</v>
      </c>
      <c r="B295" s="16" t="s">
        <v>1573</v>
      </c>
      <c r="C295" s="20" t="s">
        <v>1574</v>
      </c>
      <c r="D295" s="21"/>
      <c r="E295" s="22" t="s">
        <v>1575</v>
      </c>
      <c r="H295" s="23" t="s">
        <v>48</v>
      </c>
      <c r="I295" s="21"/>
      <c r="J295" s="25"/>
      <c r="K295" s="26" t="s">
        <v>44</v>
      </c>
      <c r="L295" s="16"/>
      <c r="M295" s="21"/>
    </row>
    <row r="296">
      <c r="A296" s="28">
        <v>46232.0</v>
      </c>
      <c r="B296" s="16" t="s">
        <v>1576</v>
      </c>
      <c r="C296" s="20" t="s">
        <v>1577</v>
      </c>
      <c r="D296" s="21"/>
      <c r="E296" s="22" t="s">
        <v>1578</v>
      </c>
      <c r="H296" s="23" t="s">
        <v>57</v>
      </c>
      <c r="I296" s="21"/>
      <c r="J296" s="25"/>
      <c r="K296" s="26" t="s">
        <v>44</v>
      </c>
      <c r="L296" s="16"/>
      <c r="M296" s="21"/>
    </row>
    <row r="297">
      <c r="A297" s="28">
        <v>46232.0</v>
      </c>
      <c r="B297" s="16" t="s">
        <v>1579</v>
      </c>
      <c r="C297" s="20" t="s">
        <v>1580</v>
      </c>
      <c r="D297" s="21"/>
      <c r="E297" s="22" t="s">
        <v>1581</v>
      </c>
      <c r="H297" s="23" t="s">
        <v>751</v>
      </c>
      <c r="I297" s="21"/>
      <c r="J297" s="25"/>
      <c r="K297" s="26" t="s">
        <v>44</v>
      </c>
      <c r="L297" s="16"/>
      <c r="M297" s="21"/>
    </row>
    <row r="298">
      <c r="A298" s="28">
        <v>46232.0</v>
      </c>
      <c r="B298" s="16" t="s">
        <v>1582</v>
      </c>
      <c r="C298" s="20" t="s">
        <v>1583</v>
      </c>
      <c r="D298" s="21"/>
      <c r="E298" s="22" t="s">
        <v>1584</v>
      </c>
      <c r="H298" s="23" t="s">
        <v>111</v>
      </c>
      <c r="I298" s="21"/>
      <c r="J298" s="25"/>
      <c r="K298" s="26" t="s">
        <v>44</v>
      </c>
      <c r="L298" s="16"/>
      <c r="M298" s="21"/>
    </row>
    <row r="299">
      <c r="A299" s="28">
        <v>46232.0</v>
      </c>
      <c r="B299" s="16" t="s">
        <v>1585</v>
      </c>
      <c r="C299" s="20" t="s">
        <v>1586</v>
      </c>
      <c r="D299" s="21"/>
      <c r="E299" s="22" t="s">
        <v>1587</v>
      </c>
      <c r="H299" s="23" t="s">
        <v>69</v>
      </c>
      <c r="I299" s="21"/>
      <c r="J299" s="25"/>
      <c r="K299" s="26" t="s">
        <v>44</v>
      </c>
      <c r="L299" s="16"/>
      <c r="M299" s="21"/>
    </row>
    <row r="300">
      <c r="A300" s="28">
        <v>46232.0</v>
      </c>
      <c r="B300" s="16" t="s">
        <v>1588</v>
      </c>
      <c r="C300" s="20" t="s">
        <v>1589</v>
      </c>
      <c r="D300" s="21"/>
      <c r="E300" s="22" t="s">
        <v>1590</v>
      </c>
      <c r="H300" s="23" t="s">
        <v>1591</v>
      </c>
      <c r="I300" s="21"/>
      <c r="J300" s="25"/>
      <c r="K300" s="26" t="s">
        <v>44</v>
      </c>
      <c r="L300" s="16"/>
      <c r="M300" s="21"/>
    </row>
    <row r="301">
      <c r="A301" s="28">
        <v>46232.0</v>
      </c>
      <c r="B301" s="16" t="s">
        <v>1592</v>
      </c>
      <c r="C301" s="20" t="s">
        <v>1593</v>
      </c>
      <c r="D301" s="21"/>
      <c r="E301" s="22" t="s">
        <v>1594</v>
      </c>
      <c r="H301" s="23" t="s">
        <v>1595</v>
      </c>
      <c r="I301" s="21"/>
      <c r="J301" s="25"/>
      <c r="K301" s="26" t="s">
        <v>44</v>
      </c>
      <c r="L301" s="16"/>
      <c r="M301" s="21"/>
    </row>
    <row r="302">
      <c r="A302" s="28">
        <v>46232.0</v>
      </c>
      <c r="B302" s="16" t="s">
        <v>1596</v>
      </c>
      <c r="C302" s="20" t="s">
        <v>1597</v>
      </c>
      <c r="D302" s="21"/>
      <c r="E302" s="22" t="s">
        <v>1598</v>
      </c>
      <c r="H302" s="23" t="s">
        <v>1141</v>
      </c>
      <c r="I302" s="21"/>
      <c r="J302" s="25"/>
      <c r="K302" s="26" t="s">
        <v>44</v>
      </c>
      <c r="L302" s="16"/>
      <c r="M302" s="21"/>
    </row>
    <row r="303">
      <c r="A303" s="28">
        <v>46232.0</v>
      </c>
      <c r="B303" s="16" t="s">
        <v>1599</v>
      </c>
      <c r="C303" s="20" t="s">
        <v>1600</v>
      </c>
      <c r="D303" s="21"/>
      <c r="E303" s="22" t="s">
        <v>1601</v>
      </c>
      <c r="H303" s="23" t="s">
        <v>1534</v>
      </c>
      <c r="I303" s="21"/>
      <c r="J303" s="25"/>
      <c r="K303" s="26" t="s">
        <v>44</v>
      </c>
      <c r="L303" s="16"/>
      <c r="M303" s="21"/>
    </row>
    <row r="304">
      <c r="A304" s="28">
        <v>46232.0</v>
      </c>
      <c r="B304" s="16" t="s">
        <v>1602</v>
      </c>
      <c r="C304" s="20" t="s">
        <v>1603</v>
      </c>
      <c r="D304" s="21"/>
      <c r="E304" s="22" t="s">
        <v>1604</v>
      </c>
      <c r="H304" s="23" t="s">
        <v>1141</v>
      </c>
      <c r="I304" s="21"/>
      <c r="J304" s="25"/>
      <c r="K304" s="26" t="s">
        <v>44</v>
      </c>
      <c r="L304" s="16"/>
      <c r="M304" s="21"/>
    </row>
    <row r="305">
      <c r="A305" s="28">
        <v>46232.0</v>
      </c>
      <c r="B305" s="16" t="s">
        <v>1605</v>
      </c>
      <c r="C305" s="20" t="s">
        <v>1606</v>
      </c>
      <c r="D305" s="21"/>
      <c r="E305" s="22" t="s">
        <v>1607</v>
      </c>
      <c r="H305" s="23" t="s">
        <v>1608</v>
      </c>
      <c r="I305" s="21"/>
      <c r="J305" s="25"/>
      <c r="K305" s="26" t="s">
        <v>44</v>
      </c>
      <c r="L305" s="16"/>
      <c r="M305" s="21"/>
    </row>
    <row r="306">
      <c r="A306" s="28">
        <v>46232.0</v>
      </c>
      <c r="B306" s="16" t="s">
        <v>1609</v>
      </c>
      <c r="C306" s="20" t="s">
        <v>1610</v>
      </c>
      <c r="D306" s="21"/>
      <c r="E306" s="22" t="s">
        <v>1611</v>
      </c>
      <c r="H306" s="23" t="s">
        <v>1612</v>
      </c>
      <c r="I306" s="21"/>
      <c r="J306" s="25"/>
      <c r="K306" s="26" t="s">
        <v>44</v>
      </c>
      <c r="L306" s="16"/>
      <c r="M306" s="21"/>
    </row>
    <row r="307">
      <c r="A307" s="28">
        <v>46232.0</v>
      </c>
      <c r="B307" s="16" t="s">
        <v>1613</v>
      </c>
      <c r="C307" s="20" t="s">
        <v>1614</v>
      </c>
      <c r="D307" s="21"/>
      <c r="E307" s="22" t="s">
        <v>1615</v>
      </c>
      <c r="H307" s="23" t="s">
        <v>767</v>
      </c>
      <c r="I307" s="21"/>
      <c r="J307" s="25"/>
      <c r="K307" s="26" t="s">
        <v>44</v>
      </c>
      <c r="L307" s="16"/>
      <c r="M307" s="21"/>
    </row>
    <row r="308">
      <c r="A308" s="28">
        <v>46232.0</v>
      </c>
      <c r="B308" s="16" t="s">
        <v>1616</v>
      </c>
      <c r="C308" s="20" t="s">
        <v>1617</v>
      </c>
      <c r="D308" s="21"/>
      <c r="E308" s="22" t="s">
        <v>1618</v>
      </c>
      <c r="H308" s="23" t="s">
        <v>1619</v>
      </c>
      <c r="I308" s="21"/>
      <c r="J308" s="25"/>
      <c r="K308" s="26" t="s">
        <v>44</v>
      </c>
      <c r="L308" s="16"/>
      <c r="M308" s="21"/>
    </row>
    <row r="309">
      <c r="A309" s="28">
        <v>46232.0</v>
      </c>
      <c r="B309" s="16" t="s">
        <v>1620</v>
      </c>
      <c r="C309" s="20" t="s">
        <v>1621</v>
      </c>
      <c r="D309" s="21"/>
      <c r="E309" s="22" t="s">
        <v>1622</v>
      </c>
      <c r="H309" s="23" t="s">
        <v>1623</v>
      </c>
      <c r="I309" s="21"/>
      <c r="J309" s="25"/>
      <c r="K309" s="26" t="s">
        <v>44</v>
      </c>
      <c r="L309" s="16"/>
      <c r="M309" s="21"/>
    </row>
    <row r="310">
      <c r="A310" s="28">
        <v>46232.0</v>
      </c>
      <c r="B310" s="16" t="s">
        <v>1624</v>
      </c>
      <c r="C310" s="20" t="s">
        <v>1625</v>
      </c>
      <c r="D310" s="21"/>
      <c r="E310" s="22" t="s">
        <v>1626</v>
      </c>
      <c r="H310" s="23" t="s">
        <v>84</v>
      </c>
      <c r="I310" s="21"/>
      <c r="J310" s="25"/>
      <c r="K310" s="26" t="s">
        <v>44</v>
      </c>
      <c r="L310" s="16"/>
      <c r="M310" s="21"/>
    </row>
    <row r="311">
      <c r="A311" s="28">
        <v>46232.0</v>
      </c>
      <c r="B311" s="16" t="s">
        <v>1627</v>
      </c>
      <c r="C311" s="20" t="s">
        <v>1628</v>
      </c>
      <c r="D311" s="21"/>
      <c r="E311" s="22" t="s">
        <v>1629</v>
      </c>
      <c r="H311" s="23" t="s">
        <v>57</v>
      </c>
      <c r="I311" s="21"/>
      <c r="J311" s="25"/>
      <c r="K311" s="26" t="s">
        <v>44</v>
      </c>
      <c r="L311" s="16"/>
      <c r="M311" s="21"/>
    </row>
    <row r="312">
      <c r="A312" s="28">
        <v>46232.0</v>
      </c>
      <c r="B312" s="16" t="s">
        <v>1630</v>
      </c>
      <c r="C312" s="20" t="s">
        <v>1631</v>
      </c>
      <c r="D312" s="21"/>
      <c r="E312" s="22" t="s">
        <v>1632</v>
      </c>
      <c r="H312" s="23" t="s">
        <v>652</v>
      </c>
      <c r="I312" s="21"/>
      <c r="J312" s="25"/>
      <c r="K312" s="26" t="s">
        <v>44</v>
      </c>
      <c r="L312" s="16"/>
      <c r="M312" s="21"/>
    </row>
    <row r="313">
      <c r="A313" s="28">
        <v>46232.0</v>
      </c>
      <c r="B313" s="16" t="s">
        <v>1633</v>
      </c>
      <c r="C313" s="20" t="s">
        <v>1634</v>
      </c>
      <c r="D313" s="21"/>
      <c r="E313" s="22" t="s">
        <v>1635</v>
      </c>
      <c r="H313" s="23" t="s">
        <v>57</v>
      </c>
      <c r="I313" s="21"/>
      <c r="J313" s="25"/>
      <c r="K313" s="26" t="s">
        <v>44</v>
      </c>
      <c r="L313" s="16"/>
      <c r="M313" s="21"/>
    </row>
    <row r="314">
      <c r="A314" s="28">
        <v>46232.0</v>
      </c>
      <c r="B314" s="16" t="s">
        <v>1636</v>
      </c>
      <c r="C314" s="20" t="s">
        <v>1637</v>
      </c>
      <c r="D314" s="21"/>
      <c r="E314" s="22" t="s">
        <v>1638</v>
      </c>
      <c r="H314" s="23" t="s">
        <v>1639</v>
      </c>
      <c r="I314" s="21"/>
      <c r="J314" s="25"/>
      <c r="K314" s="26" t="s">
        <v>44</v>
      </c>
      <c r="L314" s="16"/>
      <c r="M314" s="21"/>
    </row>
    <row r="315">
      <c r="A315" s="28">
        <v>46232.0</v>
      </c>
      <c r="B315" s="16" t="s">
        <v>1640</v>
      </c>
      <c r="C315" s="20" t="s">
        <v>1641</v>
      </c>
      <c r="D315" s="21"/>
      <c r="E315" s="22" t="s">
        <v>1642</v>
      </c>
      <c r="H315" s="23" t="s">
        <v>1643</v>
      </c>
      <c r="I315" s="21"/>
      <c r="J315" s="25"/>
      <c r="K315" s="26" t="s">
        <v>44</v>
      </c>
      <c r="L315" s="16"/>
      <c r="M315" s="21"/>
    </row>
    <row r="316">
      <c r="A316" s="28">
        <v>46232.0</v>
      </c>
      <c r="B316" s="16" t="s">
        <v>1644</v>
      </c>
      <c r="C316" s="46" t="s">
        <v>1645</v>
      </c>
      <c r="D316" s="21"/>
      <c r="E316" s="22" t="s">
        <v>1646</v>
      </c>
      <c r="H316" s="23" t="s">
        <v>751</v>
      </c>
      <c r="I316" s="21"/>
      <c r="J316" s="25"/>
      <c r="K316" s="26" t="s">
        <v>44</v>
      </c>
      <c r="L316" s="16"/>
      <c r="M316" s="21"/>
    </row>
    <row r="317">
      <c r="A317" s="28">
        <v>46232.0</v>
      </c>
      <c r="B317" s="16" t="s">
        <v>1647</v>
      </c>
      <c r="C317" s="20" t="s">
        <v>1648</v>
      </c>
      <c r="D317" s="21"/>
      <c r="E317" s="22" t="s">
        <v>1649</v>
      </c>
      <c r="H317" s="23" t="s">
        <v>1650</v>
      </c>
      <c r="I317" s="21"/>
      <c r="J317" s="25"/>
      <c r="K317" s="26" t="s">
        <v>44</v>
      </c>
      <c r="L317" s="16"/>
      <c r="M317" s="21"/>
    </row>
    <row r="318">
      <c r="A318" s="28">
        <v>46232.0</v>
      </c>
      <c r="B318" s="16" t="s">
        <v>1651</v>
      </c>
      <c r="C318" s="20" t="s">
        <v>1652</v>
      </c>
      <c r="D318" s="21"/>
      <c r="E318" s="22" t="s">
        <v>1653</v>
      </c>
      <c r="H318" s="23" t="s">
        <v>1654</v>
      </c>
      <c r="I318" s="21"/>
      <c r="J318" s="25"/>
      <c r="K318" s="26" t="s">
        <v>44</v>
      </c>
      <c r="L318" s="16"/>
      <c r="M318" s="21"/>
    </row>
    <row r="319">
      <c r="A319" s="28">
        <v>46232.0</v>
      </c>
      <c r="B319" s="16" t="s">
        <v>1655</v>
      </c>
      <c r="C319" s="20" t="s">
        <v>1656</v>
      </c>
      <c r="D319" s="21"/>
      <c r="E319" s="22" t="s">
        <v>1657</v>
      </c>
      <c r="H319" s="23" t="s">
        <v>396</v>
      </c>
      <c r="I319" s="21"/>
      <c r="J319" s="25"/>
      <c r="K319" s="26" t="s">
        <v>44</v>
      </c>
      <c r="L319" s="16"/>
      <c r="M319" s="21"/>
    </row>
    <row r="320">
      <c r="A320" s="28">
        <v>46232.0</v>
      </c>
      <c r="B320" s="16" t="s">
        <v>1658</v>
      </c>
      <c r="C320" s="20" t="s">
        <v>1659</v>
      </c>
      <c r="D320" s="21"/>
      <c r="E320" s="22" t="s">
        <v>1660</v>
      </c>
      <c r="H320" s="23" t="s">
        <v>57</v>
      </c>
      <c r="I320" s="21"/>
      <c r="J320" s="25"/>
      <c r="K320" s="26" t="s">
        <v>44</v>
      </c>
      <c r="L320" s="16"/>
      <c r="M320" s="21"/>
    </row>
    <row r="321">
      <c r="A321" s="28">
        <v>46232.0</v>
      </c>
      <c r="B321" s="16" t="s">
        <v>1661</v>
      </c>
      <c r="C321" s="46" t="s">
        <v>1662</v>
      </c>
      <c r="D321" s="21"/>
      <c r="E321" s="22" t="s">
        <v>1663</v>
      </c>
      <c r="H321" s="23" t="s">
        <v>57</v>
      </c>
      <c r="I321" s="21"/>
      <c r="J321" s="25"/>
      <c r="K321" s="26" t="s">
        <v>44</v>
      </c>
      <c r="L321" s="16"/>
      <c r="M321" s="21"/>
    </row>
    <row r="322">
      <c r="A322" s="28">
        <v>46232.0</v>
      </c>
      <c r="B322" s="16" t="s">
        <v>1664</v>
      </c>
      <c r="C322" s="20" t="s">
        <v>1665</v>
      </c>
      <c r="D322" s="21"/>
      <c r="E322" s="22" t="s">
        <v>1666</v>
      </c>
      <c r="H322" s="23" t="s">
        <v>1667</v>
      </c>
      <c r="I322" s="21"/>
      <c r="J322" s="25"/>
      <c r="K322" s="26" t="s">
        <v>44</v>
      </c>
      <c r="L322" s="16"/>
      <c r="M322" s="21"/>
    </row>
    <row r="323">
      <c r="A323" s="28">
        <v>46232.0</v>
      </c>
      <c r="B323" s="16" t="s">
        <v>1668</v>
      </c>
      <c r="C323" s="20" t="s">
        <v>1669</v>
      </c>
      <c r="D323" s="21"/>
      <c r="E323" s="22" t="s">
        <v>1670</v>
      </c>
      <c r="H323" s="23" t="s">
        <v>1671</v>
      </c>
      <c r="I323" s="21"/>
      <c r="J323" s="25"/>
      <c r="K323" s="26" t="s">
        <v>44</v>
      </c>
      <c r="L323" s="16"/>
      <c r="M323" s="21"/>
    </row>
    <row r="324">
      <c r="A324" s="28">
        <v>46232.0</v>
      </c>
      <c r="B324" s="16" t="s">
        <v>1672</v>
      </c>
      <c r="C324" s="20" t="s">
        <v>1673</v>
      </c>
      <c r="D324" s="21"/>
      <c r="E324" s="22" t="s">
        <v>1674</v>
      </c>
      <c r="H324" s="23" t="s">
        <v>1675</v>
      </c>
      <c r="I324" s="21"/>
      <c r="J324" s="25"/>
      <c r="K324" s="26" t="s">
        <v>44</v>
      </c>
      <c r="L324" s="16"/>
      <c r="M324" s="21"/>
    </row>
    <row r="325">
      <c r="A325" s="28">
        <v>46232.0</v>
      </c>
      <c r="B325" s="16" t="s">
        <v>1676</v>
      </c>
      <c r="C325" s="20" t="s">
        <v>1677</v>
      </c>
      <c r="D325" s="21"/>
      <c r="E325" s="22" t="s">
        <v>1678</v>
      </c>
      <c r="H325" s="23" t="s">
        <v>1679</v>
      </c>
      <c r="I325" s="21"/>
      <c r="J325" s="25"/>
      <c r="K325" s="26" t="s">
        <v>44</v>
      </c>
      <c r="L325" s="16"/>
      <c r="M325" s="21"/>
    </row>
    <row r="326">
      <c r="A326" s="28">
        <v>46232.0</v>
      </c>
      <c r="B326" s="16" t="s">
        <v>1680</v>
      </c>
      <c r="C326" s="20" t="s">
        <v>1681</v>
      </c>
      <c r="D326" s="21"/>
      <c r="E326" s="22" t="s">
        <v>1682</v>
      </c>
      <c r="H326" s="23" t="s">
        <v>583</v>
      </c>
      <c r="I326" s="21"/>
      <c r="J326" s="25"/>
      <c r="K326" s="26" t="s">
        <v>44</v>
      </c>
      <c r="L326" s="16"/>
      <c r="M326" s="21"/>
    </row>
    <row r="327">
      <c r="A327" s="28">
        <v>46232.0</v>
      </c>
      <c r="B327" s="16" t="s">
        <v>1683</v>
      </c>
      <c r="C327" s="20" t="s">
        <v>1684</v>
      </c>
      <c r="D327" s="21"/>
      <c r="E327" s="22" t="s">
        <v>1685</v>
      </c>
      <c r="H327" s="23" t="s">
        <v>1686</v>
      </c>
      <c r="I327" s="21"/>
      <c r="J327" s="25"/>
      <c r="K327" s="26" t="s">
        <v>44</v>
      </c>
      <c r="L327" s="16"/>
      <c r="M327" s="21"/>
    </row>
    <row r="328">
      <c r="A328" s="28">
        <v>46232.0</v>
      </c>
      <c r="B328" s="16" t="s">
        <v>1687</v>
      </c>
      <c r="C328" s="20" t="s">
        <v>1688</v>
      </c>
      <c r="D328" s="21"/>
      <c r="E328" s="22" t="s">
        <v>1689</v>
      </c>
      <c r="H328" s="23" t="s">
        <v>1639</v>
      </c>
      <c r="I328" s="21"/>
      <c r="J328" s="25"/>
      <c r="K328" s="26" t="s">
        <v>44</v>
      </c>
      <c r="L328" s="16"/>
      <c r="M328" s="21"/>
    </row>
    <row r="329">
      <c r="A329" s="28">
        <v>46232.0</v>
      </c>
      <c r="B329" s="16" t="s">
        <v>1690</v>
      </c>
      <c r="C329" s="20" t="s">
        <v>1691</v>
      </c>
      <c r="D329" s="21"/>
      <c r="E329" s="22" t="s">
        <v>1692</v>
      </c>
      <c r="H329" s="23" t="s">
        <v>1693</v>
      </c>
      <c r="I329" s="21"/>
      <c r="J329" s="25"/>
      <c r="K329" s="26" t="s">
        <v>44</v>
      </c>
      <c r="L329" s="16"/>
      <c r="M329" s="21"/>
    </row>
    <row r="330">
      <c r="A330" s="28">
        <v>46232.0</v>
      </c>
      <c r="B330" s="16" t="s">
        <v>1694</v>
      </c>
      <c r="C330" s="20" t="s">
        <v>1695</v>
      </c>
      <c r="D330" s="21"/>
      <c r="E330" s="22" t="s">
        <v>1696</v>
      </c>
      <c r="H330" s="23" t="s">
        <v>479</v>
      </c>
      <c r="I330" s="21"/>
      <c r="J330" s="25"/>
      <c r="K330" s="26" t="s">
        <v>44</v>
      </c>
      <c r="L330" s="16"/>
      <c r="M330" s="21"/>
    </row>
    <row r="331">
      <c r="A331" s="28">
        <v>46232.0</v>
      </c>
      <c r="B331" s="16" t="s">
        <v>1698</v>
      </c>
      <c r="C331" s="20" t="s">
        <v>1699</v>
      </c>
      <c r="D331" s="21"/>
      <c r="E331" s="22" t="s">
        <v>1701</v>
      </c>
      <c r="H331" s="23" t="s">
        <v>1708</v>
      </c>
      <c r="I331" s="21"/>
      <c r="J331" s="25"/>
      <c r="K331" s="26" t="s">
        <v>44</v>
      </c>
      <c r="L331" s="16"/>
      <c r="M331" s="21"/>
    </row>
    <row r="332">
      <c r="A332" s="28">
        <v>46232.0</v>
      </c>
      <c r="B332" s="16" t="s">
        <v>1709</v>
      </c>
      <c r="C332" s="20" t="s">
        <v>1710</v>
      </c>
      <c r="D332" s="21"/>
      <c r="E332" s="22" t="s">
        <v>1711</v>
      </c>
      <c r="H332" s="23" t="s">
        <v>1712</v>
      </c>
      <c r="I332" s="21"/>
      <c r="J332" s="25"/>
      <c r="K332" s="26" t="s">
        <v>44</v>
      </c>
      <c r="L332" s="16"/>
      <c r="M332" s="21"/>
    </row>
    <row r="333">
      <c r="A333" s="28">
        <v>46232.0</v>
      </c>
      <c r="B333" s="16" t="s">
        <v>1713</v>
      </c>
      <c r="C333" s="20" t="s">
        <v>1714</v>
      </c>
      <c r="D333" s="21"/>
      <c r="E333" s="22" t="s">
        <v>1715</v>
      </c>
      <c r="H333" s="23" t="s">
        <v>1716</v>
      </c>
      <c r="I333" s="21"/>
      <c r="J333" s="25"/>
      <c r="K333" s="26" t="s">
        <v>44</v>
      </c>
      <c r="L333" s="16"/>
      <c r="M333" s="21"/>
    </row>
    <row r="334">
      <c r="A334" s="28">
        <v>46232.0</v>
      </c>
      <c r="B334" s="16" t="s">
        <v>1717</v>
      </c>
      <c r="C334" s="20" t="s">
        <v>1718</v>
      </c>
      <c r="D334" s="21"/>
      <c r="E334" s="22" t="s">
        <v>1719</v>
      </c>
      <c r="H334" s="23" t="s">
        <v>1720</v>
      </c>
      <c r="I334" s="21"/>
      <c r="J334" s="25"/>
      <c r="K334" s="26" t="s">
        <v>44</v>
      </c>
      <c r="L334" s="16"/>
      <c r="M334" s="21"/>
    </row>
    <row r="335">
      <c r="A335" s="28">
        <v>46232.0</v>
      </c>
      <c r="B335" s="16" t="s">
        <v>1721</v>
      </c>
      <c r="C335" s="20" t="s">
        <v>1722</v>
      </c>
      <c r="D335" s="21"/>
      <c r="E335" s="22" t="s">
        <v>1723</v>
      </c>
      <c r="H335" s="23" t="s">
        <v>370</v>
      </c>
      <c r="I335" s="21"/>
      <c r="J335" s="25"/>
      <c r="K335" s="26" t="s">
        <v>44</v>
      </c>
      <c r="L335" s="16"/>
      <c r="M335" s="21"/>
    </row>
    <row r="336">
      <c r="A336" s="28">
        <v>46232.0</v>
      </c>
      <c r="B336" s="16" t="s">
        <v>1724</v>
      </c>
      <c r="C336" s="20" t="s">
        <v>1725</v>
      </c>
      <c r="D336" s="21"/>
      <c r="E336" s="22" t="s">
        <v>1726</v>
      </c>
      <c r="H336" s="23" t="s">
        <v>1727</v>
      </c>
      <c r="I336" s="21"/>
      <c r="J336" s="25"/>
      <c r="K336" s="26" t="s">
        <v>44</v>
      </c>
      <c r="L336" s="16"/>
      <c r="M336" s="21"/>
    </row>
    <row r="337">
      <c r="A337" s="28">
        <v>46232.0</v>
      </c>
      <c r="B337" s="16" t="s">
        <v>1728</v>
      </c>
      <c r="C337" s="20" t="s">
        <v>1729</v>
      </c>
      <c r="D337" s="21"/>
      <c r="E337" s="22" t="s">
        <v>1730</v>
      </c>
      <c r="H337" s="23" t="s">
        <v>111</v>
      </c>
      <c r="I337" s="21"/>
      <c r="J337" s="25"/>
      <c r="K337" s="26" t="s">
        <v>44</v>
      </c>
      <c r="L337" s="16"/>
      <c r="M337" s="21"/>
    </row>
    <row r="338">
      <c r="A338" s="28">
        <v>46232.0</v>
      </c>
      <c r="B338" s="16" t="s">
        <v>1731</v>
      </c>
      <c r="C338" s="20" t="s">
        <v>1732</v>
      </c>
      <c r="D338" s="21"/>
      <c r="E338" s="22" t="s">
        <v>1733</v>
      </c>
      <c r="H338" s="23" t="s">
        <v>1734</v>
      </c>
      <c r="I338" s="21"/>
      <c r="J338" s="25"/>
      <c r="K338" s="26" t="s">
        <v>44</v>
      </c>
      <c r="L338" s="16"/>
      <c r="M338" s="21"/>
    </row>
    <row r="339">
      <c r="A339" s="28">
        <v>46232.0</v>
      </c>
      <c r="B339" s="16" t="s">
        <v>1735</v>
      </c>
      <c r="C339" s="20" t="s">
        <v>1736</v>
      </c>
      <c r="D339" s="21"/>
      <c r="E339" s="22" t="s">
        <v>1737</v>
      </c>
      <c r="H339" s="23" t="s">
        <v>1738</v>
      </c>
      <c r="I339" s="21"/>
      <c r="J339" s="25"/>
      <c r="K339" s="26" t="s">
        <v>44</v>
      </c>
      <c r="L339" s="16"/>
      <c r="M339" s="21"/>
    </row>
    <row r="340">
      <c r="A340" s="28">
        <v>46232.0</v>
      </c>
      <c r="B340" s="16" t="s">
        <v>1739</v>
      </c>
      <c r="C340" s="20" t="s">
        <v>1740</v>
      </c>
      <c r="D340" s="21"/>
      <c r="E340" s="22" t="s">
        <v>1741</v>
      </c>
      <c r="H340" s="23" t="s">
        <v>1742</v>
      </c>
      <c r="I340" s="21"/>
      <c r="J340" s="25"/>
      <c r="K340" s="26" t="s">
        <v>44</v>
      </c>
      <c r="L340" s="16"/>
      <c r="M340" s="21"/>
    </row>
    <row r="341">
      <c r="A341" s="28">
        <v>46232.0</v>
      </c>
      <c r="B341" s="16" t="s">
        <v>1743</v>
      </c>
      <c r="C341" s="20" t="s">
        <v>1744</v>
      </c>
      <c r="D341" s="21"/>
      <c r="E341" s="22" t="s">
        <v>1745</v>
      </c>
      <c r="H341" s="23" t="s">
        <v>1746</v>
      </c>
      <c r="I341" s="21"/>
      <c r="J341" s="25"/>
      <c r="K341" s="26" t="s">
        <v>44</v>
      </c>
      <c r="L341" s="16"/>
      <c r="M341" s="21"/>
    </row>
    <row r="342">
      <c r="A342" s="28">
        <v>46232.0</v>
      </c>
      <c r="B342" s="16" t="s">
        <v>1747</v>
      </c>
      <c r="C342" s="20" t="s">
        <v>1748</v>
      </c>
      <c r="D342" s="21"/>
      <c r="E342" s="22" t="s">
        <v>1749</v>
      </c>
      <c r="H342" s="23" t="s">
        <v>1751</v>
      </c>
      <c r="I342" s="21"/>
      <c r="J342" s="25"/>
      <c r="K342" s="26" t="s">
        <v>44</v>
      </c>
      <c r="L342" s="16"/>
      <c r="M342" s="21"/>
    </row>
    <row r="343">
      <c r="A343" s="28">
        <v>46232.0</v>
      </c>
      <c r="B343" s="16" t="s">
        <v>1752</v>
      </c>
      <c r="C343" s="20" t="s">
        <v>1753</v>
      </c>
      <c r="D343" s="21"/>
      <c r="E343" s="22" t="s">
        <v>1754</v>
      </c>
      <c r="H343" s="23" t="s">
        <v>48</v>
      </c>
      <c r="I343" s="21"/>
      <c r="J343" s="25"/>
      <c r="K343" s="26" t="s">
        <v>44</v>
      </c>
      <c r="L343" s="16"/>
      <c r="M343" s="21"/>
    </row>
    <row r="344">
      <c r="A344" s="28">
        <v>46232.0</v>
      </c>
      <c r="B344" s="16" t="s">
        <v>1755</v>
      </c>
      <c r="C344" s="20" t="s">
        <v>1756</v>
      </c>
      <c r="D344" s="21"/>
      <c r="E344" s="22" t="s">
        <v>1757</v>
      </c>
      <c r="H344" s="23" t="s">
        <v>1762</v>
      </c>
      <c r="I344" s="21"/>
      <c r="J344" s="25"/>
      <c r="K344" s="26" t="s">
        <v>44</v>
      </c>
      <c r="L344" s="16"/>
      <c r="M344" s="21"/>
    </row>
    <row r="345">
      <c r="A345" s="28">
        <v>46232.0</v>
      </c>
      <c r="B345" s="16" t="s">
        <v>1766</v>
      </c>
      <c r="C345" s="20" t="s">
        <v>1767</v>
      </c>
      <c r="D345" s="21"/>
      <c r="E345" s="22" t="s">
        <v>1769</v>
      </c>
      <c r="H345" s="23" t="s">
        <v>1448</v>
      </c>
      <c r="I345" s="21"/>
      <c r="J345" s="25"/>
      <c r="K345" s="26" t="s">
        <v>44</v>
      </c>
      <c r="L345" s="16"/>
      <c r="M345" s="21"/>
    </row>
    <row r="346">
      <c r="A346" s="28">
        <v>46232.0</v>
      </c>
      <c r="B346" s="16" t="s">
        <v>1773</v>
      </c>
      <c r="C346" s="20" t="s">
        <v>1774</v>
      </c>
      <c r="D346" s="21"/>
      <c r="E346" s="22" t="s">
        <v>1775</v>
      </c>
      <c r="H346" s="23" t="s">
        <v>1776</v>
      </c>
      <c r="I346" s="21"/>
      <c r="J346" s="25"/>
      <c r="K346" s="26" t="s">
        <v>44</v>
      </c>
      <c r="L346" s="16"/>
      <c r="M346" s="21"/>
    </row>
    <row r="347">
      <c r="A347" s="28">
        <v>46232.0</v>
      </c>
      <c r="B347" s="16" t="s">
        <v>1777</v>
      </c>
      <c r="C347" s="20" t="s">
        <v>1778</v>
      </c>
      <c r="D347" s="21"/>
      <c r="E347" s="22" t="s">
        <v>1779</v>
      </c>
      <c r="H347" s="23" t="s">
        <v>1780</v>
      </c>
      <c r="I347" s="21"/>
      <c r="J347" s="25"/>
      <c r="K347" s="26" t="s">
        <v>44</v>
      </c>
      <c r="L347" s="16"/>
      <c r="M347" s="21"/>
    </row>
    <row r="348">
      <c r="A348" s="28">
        <v>46232.0</v>
      </c>
      <c r="B348" s="16" t="s">
        <v>1781</v>
      </c>
      <c r="C348" s="20" t="s">
        <v>1782</v>
      </c>
      <c r="D348" s="21"/>
      <c r="E348" s="22" t="s">
        <v>1783</v>
      </c>
      <c r="H348" s="23" t="s">
        <v>48</v>
      </c>
      <c r="I348" s="21"/>
      <c r="J348" s="25"/>
      <c r="K348" s="26" t="s">
        <v>44</v>
      </c>
      <c r="L348" s="16"/>
      <c r="M348" s="21"/>
    </row>
    <row r="349">
      <c r="A349" s="28">
        <v>46232.0</v>
      </c>
      <c r="B349" s="16" t="s">
        <v>1784</v>
      </c>
      <c r="C349" s="20" t="s">
        <v>1785</v>
      </c>
      <c r="D349" s="21"/>
      <c r="E349" s="22" t="s">
        <v>1786</v>
      </c>
      <c r="H349" s="23" t="s">
        <v>751</v>
      </c>
      <c r="I349" s="21"/>
      <c r="J349" s="25"/>
      <c r="K349" s="26" t="s">
        <v>44</v>
      </c>
      <c r="L349" s="16"/>
      <c r="M349" s="21"/>
    </row>
    <row r="350">
      <c r="A350" s="28">
        <v>46232.0</v>
      </c>
      <c r="B350" s="16" t="s">
        <v>1787</v>
      </c>
      <c r="C350" s="20" t="s">
        <v>1788</v>
      </c>
      <c r="D350" s="21"/>
      <c r="E350" s="22" t="s">
        <v>1789</v>
      </c>
      <c r="H350" s="23" t="s">
        <v>69</v>
      </c>
      <c r="I350" s="21"/>
      <c r="J350" s="25"/>
      <c r="K350" s="26" t="s">
        <v>44</v>
      </c>
      <c r="L350" s="16"/>
      <c r="M350" s="21"/>
    </row>
    <row r="351">
      <c r="A351" s="28">
        <v>46232.0</v>
      </c>
      <c r="B351" s="16" t="s">
        <v>1790</v>
      </c>
      <c r="C351" s="20" t="s">
        <v>1791</v>
      </c>
      <c r="D351" s="21"/>
      <c r="E351" s="22" t="s">
        <v>1792</v>
      </c>
      <c r="H351" s="23" t="s">
        <v>1415</v>
      </c>
      <c r="I351" s="21"/>
      <c r="J351" s="25"/>
      <c r="K351" s="26" t="s">
        <v>44</v>
      </c>
      <c r="L351" s="16"/>
      <c r="M351" s="21"/>
    </row>
    <row r="352">
      <c r="A352" s="28">
        <v>46232.0</v>
      </c>
      <c r="B352" s="16" t="s">
        <v>1793</v>
      </c>
      <c r="C352" s="20" t="s">
        <v>1794</v>
      </c>
      <c r="D352" s="21"/>
      <c r="E352" s="22" t="s">
        <v>1795</v>
      </c>
      <c r="H352" s="23" t="s">
        <v>800</v>
      </c>
      <c r="I352" s="21"/>
      <c r="J352" s="25"/>
      <c r="K352" s="26" t="s">
        <v>44</v>
      </c>
      <c r="L352" s="16"/>
      <c r="M352" s="21"/>
    </row>
    <row r="353">
      <c r="A353" s="28">
        <v>46232.0</v>
      </c>
      <c r="B353" s="16" t="s">
        <v>1796</v>
      </c>
      <c r="C353" s="20" t="s">
        <v>1797</v>
      </c>
      <c r="D353" s="21"/>
      <c r="E353" s="22" t="s">
        <v>1798</v>
      </c>
      <c r="H353" s="23" t="s">
        <v>1799</v>
      </c>
      <c r="I353" s="21"/>
      <c r="J353" s="25"/>
      <c r="K353" s="26" t="s">
        <v>44</v>
      </c>
      <c r="L353" s="16"/>
      <c r="M353" s="21"/>
    </row>
    <row r="354">
      <c r="A354" s="28">
        <v>46232.0</v>
      </c>
      <c r="B354" s="16" t="s">
        <v>1800</v>
      </c>
      <c r="C354" s="20" t="s">
        <v>1801</v>
      </c>
      <c r="D354" s="21"/>
      <c r="E354" s="22" t="s">
        <v>1802</v>
      </c>
      <c r="H354" s="23" t="s">
        <v>1250</v>
      </c>
      <c r="I354" s="21"/>
      <c r="J354" s="25"/>
      <c r="K354" s="26" t="s">
        <v>44</v>
      </c>
      <c r="L354" s="16"/>
      <c r="M354" s="21"/>
    </row>
    <row r="355">
      <c r="A355" s="28">
        <v>46232.0</v>
      </c>
      <c r="B355" s="16" t="s">
        <v>1803</v>
      </c>
      <c r="C355" s="20" t="s">
        <v>1804</v>
      </c>
      <c r="D355" s="21"/>
      <c r="E355" s="22" t="s">
        <v>1805</v>
      </c>
      <c r="H355" s="23" t="s">
        <v>1612</v>
      </c>
      <c r="I355" s="21"/>
      <c r="J355" s="25"/>
      <c r="K355" s="26" t="s">
        <v>44</v>
      </c>
      <c r="L355" s="16"/>
      <c r="M355" s="21"/>
    </row>
    <row r="356">
      <c r="A356" s="28">
        <v>46232.0</v>
      </c>
      <c r="B356" s="16" t="s">
        <v>1806</v>
      </c>
      <c r="C356" s="20" t="s">
        <v>1807</v>
      </c>
      <c r="D356" s="21"/>
      <c r="E356" s="22" t="s">
        <v>1808</v>
      </c>
      <c r="H356" s="23" t="s">
        <v>84</v>
      </c>
      <c r="I356" s="21"/>
      <c r="J356" s="25"/>
      <c r="K356" s="26" t="s">
        <v>44</v>
      </c>
      <c r="L356" s="16"/>
      <c r="M356" s="21"/>
    </row>
    <row r="357">
      <c r="A357" s="28">
        <v>46232.0</v>
      </c>
      <c r="B357" s="16" t="s">
        <v>1809</v>
      </c>
      <c r="C357" s="20" t="s">
        <v>1810</v>
      </c>
      <c r="D357" s="21"/>
      <c r="E357" s="22" t="s">
        <v>1811</v>
      </c>
      <c r="H357" s="23" t="s">
        <v>1250</v>
      </c>
      <c r="I357" s="21"/>
      <c r="J357" s="25"/>
      <c r="K357" s="26" t="s">
        <v>44</v>
      </c>
      <c r="L357" s="16"/>
      <c r="M357" s="21"/>
    </row>
    <row r="358">
      <c r="A358" s="28">
        <v>46232.0</v>
      </c>
      <c r="B358" s="16" t="s">
        <v>1812</v>
      </c>
      <c r="C358" s="20" t="s">
        <v>1813</v>
      </c>
      <c r="D358" s="21"/>
      <c r="E358" s="22" t="s">
        <v>1814</v>
      </c>
      <c r="H358" s="23" t="s">
        <v>1815</v>
      </c>
      <c r="I358" s="21"/>
      <c r="J358" s="25"/>
      <c r="K358" s="26" t="s">
        <v>44</v>
      </c>
      <c r="L358" s="16"/>
      <c r="M358" s="21"/>
    </row>
    <row r="359">
      <c r="A359" s="28">
        <v>46232.0</v>
      </c>
      <c r="B359" s="16" t="s">
        <v>1816</v>
      </c>
      <c r="C359" s="20" t="s">
        <v>1817</v>
      </c>
      <c r="D359" s="21"/>
      <c r="E359" s="22" t="s">
        <v>1818</v>
      </c>
      <c r="H359" s="23" t="s">
        <v>1819</v>
      </c>
      <c r="I359" s="21"/>
      <c r="J359" s="25"/>
      <c r="K359" s="26" t="s">
        <v>44</v>
      </c>
      <c r="L359" s="16"/>
      <c r="M359" s="21"/>
    </row>
    <row r="360">
      <c r="A360" s="28">
        <v>46232.0</v>
      </c>
      <c r="B360" s="16" t="s">
        <v>1820</v>
      </c>
      <c r="C360" s="20" t="s">
        <v>1821</v>
      </c>
      <c r="D360" s="21"/>
      <c r="E360" s="22" t="s">
        <v>1822</v>
      </c>
      <c r="H360" s="23" t="s">
        <v>57</v>
      </c>
      <c r="I360" s="21"/>
      <c r="J360" s="25"/>
      <c r="K360" s="26" t="s">
        <v>44</v>
      </c>
      <c r="L360" s="16"/>
      <c r="M360" s="21"/>
    </row>
    <row r="361">
      <c r="A361" s="28">
        <v>46232.0</v>
      </c>
      <c r="B361" s="16" t="s">
        <v>1823</v>
      </c>
      <c r="C361" s="20" t="s">
        <v>1824</v>
      </c>
      <c r="D361" s="21"/>
      <c r="E361" s="22" t="s">
        <v>1825</v>
      </c>
      <c r="H361" s="23" t="s">
        <v>960</v>
      </c>
      <c r="I361" s="21"/>
      <c r="J361" s="25"/>
      <c r="K361" s="26" t="s">
        <v>44</v>
      </c>
      <c r="L361" s="16"/>
      <c r="M361" s="21"/>
    </row>
    <row r="362">
      <c r="A362" s="28">
        <v>46232.0</v>
      </c>
      <c r="B362" s="16" t="s">
        <v>1826</v>
      </c>
      <c r="C362" s="20" t="s">
        <v>1827</v>
      </c>
      <c r="D362" s="21"/>
      <c r="E362" s="22" t="s">
        <v>1828</v>
      </c>
      <c r="H362" s="23" t="s">
        <v>1415</v>
      </c>
      <c r="I362" s="21"/>
      <c r="J362" s="25"/>
      <c r="K362" s="26" t="s">
        <v>44</v>
      </c>
      <c r="L362" s="16"/>
      <c r="M362" s="21"/>
    </row>
    <row r="363">
      <c r="A363" s="28">
        <v>46232.0</v>
      </c>
      <c r="B363" s="16" t="s">
        <v>1829</v>
      </c>
      <c r="C363" s="20" t="s">
        <v>1830</v>
      </c>
      <c r="D363" s="21"/>
      <c r="E363" s="22" t="s">
        <v>1831</v>
      </c>
      <c r="H363" s="23" t="s">
        <v>1832</v>
      </c>
      <c r="I363" s="21"/>
      <c r="J363" s="25"/>
      <c r="K363" s="26" t="s">
        <v>44</v>
      </c>
      <c r="L363" s="16"/>
      <c r="M363" s="21"/>
    </row>
    <row r="364">
      <c r="A364" s="28">
        <v>46232.0</v>
      </c>
      <c r="B364" s="16" t="s">
        <v>1833</v>
      </c>
      <c r="C364" s="20" t="s">
        <v>1834</v>
      </c>
      <c r="D364" s="21"/>
      <c r="E364" s="22" t="s">
        <v>1835</v>
      </c>
      <c r="H364" s="23" t="s">
        <v>604</v>
      </c>
      <c r="I364" s="21"/>
      <c r="J364" s="25"/>
      <c r="K364" s="26" t="s">
        <v>44</v>
      </c>
      <c r="L364" s="16"/>
      <c r="M364" s="21"/>
    </row>
    <row r="365">
      <c r="A365" s="28">
        <v>46232.0</v>
      </c>
      <c r="B365" s="16" t="s">
        <v>1836</v>
      </c>
      <c r="C365" s="20" t="s">
        <v>1837</v>
      </c>
      <c r="D365" s="21"/>
      <c r="E365" s="22" t="s">
        <v>1838</v>
      </c>
      <c r="H365" s="23" t="s">
        <v>1686</v>
      </c>
      <c r="I365" s="21"/>
      <c r="J365" s="25"/>
      <c r="K365" s="26" t="s">
        <v>44</v>
      </c>
      <c r="L365" s="16"/>
      <c r="M365" s="21"/>
    </row>
    <row r="366">
      <c r="A366" s="28">
        <v>46232.0</v>
      </c>
      <c r="B366" s="16" t="s">
        <v>1839</v>
      </c>
      <c r="C366" s="20" t="s">
        <v>1840</v>
      </c>
      <c r="D366" s="21"/>
      <c r="E366" s="22" t="s">
        <v>1841</v>
      </c>
      <c r="H366" s="23" t="s">
        <v>111</v>
      </c>
      <c r="I366" s="21"/>
      <c r="J366" s="25"/>
      <c r="K366" s="26" t="s">
        <v>44</v>
      </c>
      <c r="L366" s="16"/>
      <c r="M366" s="21"/>
    </row>
    <row r="367">
      <c r="A367" s="28">
        <v>46232.0</v>
      </c>
      <c r="B367" s="16" t="s">
        <v>1842</v>
      </c>
      <c r="C367" s="20" t="s">
        <v>1843</v>
      </c>
      <c r="D367" s="21"/>
      <c r="E367" s="22" t="s">
        <v>1844</v>
      </c>
      <c r="H367" s="23" t="s">
        <v>80</v>
      </c>
      <c r="I367" s="21"/>
      <c r="J367" s="25"/>
      <c r="K367" s="26" t="s">
        <v>44</v>
      </c>
      <c r="L367" s="16"/>
      <c r="M367" s="21"/>
    </row>
    <row r="368">
      <c r="A368" s="28">
        <v>46232.0</v>
      </c>
      <c r="B368" s="16" t="s">
        <v>1845</v>
      </c>
      <c r="C368" s="46" t="s">
        <v>1846</v>
      </c>
      <c r="D368" s="21"/>
      <c r="E368" s="22" t="s">
        <v>1847</v>
      </c>
      <c r="H368" s="23" t="s">
        <v>1848</v>
      </c>
      <c r="I368" s="21"/>
      <c r="J368" s="25"/>
      <c r="K368" s="26" t="s">
        <v>44</v>
      </c>
      <c r="L368" s="16"/>
      <c r="M368" s="21"/>
    </row>
    <row r="369">
      <c r="A369" s="28">
        <v>46232.0</v>
      </c>
      <c r="B369" s="16" t="s">
        <v>1849</v>
      </c>
      <c r="C369" s="20" t="s">
        <v>1850</v>
      </c>
      <c r="D369" s="21"/>
      <c r="E369" s="22" t="s">
        <v>1851</v>
      </c>
      <c r="H369" s="23" t="s">
        <v>1429</v>
      </c>
      <c r="I369" s="21"/>
      <c r="J369" s="25"/>
      <c r="K369" s="26" t="s">
        <v>44</v>
      </c>
      <c r="L369" s="16"/>
      <c r="M369" s="21"/>
    </row>
    <row r="370">
      <c r="A370" s="28">
        <v>46232.0</v>
      </c>
      <c r="B370" s="16" t="s">
        <v>1852</v>
      </c>
      <c r="C370" s="20" t="s">
        <v>1853</v>
      </c>
      <c r="D370" s="21"/>
      <c r="E370" s="22" t="s">
        <v>1854</v>
      </c>
      <c r="H370" s="23" t="s">
        <v>48</v>
      </c>
      <c r="I370" s="21"/>
      <c r="J370" s="25"/>
      <c r="K370" s="26" t="s">
        <v>44</v>
      </c>
      <c r="L370" s="16"/>
      <c r="M370" s="21"/>
    </row>
    <row r="371">
      <c r="A371" s="28">
        <v>46232.0</v>
      </c>
      <c r="B371" s="16" t="s">
        <v>1855</v>
      </c>
      <c r="C371" s="20" t="s">
        <v>1856</v>
      </c>
      <c r="D371" s="21"/>
      <c r="E371" s="22" t="s">
        <v>1857</v>
      </c>
      <c r="H371" s="23" t="s">
        <v>1623</v>
      </c>
      <c r="I371" s="21"/>
      <c r="J371" s="25"/>
      <c r="K371" s="26" t="s">
        <v>44</v>
      </c>
      <c r="L371" s="16"/>
      <c r="M371" s="21"/>
    </row>
    <row r="372">
      <c r="A372" s="28">
        <v>46232.0</v>
      </c>
      <c r="B372" s="16" t="s">
        <v>1858</v>
      </c>
      <c r="C372" s="20" t="s">
        <v>1859</v>
      </c>
      <c r="D372" s="21"/>
      <c r="E372" s="22" t="s">
        <v>1860</v>
      </c>
      <c r="H372" s="23" t="s">
        <v>1861</v>
      </c>
      <c r="I372" s="21"/>
      <c r="J372" s="25"/>
      <c r="K372" s="26" t="s">
        <v>44</v>
      </c>
      <c r="L372" s="16"/>
      <c r="M372" s="21"/>
    </row>
    <row r="373">
      <c r="A373" s="28">
        <v>46232.0</v>
      </c>
      <c r="B373" s="16" t="s">
        <v>1862</v>
      </c>
      <c r="C373" s="20" t="s">
        <v>1863</v>
      </c>
      <c r="D373" s="21"/>
      <c r="E373" s="22" t="s">
        <v>1864</v>
      </c>
      <c r="H373" s="23" t="s">
        <v>1200</v>
      </c>
      <c r="I373" s="21"/>
      <c r="J373" s="25"/>
      <c r="K373" s="26" t="s">
        <v>44</v>
      </c>
      <c r="L373" s="16"/>
      <c r="M373" s="21"/>
    </row>
    <row r="374">
      <c r="A374" s="28">
        <v>46232.0</v>
      </c>
      <c r="B374" s="16" t="s">
        <v>1865</v>
      </c>
      <c r="C374" s="20" t="s">
        <v>1866</v>
      </c>
      <c r="D374" s="21"/>
      <c r="E374" s="22" t="s">
        <v>1867</v>
      </c>
      <c r="H374" s="23" t="s">
        <v>1137</v>
      </c>
      <c r="I374" s="21"/>
      <c r="J374" s="25"/>
      <c r="K374" s="26" t="s">
        <v>44</v>
      </c>
      <c r="L374" s="16"/>
      <c r="M374" s="21"/>
    </row>
    <row r="375">
      <c r="A375" s="28">
        <v>46232.0</v>
      </c>
      <c r="B375" s="16" t="s">
        <v>1868</v>
      </c>
      <c r="C375" s="20" t="s">
        <v>1869</v>
      </c>
      <c r="D375" s="21"/>
      <c r="E375" s="22" t="s">
        <v>1870</v>
      </c>
      <c r="H375" s="23" t="s">
        <v>1871</v>
      </c>
      <c r="I375" s="21"/>
      <c r="J375" s="25"/>
      <c r="K375" s="26" t="s">
        <v>44</v>
      </c>
      <c r="L375" s="16"/>
      <c r="M375" s="21"/>
    </row>
    <row r="376">
      <c r="A376" s="28">
        <v>46232.0</v>
      </c>
      <c r="B376" s="16" t="s">
        <v>1872</v>
      </c>
      <c r="C376" s="20" t="s">
        <v>1873</v>
      </c>
      <c r="D376" s="21"/>
      <c r="E376" s="22" t="s">
        <v>1874</v>
      </c>
      <c r="H376" s="23" t="s">
        <v>370</v>
      </c>
      <c r="I376" s="21"/>
      <c r="J376" s="25"/>
      <c r="K376" s="26" t="s">
        <v>44</v>
      </c>
      <c r="L376" s="16"/>
      <c r="M376" s="21"/>
    </row>
    <row r="377">
      <c r="A377" s="28">
        <v>46232.0</v>
      </c>
      <c r="B377" s="16" t="s">
        <v>1875</v>
      </c>
      <c r="C377" s="20" t="s">
        <v>1876</v>
      </c>
      <c r="D377" s="21"/>
      <c r="E377" s="22" t="s">
        <v>1877</v>
      </c>
      <c r="H377" s="23" t="s">
        <v>69</v>
      </c>
      <c r="I377" s="21"/>
      <c r="J377" s="25"/>
      <c r="K377" s="26" t="s">
        <v>44</v>
      </c>
      <c r="L377" s="16"/>
      <c r="M377" s="21"/>
    </row>
    <row r="378">
      <c r="A378" s="28">
        <v>46232.0</v>
      </c>
      <c r="B378" s="16" t="s">
        <v>1878</v>
      </c>
      <c r="C378" s="20" t="s">
        <v>1879</v>
      </c>
      <c r="D378" s="21"/>
      <c r="E378" s="22" t="s">
        <v>1880</v>
      </c>
      <c r="H378" s="23" t="s">
        <v>1881</v>
      </c>
      <c r="I378" s="21"/>
      <c r="J378" s="25"/>
      <c r="K378" s="26" t="s">
        <v>44</v>
      </c>
      <c r="L378" s="16"/>
      <c r="M378" s="21"/>
    </row>
    <row r="379">
      <c r="A379" s="28">
        <v>46232.0</v>
      </c>
      <c r="B379" s="16" t="s">
        <v>1882</v>
      </c>
      <c r="C379" s="20" t="s">
        <v>1883</v>
      </c>
      <c r="D379" s="21"/>
      <c r="E379" s="22" t="s">
        <v>1884</v>
      </c>
      <c r="H379" s="23" t="s">
        <v>48</v>
      </c>
      <c r="I379" s="21"/>
      <c r="J379" s="25"/>
      <c r="K379" s="26" t="s">
        <v>44</v>
      </c>
      <c r="L379" s="16"/>
      <c r="M379" s="21"/>
    </row>
    <row r="380">
      <c r="A380" s="28">
        <v>46232.0</v>
      </c>
      <c r="B380" s="16" t="s">
        <v>1885</v>
      </c>
      <c r="C380" s="20" t="s">
        <v>1886</v>
      </c>
      <c r="D380" s="21"/>
      <c r="E380" s="22" t="s">
        <v>1887</v>
      </c>
      <c r="H380" s="23" t="s">
        <v>1888</v>
      </c>
      <c r="I380" s="21"/>
      <c r="J380" s="25"/>
      <c r="K380" s="26" t="s">
        <v>44</v>
      </c>
      <c r="L380" s="16"/>
      <c r="M380" s="21"/>
    </row>
    <row r="381">
      <c r="A381" s="28">
        <v>46232.0</v>
      </c>
      <c r="B381" s="16" t="s">
        <v>1889</v>
      </c>
      <c r="C381" s="20" t="s">
        <v>1890</v>
      </c>
      <c r="D381" s="21"/>
      <c r="E381" s="22" t="s">
        <v>1891</v>
      </c>
      <c r="H381" s="23" t="s">
        <v>299</v>
      </c>
      <c r="I381" s="21"/>
      <c r="J381" s="25"/>
      <c r="K381" s="26" t="s">
        <v>44</v>
      </c>
      <c r="L381" s="16"/>
      <c r="M381" s="21"/>
    </row>
    <row r="382">
      <c r="A382" s="28">
        <v>46232.0</v>
      </c>
      <c r="B382" s="16" t="s">
        <v>1892</v>
      </c>
      <c r="C382" s="20" t="s">
        <v>1893</v>
      </c>
      <c r="D382" s="21"/>
      <c r="E382" s="22" t="s">
        <v>1894</v>
      </c>
      <c r="H382" s="23" t="s">
        <v>57</v>
      </c>
      <c r="I382" s="21"/>
      <c r="J382" s="25"/>
      <c r="K382" s="26" t="s">
        <v>44</v>
      </c>
      <c r="L382" s="16"/>
      <c r="M382" s="21"/>
    </row>
    <row r="383">
      <c r="A383" s="28">
        <v>46232.0</v>
      </c>
      <c r="B383" s="16" t="s">
        <v>1895</v>
      </c>
      <c r="C383" s="20" t="s">
        <v>1896</v>
      </c>
      <c r="D383" s="21"/>
      <c r="E383" s="22" t="s">
        <v>1897</v>
      </c>
      <c r="H383" s="23" t="s">
        <v>1898</v>
      </c>
      <c r="I383" s="21"/>
      <c r="J383" s="25"/>
      <c r="K383" s="26" t="s">
        <v>44</v>
      </c>
      <c r="L383" s="16"/>
      <c r="M383" s="21"/>
    </row>
    <row r="384">
      <c r="A384" s="28">
        <v>46232.0</v>
      </c>
      <c r="B384" s="16" t="s">
        <v>1899</v>
      </c>
      <c r="C384" s="20" t="s">
        <v>1900</v>
      </c>
      <c r="D384" s="21"/>
      <c r="E384" s="22" t="s">
        <v>1901</v>
      </c>
      <c r="H384" s="23" t="s">
        <v>48</v>
      </c>
      <c r="I384" s="21"/>
      <c r="J384" s="25"/>
      <c r="K384" s="26" t="s">
        <v>44</v>
      </c>
      <c r="L384" s="16"/>
      <c r="M384" s="21"/>
    </row>
    <row r="385">
      <c r="A385" s="28">
        <v>46232.0</v>
      </c>
      <c r="B385" s="16" t="s">
        <v>1902</v>
      </c>
      <c r="C385" s="20" t="s">
        <v>1903</v>
      </c>
      <c r="D385" s="21"/>
      <c r="E385" s="22" t="s">
        <v>1904</v>
      </c>
      <c r="H385" s="23" t="s">
        <v>1905</v>
      </c>
      <c r="I385" s="21"/>
      <c r="J385" s="25"/>
      <c r="K385" s="26" t="s">
        <v>44</v>
      </c>
      <c r="L385" s="16"/>
      <c r="M385" s="21"/>
    </row>
    <row r="386">
      <c r="A386" s="28">
        <v>46232.0</v>
      </c>
      <c r="B386" s="16" t="s">
        <v>1906</v>
      </c>
      <c r="C386" s="20" t="s">
        <v>1907</v>
      </c>
      <c r="D386" s="21"/>
      <c r="E386" s="22" t="s">
        <v>1908</v>
      </c>
      <c r="H386" s="23" t="s">
        <v>1141</v>
      </c>
      <c r="I386" s="21"/>
      <c r="J386" s="25"/>
      <c r="K386" s="26" t="s">
        <v>44</v>
      </c>
      <c r="L386" s="16"/>
      <c r="M386" s="21"/>
    </row>
    <row r="387">
      <c r="A387" s="28">
        <v>46232.0</v>
      </c>
      <c r="B387" s="16" t="s">
        <v>1909</v>
      </c>
      <c r="C387" s="20" t="s">
        <v>1910</v>
      </c>
      <c r="D387" s="21"/>
      <c r="E387" s="22" t="s">
        <v>1911</v>
      </c>
      <c r="H387" s="23" t="s">
        <v>1905</v>
      </c>
      <c r="I387" s="21"/>
      <c r="J387" s="25"/>
      <c r="K387" s="26" t="s">
        <v>44</v>
      </c>
      <c r="L387" s="16"/>
      <c r="M387" s="21"/>
    </row>
    <row r="388">
      <c r="A388" s="28">
        <v>46232.0</v>
      </c>
      <c r="B388" s="16" t="s">
        <v>1912</v>
      </c>
      <c r="C388" s="20" t="s">
        <v>1913</v>
      </c>
      <c r="D388" s="21"/>
      <c r="E388" s="22" t="s">
        <v>1914</v>
      </c>
      <c r="H388" s="23" t="s">
        <v>1141</v>
      </c>
      <c r="I388" s="21"/>
      <c r="J388" s="25"/>
      <c r="K388" s="26" t="s">
        <v>44</v>
      </c>
      <c r="L388" s="16"/>
      <c r="M388" s="21"/>
    </row>
    <row r="389">
      <c r="A389" s="28">
        <v>46232.0</v>
      </c>
      <c r="B389" s="16" t="s">
        <v>1915</v>
      </c>
      <c r="C389" s="20" t="s">
        <v>1916</v>
      </c>
      <c r="D389" s="21"/>
      <c r="E389" s="22" t="s">
        <v>1917</v>
      </c>
      <c r="H389" s="23" t="s">
        <v>299</v>
      </c>
      <c r="I389" s="21"/>
      <c r="J389" s="25"/>
      <c r="K389" s="26" t="s">
        <v>44</v>
      </c>
      <c r="L389" s="16"/>
      <c r="M389" s="21"/>
    </row>
    <row r="390">
      <c r="A390" s="28">
        <v>46232.0</v>
      </c>
      <c r="B390" s="16" t="s">
        <v>1918</v>
      </c>
      <c r="C390" s="20" t="s">
        <v>1919</v>
      </c>
      <c r="D390" s="21"/>
      <c r="E390" s="22" t="s">
        <v>1920</v>
      </c>
      <c r="H390" s="23" t="s">
        <v>1679</v>
      </c>
      <c r="I390" s="21"/>
      <c r="J390" s="25"/>
      <c r="K390" s="26" t="s">
        <v>44</v>
      </c>
      <c r="L390" s="16"/>
      <c r="M390" s="21"/>
    </row>
    <row r="391">
      <c r="A391" s="28">
        <v>46232.0</v>
      </c>
      <c r="B391" s="16" t="s">
        <v>1921</v>
      </c>
      <c r="C391" s="20" t="s">
        <v>1922</v>
      </c>
      <c r="D391" s="21"/>
      <c r="E391" s="22" t="s">
        <v>1923</v>
      </c>
      <c r="H391" s="23" t="s">
        <v>1024</v>
      </c>
      <c r="I391" s="21"/>
      <c r="J391" s="25"/>
      <c r="K391" s="26" t="s">
        <v>44</v>
      </c>
      <c r="L391" s="16"/>
      <c r="M391" s="21"/>
    </row>
    <row r="392">
      <c r="A392" s="28">
        <v>46232.0</v>
      </c>
      <c r="B392" s="16" t="s">
        <v>1928</v>
      </c>
      <c r="C392" s="20" t="s">
        <v>1929</v>
      </c>
      <c r="D392" s="21"/>
      <c r="E392" s="22" t="s">
        <v>1931</v>
      </c>
      <c r="H392" s="23" t="s">
        <v>1200</v>
      </c>
      <c r="I392" s="21"/>
      <c r="J392" s="25"/>
      <c r="K392" s="26" t="s">
        <v>44</v>
      </c>
      <c r="L392" s="16"/>
      <c r="M392" s="21"/>
    </row>
    <row r="393">
      <c r="A393" s="28">
        <v>46232.0</v>
      </c>
      <c r="B393" s="16" t="s">
        <v>1932</v>
      </c>
      <c r="C393" s="20" t="s">
        <v>1933</v>
      </c>
      <c r="D393" s="21"/>
      <c r="E393" s="22" t="s">
        <v>1934</v>
      </c>
      <c r="H393" s="23" t="s">
        <v>98</v>
      </c>
      <c r="I393" s="21"/>
      <c r="J393" s="25"/>
      <c r="K393" s="26" t="s">
        <v>44</v>
      </c>
      <c r="L393" s="16"/>
      <c r="M393" s="21"/>
    </row>
    <row r="394">
      <c r="A394" s="28">
        <v>46232.0</v>
      </c>
      <c r="B394" s="16" t="s">
        <v>1935</v>
      </c>
      <c r="C394" s="20" t="s">
        <v>1936</v>
      </c>
      <c r="D394" s="21"/>
      <c r="E394" s="22" t="s">
        <v>1937</v>
      </c>
      <c r="H394" s="23" t="s">
        <v>396</v>
      </c>
      <c r="I394" s="21"/>
      <c r="J394" s="25"/>
      <c r="K394" s="26" t="s">
        <v>44</v>
      </c>
      <c r="L394" s="16"/>
      <c r="M394" s="21"/>
    </row>
    <row r="395">
      <c r="A395" s="28">
        <v>46232.0</v>
      </c>
      <c r="B395" s="16" t="s">
        <v>1938</v>
      </c>
      <c r="C395" s="20" t="s">
        <v>1939</v>
      </c>
      <c r="D395" s="21"/>
      <c r="E395" s="22" t="s">
        <v>1940</v>
      </c>
      <c r="H395" s="23" t="s">
        <v>1941</v>
      </c>
      <c r="I395" s="21"/>
      <c r="J395" s="25"/>
      <c r="K395" s="26" t="s">
        <v>44</v>
      </c>
      <c r="L395" s="16"/>
      <c r="M395" s="21"/>
    </row>
    <row r="396">
      <c r="A396" s="28">
        <v>46232.0</v>
      </c>
      <c r="B396" s="16" t="s">
        <v>1942</v>
      </c>
      <c r="C396" s="20" t="s">
        <v>1943</v>
      </c>
      <c r="D396" s="21"/>
      <c r="E396" s="22" t="s">
        <v>1944</v>
      </c>
      <c r="H396" s="23" t="s">
        <v>487</v>
      </c>
      <c r="I396" s="21"/>
      <c r="J396" s="25"/>
      <c r="K396" s="26" t="s">
        <v>44</v>
      </c>
      <c r="L396" s="16"/>
      <c r="M396" s="21"/>
    </row>
    <row r="397">
      <c r="A397" s="28">
        <v>46232.0</v>
      </c>
      <c r="B397" s="16" t="s">
        <v>1945</v>
      </c>
      <c r="C397" s="20" t="s">
        <v>1946</v>
      </c>
      <c r="D397" s="21"/>
      <c r="E397" s="22" t="s">
        <v>1947</v>
      </c>
      <c r="H397" s="23" t="s">
        <v>98</v>
      </c>
      <c r="I397" s="21"/>
      <c r="J397" s="25"/>
      <c r="K397" s="26" t="s">
        <v>44</v>
      </c>
      <c r="L397" s="16"/>
      <c r="M397" s="21"/>
    </row>
    <row r="398">
      <c r="A398" s="28">
        <v>46232.0</v>
      </c>
      <c r="B398" s="16" t="s">
        <v>1951</v>
      </c>
      <c r="C398" s="46" t="s">
        <v>1952</v>
      </c>
      <c r="D398" s="21"/>
      <c r="E398" s="22" t="s">
        <v>1954</v>
      </c>
      <c r="H398" s="23" t="s">
        <v>1963</v>
      </c>
      <c r="I398" s="21"/>
      <c r="J398" s="25"/>
      <c r="K398" s="26" t="s">
        <v>44</v>
      </c>
      <c r="L398" s="16"/>
      <c r="M398" s="21"/>
    </row>
    <row r="399">
      <c r="A399" s="28">
        <v>46232.0</v>
      </c>
      <c r="B399" s="16" t="s">
        <v>1964</v>
      </c>
      <c r="C399" s="20" t="s">
        <v>1965</v>
      </c>
      <c r="D399" s="21"/>
      <c r="E399" s="22" t="s">
        <v>1966</v>
      </c>
      <c r="H399" s="23" t="s">
        <v>1967</v>
      </c>
      <c r="I399" s="21"/>
      <c r="J399" s="25"/>
      <c r="K399" s="26" t="s">
        <v>44</v>
      </c>
      <c r="L399" s="16"/>
      <c r="M399" s="21"/>
    </row>
    <row r="400">
      <c r="A400" s="28">
        <v>46232.0</v>
      </c>
      <c r="B400" s="16" t="s">
        <v>1968</v>
      </c>
      <c r="C400" s="20" t="s">
        <v>1969</v>
      </c>
      <c r="D400" s="21"/>
      <c r="E400" s="22" t="s">
        <v>1970</v>
      </c>
      <c r="H400" s="23" t="s">
        <v>1971</v>
      </c>
      <c r="I400" s="21"/>
      <c r="J400" s="25"/>
      <c r="K400" s="26" t="s">
        <v>44</v>
      </c>
      <c r="L400" s="16"/>
      <c r="M400" s="21"/>
    </row>
    <row r="401">
      <c r="A401" s="28">
        <v>46232.0</v>
      </c>
      <c r="B401" s="16" t="s">
        <v>1972</v>
      </c>
      <c r="C401" s="20" t="s">
        <v>1973</v>
      </c>
      <c r="D401" s="21"/>
      <c r="E401" s="22" t="s">
        <v>1974</v>
      </c>
      <c r="H401" s="23" t="s">
        <v>1016</v>
      </c>
      <c r="I401" s="21"/>
      <c r="J401" s="25"/>
      <c r="K401" s="26" t="s">
        <v>44</v>
      </c>
      <c r="L401" s="16"/>
      <c r="M401" s="21"/>
    </row>
    <row r="402">
      <c r="A402" s="28">
        <v>46232.0</v>
      </c>
      <c r="B402" s="16" t="s">
        <v>1975</v>
      </c>
      <c r="C402" s="20" t="s">
        <v>1976</v>
      </c>
      <c r="D402" s="21"/>
      <c r="E402" s="22" t="s">
        <v>1977</v>
      </c>
      <c r="H402" s="23" t="s">
        <v>1978</v>
      </c>
      <c r="I402" s="21"/>
      <c r="J402" s="25"/>
      <c r="K402" s="26" t="s">
        <v>44</v>
      </c>
      <c r="L402" s="16"/>
      <c r="M402" s="21"/>
    </row>
    <row r="403">
      <c r="A403" s="28">
        <v>46232.0</v>
      </c>
      <c r="B403" s="16" t="s">
        <v>1979</v>
      </c>
      <c r="C403" s="20" t="s">
        <v>1980</v>
      </c>
      <c r="D403" s="21"/>
      <c r="E403" s="22" t="s">
        <v>1981</v>
      </c>
      <c r="H403" s="23" t="s">
        <v>1982</v>
      </c>
      <c r="I403" s="21"/>
      <c r="J403" s="25"/>
      <c r="K403" s="26" t="s">
        <v>44</v>
      </c>
      <c r="L403" s="16"/>
      <c r="M403" s="21"/>
    </row>
    <row r="404">
      <c r="A404" s="28">
        <v>46232.0</v>
      </c>
      <c r="B404" s="16" t="s">
        <v>1983</v>
      </c>
      <c r="C404" s="20" t="s">
        <v>1984</v>
      </c>
      <c r="D404" s="21"/>
      <c r="E404" s="22" t="s">
        <v>1985</v>
      </c>
      <c r="H404" s="23" t="s">
        <v>1335</v>
      </c>
      <c r="I404" s="21"/>
      <c r="J404" s="25"/>
      <c r="K404" s="26" t="s">
        <v>44</v>
      </c>
      <c r="L404" s="16"/>
      <c r="M404" s="21"/>
    </row>
    <row r="405">
      <c r="A405" s="28">
        <v>46232.0</v>
      </c>
      <c r="B405" s="16" t="s">
        <v>1986</v>
      </c>
      <c r="C405" s="20" t="s">
        <v>1987</v>
      </c>
      <c r="D405" s="21"/>
      <c r="E405" s="22" t="s">
        <v>1988</v>
      </c>
      <c r="H405" s="23" t="s">
        <v>1356</v>
      </c>
      <c r="I405" s="21"/>
      <c r="J405" s="25"/>
      <c r="K405" s="26" t="s">
        <v>44</v>
      </c>
      <c r="L405" s="16"/>
      <c r="M405" s="21"/>
    </row>
    <row r="406">
      <c r="A406" s="28">
        <v>46232.0</v>
      </c>
      <c r="B406" s="16" t="s">
        <v>1989</v>
      </c>
      <c r="C406" s="20" t="s">
        <v>1990</v>
      </c>
      <c r="D406" s="21"/>
      <c r="E406" s="22" t="s">
        <v>1991</v>
      </c>
      <c r="H406" s="23" t="s">
        <v>1992</v>
      </c>
      <c r="I406" s="21"/>
      <c r="J406" s="25"/>
      <c r="K406" s="26" t="s">
        <v>44</v>
      </c>
      <c r="L406" s="16"/>
      <c r="M406" s="21"/>
    </row>
    <row r="407">
      <c r="A407" s="28">
        <v>46232.0</v>
      </c>
      <c r="B407" s="16" t="s">
        <v>1993</v>
      </c>
      <c r="C407" s="20" t="s">
        <v>1994</v>
      </c>
      <c r="D407" s="21"/>
      <c r="E407" s="22" t="s">
        <v>1995</v>
      </c>
      <c r="H407" s="23" t="s">
        <v>1996</v>
      </c>
      <c r="I407" s="21"/>
      <c r="J407" s="25"/>
      <c r="K407" s="26" t="s">
        <v>44</v>
      </c>
      <c r="L407" s="16"/>
      <c r="M407" s="21"/>
    </row>
    <row r="408">
      <c r="A408" s="28">
        <v>46232.0</v>
      </c>
      <c r="B408" s="16" t="s">
        <v>1997</v>
      </c>
      <c r="C408" s="20" t="s">
        <v>1998</v>
      </c>
      <c r="D408" s="21"/>
      <c r="E408" s="22" t="s">
        <v>1999</v>
      </c>
      <c r="H408" s="23" t="s">
        <v>2000</v>
      </c>
      <c r="I408" s="21"/>
      <c r="J408" s="25"/>
      <c r="K408" s="26" t="s">
        <v>44</v>
      </c>
      <c r="L408" s="16"/>
      <c r="M408" s="21"/>
    </row>
    <row r="409">
      <c r="A409" s="28">
        <v>46232.0</v>
      </c>
      <c r="B409" s="16" t="s">
        <v>2001</v>
      </c>
      <c r="C409" s="20" t="s">
        <v>2002</v>
      </c>
      <c r="D409" s="21"/>
      <c r="E409" s="22" t="s">
        <v>2003</v>
      </c>
      <c r="H409" s="23" t="s">
        <v>1415</v>
      </c>
      <c r="I409" s="21"/>
      <c r="J409" s="25"/>
      <c r="K409" s="26" t="s">
        <v>44</v>
      </c>
      <c r="L409" s="16"/>
      <c r="M409" s="21"/>
    </row>
    <row r="410">
      <c r="A410" s="28">
        <v>46232.0</v>
      </c>
      <c r="B410" s="16" t="s">
        <v>2004</v>
      </c>
      <c r="C410" s="20" t="s">
        <v>2005</v>
      </c>
      <c r="D410" s="21"/>
      <c r="E410" s="22" t="s">
        <v>2006</v>
      </c>
      <c r="H410" s="23" t="s">
        <v>2007</v>
      </c>
      <c r="I410" s="21"/>
      <c r="J410" s="25"/>
      <c r="K410" s="26" t="s">
        <v>44</v>
      </c>
      <c r="L410" s="16"/>
      <c r="M410" s="21"/>
    </row>
    <row r="411">
      <c r="A411" s="28">
        <v>46232.0</v>
      </c>
      <c r="B411" s="16" t="s">
        <v>2008</v>
      </c>
      <c r="C411" s="20" t="s">
        <v>2009</v>
      </c>
      <c r="D411" s="21"/>
      <c r="E411" s="22" t="s">
        <v>2010</v>
      </c>
      <c r="H411" s="23" t="s">
        <v>2011</v>
      </c>
      <c r="I411" s="21"/>
      <c r="J411" s="25"/>
      <c r="K411" s="26" t="s">
        <v>44</v>
      </c>
      <c r="L411" s="16"/>
      <c r="M411" s="21"/>
    </row>
    <row r="412">
      <c r="A412" s="28">
        <v>46232.0</v>
      </c>
      <c r="B412" s="16" t="s">
        <v>2012</v>
      </c>
      <c r="C412" s="20" t="s">
        <v>2013</v>
      </c>
      <c r="D412" s="21"/>
      <c r="E412" s="22" t="s">
        <v>2014</v>
      </c>
      <c r="H412" s="23" t="s">
        <v>127</v>
      </c>
      <c r="I412" s="21"/>
      <c r="J412" s="25"/>
      <c r="K412" s="26" t="s">
        <v>44</v>
      </c>
      <c r="L412" s="16"/>
      <c r="M412" s="21"/>
    </row>
    <row r="413">
      <c r="A413" s="28">
        <v>46232.0</v>
      </c>
      <c r="B413" s="16" t="s">
        <v>2015</v>
      </c>
      <c r="C413" s="20" t="s">
        <v>2016</v>
      </c>
      <c r="D413" s="21"/>
      <c r="E413" s="22" t="s">
        <v>2017</v>
      </c>
      <c r="H413" s="23" t="s">
        <v>404</v>
      </c>
      <c r="I413" s="21"/>
      <c r="J413" s="25"/>
      <c r="K413" s="26" t="s">
        <v>44</v>
      </c>
      <c r="L413" s="16"/>
      <c r="M413" s="21"/>
    </row>
    <row r="414">
      <c r="A414" s="28">
        <v>46232.0</v>
      </c>
      <c r="B414" s="16" t="s">
        <v>2018</v>
      </c>
      <c r="C414" s="20" t="s">
        <v>2019</v>
      </c>
      <c r="D414" s="21"/>
      <c r="E414" s="22" t="s">
        <v>2020</v>
      </c>
      <c r="H414" s="23" t="s">
        <v>604</v>
      </c>
      <c r="I414" s="21"/>
      <c r="J414" s="25"/>
      <c r="K414" s="26" t="s">
        <v>44</v>
      </c>
      <c r="L414" s="16"/>
      <c r="M414" s="21"/>
    </row>
    <row r="415">
      <c r="A415" s="28">
        <v>46232.0</v>
      </c>
      <c r="B415" s="16" t="s">
        <v>2021</v>
      </c>
      <c r="C415" s="20" t="s">
        <v>2022</v>
      </c>
      <c r="D415" s="21"/>
      <c r="E415" s="22" t="s">
        <v>2023</v>
      </c>
      <c r="H415" s="23" t="s">
        <v>1595</v>
      </c>
      <c r="I415" s="21"/>
      <c r="J415" s="25"/>
      <c r="K415" s="26" t="s">
        <v>44</v>
      </c>
      <c r="L415" s="16"/>
      <c r="M415" s="21"/>
    </row>
    <row r="416">
      <c r="A416" s="28">
        <v>46232.0</v>
      </c>
      <c r="B416" s="16" t="s">
        <v>2024</v>
      </c>
      <c r="C416" s="20" t="s">
        <v>2025</v>
      </c>
      <c r="D416" s="21"/>
      <c r="E416" s="22" t="s">
        <v>2026</v>
      </c>
      <c r="H416" s="23" t="s">
        <v>57</v>
      </c>
      <c r="I416" s="21"/>
      <c r="J416" s="25"/>
      <c r="K416" s="26" t="s">
        <v>44</v>
      </c>
      <c r="L416" s="16"/>
      <c r="M416" s="21"/>
    </row>
    <row r="417">
      <c r="A417" s="28">
        <v>46232.0</v>
      </c>
      <c r="B417" s="16" t="s">
        <v>2027</v>
      </c>
      <c r="C417" s="20" t="s">
        <v>2028</v>
      </c>
      <c r="D417" s="21"/>
      <c r="E417" s="22" t="s">
        <v>2029</v>
      </c>
      <c r="H417" s="23" t="s">
        <v>1016</v>
      </c>
      <c r="I417" s="21"/>
      <c r="J417" s="25"/>
      <c r="K417" s="26" t="s">
        <v>44</v>
      </c>
      <c r="L417" s="16"/>
      <c r="M417" s="21"/>
    </row>
    <row r="418">
      <c r="A418" s="28">
        <v>46232.0</v>
      </c>
      <c r="B418" s="16" t="s">
        <v>2030</v>
      </c>
      <c r="C418" s="20" t="s">
        <v>2031</v>
      </c>
      <c r="D418" s="21"/>
      <c r="E418" s="22" t="s">
        <v>2032</v>
      </c>
      <c r="H418" s="23" t="s">
        <v>1200</v>
      </c>
      <c r="I418" s="21"/>
      <c r="J418" s="25"/>
      <c r="K418" s="26" t="s">
        <v>44</v>
      </c>
      <c r="L418" s="16"/>
      <c r="M418" s="21"/>
    </row>
    <row r="419">
      <c r="A419" s="28">
        <v>46232.0</v>
      </c>
      <c r="B419" s="16" t="s">
        <v>2033</v>
      </c>
      <c r="C419" s="20" t="s">
        <v>2034</v>
      </c>
      <c r="D419" s="21"/>
      <c r="E419" s="22" t="s">
        <v>2035</v>
      </c>
      <c r="H419" s="23" t="s">
        <v>48</v>
      </c>
      <c r="I419" s="21"/>
      <c r="J419" s="25"/>
      <c r="K419" s="26" t="s">
        <v>44</v>
      </c>
      <c r="L419" s="16"/>
      <c r="M419" s="21"/>
    </row>
    <row r="420">
      <c r="A420" s="28">
        <v>46232.0</v>
      </c>
      <c r="B420" s="16" t="s">
        <v>2036</v>
      </c>
      <c r="C420" s="20" t="s">
        <v>2037</v>
      </c>
      <c r="D420" s="21"/>
      <c r="E420" s="22" t="s">
        <v>2038</v>
      </c>
      <c r="H420" s="23" t="s">
        <v>370</v>
      </c>
      <c r="I420" s="21"/>
      <c r="J420" s="25"/>
      <c r="K420" s="26" t="s">
        <v>44</v>
      </c>
      <c r="L420" s="16"/>
      <c r="M420" s="21"/>
    </row>
    <row r="421">
      <c r="A421" s="28">
        <v>46232.0</v>
      </c>
      <c r="B421" s="16" t="s">
        <v>2039</v>
      </c>
      <c r="C421" s="20" t="s">
        <v>2040</v>
      </c>
      <c r="D421" s="21"/>
      <c r="E421" s="22" t="s">
        <v>2041</v>
      </c>
      <c r="H421" s="23" t="s">
        <v>1848</v>
      </c>
      <c r="I421" s="21"/>
      <c r="J421" s="25"/>
      <c r="K421" s="26" t="s">
        <v>44</v>
      </c>
      <c r="L421" s="16"/>
      <c r="M421" s="21"/>
    </row>
    <row r="422">
      <c r="A422" s="28">
        <v>46232.0</v>
      </c>
      <c r="B422" s="16" t="s">
        <v>2042</v>
      </c>
      <c r="C422" s="20" t="s">
        <v>2043</v>
      </c>
      <c r="D422" s="21"/>
      <c r="E422" s="22" t="s">
        <v>2044</v>
      </c>
      <c r="H422" s="23" t="s">
        <v>370</v>
      </c>
      <c r="I422" s="21"/>
      <c r="J422" s="25"/>
      <c r="K422" s="26" t="s">
        <v>44</v>
      </c>
      <c r="L422" s="16"/>
      <c r="M422" s="21"/>
    </row>
    <row r="423">
      <c r="A423" s="28">
        <v>46232.0</v>
      </c>
      <c r="B423" s="16" t="s">
        <v>2045</v>
      </c>
      <c r="C423" s="20" t="s">
        <v>2046</v>
      </c>
      <c r="D423" s="21"/>
      <c r="E423" s="22" t="s">
        <v>2047</v>
      </c>
      <c r="H423" s="23" t="s">
        <v>856</v>
      </c>
      <c r="I423" s="21"/>
      <c r="J423" s="25"/>
      <c r="K423" s="26" t="s">
        <v>44</v>
      </c>
      <c r="L423" s="16"/>
      <c r="M423" s="21"/>
    </row>
    <row r="424">
      <c r="A424" s="28">
        <v>46232.0</v>
      </c>
      <c r="B424" s="16" t="s">
        <v>2048</v>
      </c>
      <c r="C424" s="20" t="s">
        <v>2049</v>
      </c>
      <c r="D424" s="21"/>
      <c r="E424" s="22" t="s">
        <v>2050</v>
      </c>
      <c r="H424" s="23" t="s">
        <v>2051</v>
      </c>
      <c r="I424" s="21"/>
      <c r="J424" s="25"/>
      <c r="K424" s="26" t="s">
        <v>44</v>
      </c>
      <c r="L424" s="16"/>
      <c r="M424" s="21"/>
    </row>
    <row r="425">
      <c r="A425" s="28">
        <v>46232.0</v>
      </c>
      <c r="B425" s="16" t="s">
        <v>2052</v>
      </c>
      <c r="C425" s="20" t="s">
        <v>2053</v>
      </c>
      <c r="D425" s="21"/>
      <c r="E425" s="22" t="s">
        <v>2054</v>
      </c>
      <c r="H425" s="23" t="s">
        <v>936</v>
      </c>
      <c r="I425" s="21"/>
      <c r="J425" s="25"/>
      <c r="K425" s="26" t="s">
        <v>44</v>
      </c>
      <c r="L425" s="16"/>
      <c r="M425" s="21"/>
    </row>
    <row r="426">
      <c r="A426" s="28">
        <v>46232.0</v>
      </c>
      <c r="B426" s="16" t="s">
        <v>2055</v>
      </c>
      <c r="C426" s="20" t="s">
        <v>2056</v>
      </c>
      <c r="D426" s="21"/>
      <c r="E426" s="22" t="s">
        <v>2057</v>
      </c>
      <c r="H426" s="23" t="s">
        <v>57</v>
      </c>
      <c r="I426" s="21"/>
      <c r="J426" s="25"/>
      <c r="K426" s="26" t="s">
        <v>44</v>
      </c>
      <c r="L426" s="16"/>
      <c r="M426" s="21"/>
    </row>
    <row r="427">
      <c r="A427" s="28">
        <v>46232.0</v>
      </c>
      <c r="B427" s="16" t="s">
        <v>2058</v>
      </c>
      <c r="C427" s="20" t="s">
        <v>2059</v>
      </c>
      <c r="D427" s="21"/>
      <c r="E427" s="22" t="s">
        <v>2060</v>
      </c>
      <c r="H427" s="23" t="s">
        <v>69</v>
      </c>
      <c r="I427" s="21"/>
      <c r="J427" s="25"/>
      <c r="K427" s="26" t="s">
        <v>44</v>
      </c>
      <c r="L427" s="16"/>
      <c r="M427" s="21"/>
    </row>
    <row r="428">
      <c r="A428" s="28">
        <v>46232.0</v>
      </c>
      <c r="B428" s="16" t="s">
        <v>2061</v>
      </c>
      <c r="C428" s="46" t="s">
        <v>2062</v>
      </c>
      <c r="D428" s="21"/>
      <c r="E428" s="22" t="s">
        <v>2063</v>
      </c>
      <c r="H428" s="23" t="s">
        <v>2064</v>
      </c>
      <c r="I428" s="21"/>
      <c r="J428" s="25"/>
      <c r="K428" s="26" t="s">
        <v>44</v>
      </c>
      <c r="L428" s="16"/>
      <c r="M428" s="21"/>
    </row>
    <row r="429">
      <c r="A429" s="28">
        <v>46232.0</v>
      </c>
      <c r="B429" s="16" t="s">
        <v>2065</v>
      </c>
      <c r="C429" s="46" t="s">
        <v>2066</v>
      </c>
      <c r="D429" s="21"/>
      <c r="E429" s="22" t="s">
        <v>2067</v>
      </c>
      <c r="H429" s="23" t="s">
        <v>2068</v>
      </c>
      <c r="I429" s="21"/>
      <c r="J429" s="25"/>
      <c r="K429" s="26" t="s">
        <v>44</v>
      </c>
      <c r="L429" s="16"/>
      <c r="M429" s="21"/>
    </row>
    <row r="430">
      <c r="A430" s="28">
        <v>46232.0</v>
      </c>
      <c r="B430" s="16" t="s">
        <v>2069</v>
      </c>
      <c r="C430" s="20" t="s">
        <v>2070</v>
      </c>
      <c r="D430" s="21"/>
      <c r="E430" s="22" t="s">
        <v>2071</v>
      </c>
      <c r="H430" s="23" t="s">
        <v>57</v>
      </c>
      <c r="I430" s="21"/>
      <c r="J430" s="25"/>
      <c r="K430" s="26" t="s">
        <v>44</v>
      </c>
      <c r="L430" s="16"/>
      <c r="M430" s="21"/>
    </row>
    <row r="431">
      <c r="A431" s="28">
        <v>46232.0</v>
      </c>
      <c r="B431" s="16" t="s">
        <v>2072</v>
      </c>
      <c r="C431" s="20" t="s">
        <v>2073</v>
      </c>
      <c r="D431" s="21"/>
      <c r="E431" s="22" t="s">
        <v>2074</v>
      </c>
      <c r="H431" s="23" t="s">
        <v>896</v>
      </c>
      <c r="I431" s="21"/>
      <c r="J431" s="25"/>
      <c r="K431" s="26" t="s">
        <v>44</v>
      </c>
      <c r="L431" s="16"/>
      <c r="M431" s="21"/>
    </row>
    <row r="432">
      <c r="A432" s="28">
        <v>46232.0</v>
      </c>
      <c r="B432" s="16" t="s">
        <v>2075</v>
      </c>
      <c r="C432" s="20" t="s">
        <v>2076</v>
      </c>
      <c r="D432" s="21"/>
      <c r="E432" s="22" t="s">
        <v>2077</v>
      </c>
      <c r="H432" s="23" t="s">
        <v>2078</v>
      </c>
      <c r="I432" s="21"/>
      <c r="J432" s="25"/>
      <c r="K432" s="26" t="s">
        <v>44</v>
      </c>
      <c r="L432" s="16"/>
      <c r="M432" s="21"/>
    </row>
    <row r="433">
      <c r="A433" s="28">
        <v>46232.0</v>
      </c>
      <c r="B433" s="16" t="s">
        <v>2079</v>
      </c>
      <c r="C433" s="20" t="s">
        <v>2080</v>
      </c>
      <c r="D433" s="21"/>
      <c r="E433" s="22" t="s">
        <v>2081</v>
      </c>
      <c r="H433" s="23" t="s">
        <v>48</v>
      </c>
      <c r="I433" s="21"/>
      <c r="J433" s="25"/>
      <c r="K433" s="26" t="s">
        <v>44</v>
      </c>
      <c r="L433" s="16"/>
      <c r="M433" s="21"/>
    </row>
    <row r="434">
      <c r="A434" s="28">
        <v>46232.0</v>
      </c>
      <c r="B434" s="16" t="s">
        <v>2082</v>
      </c>
      <c r="C434" s="20" t="s">
        <v>2083</v>
      </c>
      <c r="D434" s="21"/>
      <c r="E434" s="22" t="s">
        <v>2084</v>
      </c>
      <c r="H434" s="23" t="s">
        <v>2085</v>
      </c>
      <c r="I434" s="21"/>
      <c r="J434" s="25"/>
      <c r="K434" s="26" t="s">
        <v>44</v>
      </c>
      <c r="L434" s="16"/>
      <c r="M434" s="21"/>
    </row>
    <row r="435">
      <c r="A435" s="28">
        <v>46232.0</v>
      </c>
      <c r="B435" s="16" t="s">
        <v>2086</v>
      </c>
      <c r="C435" s="20" t="s">
        <v>2087</v>
      </c>
      <c r="D435" s="21"/>
      <c r="E435" s="22" t="s">
        <v>2088</v>
      </c>
      <c r="H435" s="23" t="s">
        <v>2089</v>
      </c>
      <c r="I435" s="21"/>
      <c r="J435" s="25"/>
      <c r="K435" s="26" t="s">
        <v>44</v>
      </c>
      <c r="L435" s="16"/>
      <c r="M435" s="21"/>
    </row>
    <row r="436">
      <c r="A436" s="28">
        <v>46232.0</v>
      </c>
      <c r="B436" s="16" t="s">
        <v>2090</v>
      </c>
      <c r="C436" s="20" t="s">
        <v>2091</v>
      </c>
      <c r="D436" s="21"/>
      <c r="E436" s="22" t="s">
        <v>2092</v>
      </c>
      <c r="H436" s="23" t="s">
        <v>48</v>
      </c>
      <c r="I436" s="21"/>
      <c r="J436" s="25"/>
      <c r="K436" s="26" t="s">
        <v>44</v>
      </c>
      <c r="L436" s="16"/>
      <c r="M436" s="21"/>
    </row>
    <row r="437">
      <c r="A437" s="28">
        <v>46232.0</v>
      </c>
      <c r="B437" s="16" t="s">
        <v>2093</v>
      </c>
      <c r="C437" s="20" t="s">
        <v>2094</v>
      </c>
      <c r="D437" s="21"/>
      <c r="E437" s="22" t="s">
        <v>2095</v>
      </c>
      <c r="H437" s="23" t="s">
        <v>2096</v>
      </c>
      <c r="I437" s="21"/>
      <c r="J437" s="25"/>
      <c r="K437" s="26" t="s">
        <v>44</v>
      </c>
      <c r="L437" s="16"/>
      <c r="M437" s="21"/>
    </row>
    <row r="438">
      <c r="A438" s="28">
        <v>46232.0</v>
      </c>
      <c r="B438" s="16" t="s">
        <v>2097</v>
      </c>
      <c r="C438" s="20" t="s">
        <v>2098</v>
      </c>
      <c r="D438" s="21"/>
      <c r="E438" s="22" t="s">
        <v>2099</v>
      </c>
      <c r="H438" s="23" t="s">
        <v>713</v>
      </c>
      <c r="I438" s="21"/>
      <c r="J438" s="25"/>
      <c r="K438" s="26" t="s">
        <v>44</v>
      </c>
      <c r="L438" s="16"/>
      <c r="M438" s="21"/>
    </row>
    <row r="439">
      <c r="A439" s="28">
        <v>46232.0</v>
      </c>
      <c r="B439" s="16" t="s">
        <v>2100</v>
      </c>
      <c r="C439" s="20" t="s">
        <v>2101</v>
      </c>
      <c r="D439" s="21"/>
      <c r="E439" s="22" t="s">
        <v>2102</v>
      </c>
      <c r="H439" s="23" t="s">
        <v>48</v>
      </c>
      <c r="I439" s="21"/>
      <c r="J439" s="25"/>
      <c r="K439" s="26" t="s">
        <v>44</v>
      </c>
      <c r="L439" s="16"/>
      <c r="M439" s="21"/>
    </row>
    <row r="440">
      <c r="A440" s="28">
        <v>46232.0</v>
      </c>
      <c r="B440" s="16" t="s">
        <v>2103</v>
      </c>
      <c r="C440" s="20" t="s">
        <v>2104</v>
      </c>
      <c r="D440" s="21"/>
      <c r="E440" s="22" t="s">
        <v>2105</v>
      </c>
      <c r="H440" s="23" t="s">
        <v>127</v>
      </c>
      <c r="I440" s="21"/>
      <c r="J440" s="25"/>
      <c r="K440" s="26" t="s">
        <v>44</v>
      </c>
      <c r="L440" s="16"/>
      <c r="M440" s="21"/>
    </row>
    <row r="441">
      <c r="A441" s="28">
        <v>46232.0</v>
      </c>
      <c r="B441" s="16" t="s">
        <v>2106</v>
      </c>
      <c r="C441" s="20" t="s">
        <v>2107</v>
      </c>
      <c r="D441" s="21"/>
      <c r="E441" s="22" t="s">
        <v>2108</v>
      </c>
      <c r="H441" s="23" t="s">
        <v>2109</v>
      </c>
      <c r="I441" s="21"/>
      <c r="J441" s="25"/>
      <c r="K441" s="26" t="s">
        <v>44</v>
      </c>
      <c r="L441" s="16"/>
      <c r="M441" s="21"/>
    </row>
    <row r="442">
      <c r="A442" s="28">
        <v>46232.0</v>
      </c>
      <c r="B442" s="16" t="s">
        <v>2110</v>
      </c>
      <c r="C442" s="20" t="s">
        <v>2111</v>
      </c>
      <c r="D442" s="21"/>
      <c r="E442" s="22" t="s">
        <v>2112</v>
      </c>
      <c r="H442" s="23" t="s">
        <v>2113</v>
      </c>
      <c r="I442" s="21"/>
      <c r="J442" s="25"/>
      <c r="K442" s="26" t="s">
        <v>44</v>
      </c>
      <c r="L442" s="16"/>
      <c r="M442" s="21"/>
    </row>
    <row r="443">
      <c r="A443" s="28">
        <v>46232.0</v>
      </c>
      <c r="B443" s="16" t="s">
        <v>2114</v>
      </c>
      <c r="C443" s="20" t="s">
        <v>2115</v>
      </c>
      <c r="D443" s="21"/>
      <c r="E443" s="22" t="s">
        <v>2116</v>
      </c>
      <c r="H443" s="23" t="s">
        <v>47</v>
      </c>
      <c r="I443" s="21"/>
      <c r="J443" s="25"/>
      <c r="K443" s="26" t="s">
        <v>44</v>
      </c>
      <c r="L443" s="16"/>
      <c r="M443" s="21"/>
    </row>
    <row r="444">
      <c r="A444" s="28">
        <v>46232.0</v>
      </c>
      <c r="B444" s="16" t="s">
        <v>2117</v>
      </c>
      <c r="C444" s="20" t="s">
        <v>2118</v>
      </c>
      <c r="D444" s="21"/>
      <c r="E444" s="22" t="s">
        <v>2119</v>
      </c>
      <c r="H444" s="23" t="s">
        <v>2120</v>
      </c>
      <c r="I444" s="21"/>
      <c r="J444" s="25"/>
      <c r="K444" s="26" t="s">
        <v>44</v>
      </c>
      <c r="L444" s="16"/>
      <c r="M444" s="21"/>
    </row>
    <row r="445">
      <c r="A445" s="28">
        <v>46232.0</v>
      </c>
      <c r="B445" s="16" t="s">
        <v>2121</v>
      </c>
      <c r="C445" s="20" t="s">
        <v>2122</v>
      </c>
      <c r="D445" s="21"/>
      <c r="E445" s="22" t="s">
        <v>2123</v>
      </c>
      <c r="H445" s="23" t="s">
        <v>2124</v>
      </c>
      <c r="I445" s="21"/>
      <c r="J445" s="25"/>
      <c r="K445" s="26" t="s">
        <v>44</v>
      </c>
      <c r="L445" s="16"/>
      <c r="M445" s="21"/>
    </row>
    <row r="446">
      <c r="A446" s="28">
        <v>46232.0</v>
      </c>
      <c r="B446" s="16" t="s">
        <v>2125</v>
      </c>
      <c r="C446" s="20" t="s">
        <v>2126</v>
      </c>
      <c r="D446" s="21"/>
      <c r="E446" s="22" t="s">
        <v>2127</v>
      </c>
      <c r="H446" s="23" t="s">
        <v>487</v>
      </c>
      <c r="I446" s="21"/>
      <c r="J446" s="25"/>
      <c r="K446" s="26" t="s">
        <v>44</v>
      </c>
      <c r="L446" s="16"/>
      <c r="M446" s="21"/>
    </row>
    <row r="447">
      <c r="A447" s="28">
        <v>46232.0</v>
      </c>
      <c r="B447" s="16" t="s">
        <v>2128</v>
      </c>
      <c r="C447" s="20" t="s">
        <v>2129</v>
      </c>
      <c r="D447" s="21"/>
      <c r="E447" s="22" t="s">
        <v>2130</v>
      </c>
      <c r="H447" s="23" t="s">
        <v>69</v>
      </c>
      <c r="I447" s="21"/>
      <c r="J447" s="25"/>
      <c r="K447" s="26" t="s">
        <v>44</v>
      </c>
      <c r="L447" s="16"/>
      <c r="M447" s="21"/>
    </row>
    <row r="448">
      <c r="A448" s="28">
        <v>46232.0</v>
      </c>
      <c r="B448" s="16" t="s">
        <v>2131</v>
      </c>
      <c r="C448" s="20" t="s">
        <v>2132</v>
      </c>
      <c r="D448" s="21"/>
      <c r="E448" s="22" t="s">
        <v>2133</v>
      </c>
      <c r="H448" s="23" t="s">
        <v>42</v>
      </c>
      <c r="I448" s="21"/>
      <c r="J448" s="25"/>
      <c r="K448" s="26" t="s">
        <v>44</v>
      </c>
      <c r="L448" s="16"/>
      <c r="M448" s="21"/>
    </row>
    <row r="449">
      <c r="A449" s="28">
        <v>46232.0</v>
      </c>
      <c r="B449" s="16" t="s">
        <v>2134</v>
      </c>
      <c r="C449" s="20" t="s">
        <v>2135</v>
      </c>
      <c r="D449" s="21"/>
      <c r="E449" s="22" t="s">
        <v>2136</v>
      </c>
      <c r="H449" s="23" t="s">
        <v>1020</v>
      </c>
      <c r="I449" s="21"/>
      <c r="J449" s="25"/>
      <c r="K449" s="26" t="s">
        <v>44</v>
      </c>
      <c r="L449" s="16"/>
      <c r="M449" s="21"/>
    </row>
    <row r="450">
      <c r="A450" s="28">
        <v>46232.0</v>
      </c>
      <c r="B450" s="16" t="s">
        <v>2137</v>
      </c>
      <c r="C450" s="20" t="s">
        <v>2138</v>
      </c>
      <c r="D450" s="21"/>
      <c r="E450" s="22" t="s">
        <v>2139</v>
      </c>
      <c r="H450" s="23" t="s">
        <v>48</v>
      </c>
      <c r="I450" s="21"/>
      <c r="J450" s="25"/>
      <c r="K450" s="26" t="s">
        <v>44</v>
      </c>
      <c r="L450" s="16"/>
      <c r="M450" s="21"/>
    </row>
    <row r="451">
      <c r="A451" s="28">
        <v>46232.0</v>
      </c>
      <c r="B451" s="16" t="s">
        <v>2140</v>
      </c>
      <c r="C451" s="20" t="s">
        <v>2141</v>
      </c>
      <c r="D451" s="21"/>
      <c r="E451" s="22" t="s">
        <v>2142</v>
      </c>
      <c r="H451" s="23" t="s">
        <v>2143</v>
      </c>
      <c r="I451" s="21"/>
      <c r="J451" s="25"/>
      <c r="K451" s="26" t="s">
        <v>44</v>
      </c>
      <c r="L451" s="16"/>
      <c r="M451" s="21"/>
    </row>
    <row r="452">
      <c r="A452" s="28">
        <v>46232.0</v>
      </c>
      <c r="B452" s="16" t="s">
        <v>2144</v>
      </c>
      <c r="C452" s="20" t="s">
        <v>2145</v>
      </c>
      <c r="D452" s="21"/>
      <c r="E452" s="22" t="s">
        <v>2146</v>
      </c>
      <c r="H452" s="23" t="s">
        <v>599</v>
      </c>
      <c r="I452" s="21"/>
      <c r="J452" s="25"/>
      <c r="K452" s="26" t="s">
        <v>44</v>
      </c>
      <c r="L452" s="16"/>
      <c r="M452" s="21"/>
    </row>
    <row r="453">
      <c r="A453" s="28">
        <v>46232.0</v>
      </c>
      <c r="B453" s="16" t="s">
        <v>2147</v>
      </c>
      <c r="C453" s="20" t="s">
        <v>2148</v>
      </c>
      <c r="D453" s="21"/>
      <c r="E453" s="22" t="s">
        <v>2149</v>
      </c>
      <c r="H453" s="23" t="s">
        <v>69</v>
      </c>
      <c r="I453" s="21"/>
      <c r="J453" s="25"/>
      <c r="K453" s="26" t="s">
        <v>44</v>
      </c>
      <c r="L453" s="16"/>
      <c r="M453" s="21"/>
    </row>
    <row r="454">
      <c r="A454" s="28">
        <v>46232.0</v>
      </c>
      <c r="B454" s="16" t="s">
        <v>2150</v>
      </c>
      <c r="C454" s="20" t="s">
        <v>2151</v>
      </c>
      <c r="D454" s="21"/>
      <c r="E454" s="22" t="s">
        <v>2152</v>
      </c>
      <c r="H454" s="23" t="s">
        <v>2153</v>
      </c>
      <c r="I454" s="21"/>
      <c r="J454" s="25"/>
      <c r="K454" s="26" t="s">
        <v>44</v>
      </c>
      <c r="L454" s="16"/>
      <c r="M454" s="21"/>
    </row>
    <row r="455">
      <c r="A455" s="28">
        <v>46232.0</v>
      </c>
      <c r="B455" s="16" t="s">
        <v>2154</v>
      </c>
      <c r="C455" s="20" t="s">
        <v>2155</v>
      </c>
      <c r="D455" s="21"/>
      <c r="E455" s="22" t="s">
        <v>2156</v>
      </c>
      <c r="H455" s="23" t="s">
        <v>2157</v>
      </c>
      <c r="I455" s="21"/>
      <c r="J455" s="25"/>
      <c r="K455" s="26" t="s">
        <v>44</v>
      </c>
      <c r="L455" s="16"/>
      <c r="M455" s="21"/>
    </row>
    <row r="456">
      <c r="A456" s="28">
        <v>46232.0</v>
      </c>
      <c r="B456" s="16" t="s">
        <v>2158</v>
      </c>
      <c r="C456" s="20" t="s">
        <v>2159</v>
      </c>
      <c r="D456" s="21"/>
      <c r="E456" s="22" t="s">
        <v>2160</v>
      </c>
      <c r="H456" s="23" t="s">
        <v>1595</v>
      </c>
      <c r="I456" s="21"/>
      <c r="J456" s="25"/>
      <c r="K456" s="26" t="s">
        <v>44</v>
      </c>
      <c r="L456" s="16"/>
      <c r="M456" s="21"/>
    </row>
    <row r="457">
      <c r="A457" s="28">
        <v>46232.0</v>
      </c>
      <c r="B457" s="16" t="s">
        <v>2161</v>
      </c>
      <c r="C457" s="20" t="s">
        <v>2162</v>
      </c>
      <c r="D457" s="21"/>
      <c r="E457" s="22" t="s">
        <v>2163</v>
      </c>
      <c r="H457" s="23" t="s">
        <v>48</v>
      </c>
      <c r="I457" s="21"/>
      <c r="J457" s="25"/>
      <c r="K457" s="26" t="s">
        <v>44</v>
      </c>
      <c r="L457" s="16"/>
      <c r="M457" s="21"/>
    </row>
    <row r="458">
      <c r="A458" s="28">
        <v>46232.0</v>
      </c>
      <c r="B458" s="16" t="s">
        <v>2164</v>
      </c>
      <c r="C458" s="20" t="s">
        <v>2165</v>
      </c>
      <c r="D458" s="21"/>
      <c r="E458" s="22" t="s">
        <v>2166</v>
      </c>
      <c r="H458" s="23" t="s">
        <v>1016</v>
      </c>
      <c r="I458" s="21"/>
      <c r="J458" s="25"/>
      <c r="K458" s="26" t="s">
        <v>44</v>
      </c>
      <c r="L458" s="16"/>
      <c r="M458" s="21"/>
    </row>
    <row r="459">
      <c r="A459" s="28">
        <v>46232.0</v>
      </c>
      <c r="B459" s="16" t="s">
        <v>2167</v>
      </c>
      <c r="C459" s="40">
        <v>2018.0</v>
      </c>
      <c r="D459" s="21"/>
      <c r="E459" s="22" t="s">
        <v>2168</v>
      </c>
      <c r="H459" s="23" t="s">
        <v>2169</v>
      </c>
      <c r="I459" s="21"/>
      <c r="J459" s="25"/>
      <c r="K459" s="26" t="s">
        <v>44</v>
      </c>
      <c r="L459" s="16"/>
      <c r="M459" s="21"/>
    </row>
    <row r="460">
      <c r="A460" s="28">
        <v>46232.0</v>
      </c>
      <c r="B460" s="16" t="s">
        <v>2170</v>
      </c>
      <c r="C460" s="20" t="s">
        <v>2171</v>
      </c>
      <c r="D460" s="21"/>
      <c r="E460" s="22" t="s">
        <v>2172</v>
      </c>
      <c r="H460" s="23" t="s">
        <v>148</v>
      </c>
      <c r="I460" s="21"/>
      <c r="J460" s="25"/>
      <c r="K460" s="26" t="s">
        <v>44</v>
      </c>
      <c r="L460" s="16"/>
      <c r="M460" s="21"/>
    </row>
    <row r="461">
      <c r="A461" s="28">
        <v>46232.0</v>
      </c>
      <c r="B461" s="16" t="s">
        <v>2173</v>
      </c>
      <c r="C461" s="20" t="s">
        <v>2174</v>
      </c>
      <c r="D461" s="21"/>
      <c r="E461" s="22" t="s">
        <v>2175</v>
      </c>
      <c r="H461" s="23" t="s">
        <v>960</v>
      </c>
      <c r="I461" s="21"/>
      <c r="J461" s="25"/>
      <c r="K461" s="26" t="s">
        <v>44</v>
      </c>
      <c r="L461" s="16"/>
      <c r="M461" s="21"/>
    </row>
    <row r="462">
      <c r="A462" s="28">
        <v>46232.0</v>
      </c>
      <c r="B462" s="16" t="s">
        <v>2176</v>
      </c>
      <c r="C462" s="20" t="s">
        <v>2177</v>
      </c>
      <c r="D462" s="21"/>
      <c r="E462" s="22" t="s">
        <v>2178</v>
      </c>
      <c r="H462" s="23" t="s">
        <v>48</v>
      </c>
      <c r="I462" s="21"/>
      <c r="J462" s="25"/>
      <c r="K462" s="26" t="s">
        <v>44</v>
      </c>
      <c r="L462" s="16"/>
      <c r="M462" s="21"/>
    </row>
    <row r="463">
      <c r="A463" s="28">
        <v>46232.0</v>
      </c>
      <c r="B463" s="16" t="s">
        <v>2179</v>
      </c>
      <c r="C463" s="20" t="s">
        <v>2180</v>
      </c>
      <c r="D463" s="21"/>
      <c r="E463" s="22" t="s">
        <v>2181</v>
      </c>
      <c r="H463" s="23" t="s">
        <v>1534</v>
      </c>
      <c r="I463" s="21"/>
      <c r="J463" s="25"/>
      <c r="K463" s="26" t="s">
        <v>44</v>
      </c>
      <c r="L463" s="16"/>
      <c r="M463" s="21"/>
    </row>
    <row r="464">
      <c r="A464" s="28">
        <v>46232.0</v>
      </c>
      <c r="B464" s="16" t="s">
        <v>2182</v>
      </c>
      <c r="C464" s="20" t="s">
        <v>2183</v>
      </c>
      <c r="D464" s="21"/>
      <c r="E464" s="22" t="s">
        <v>2184</v>
      </c>
      <c r="H464" s="23" t="s">
        <v>1534</v>
      </c>
      <c r="I464" s="21"/>
      <c r="J464" s="25"/>
      <c r="K464" s="26" t="s">
        <v>44</v>
      </c>
      <c r="L464" s="16"/>
      <c r="M464" s="21"/>
    </row>
    <row r="465">
      <c r="A465" s="28">
        <v>46232.0</v>
      </c>
      <c r="B465" s="16" t="s">
        <v>2185</v>
      </c>
      <c r="C465" s="20" t="s">
        <v>2186</v>
      </c>
      <c r="D465" s="21"/>
      <c r="E465" s="22" t="s">
        <v>2187</v>
      </c>
      <c r="H465" s="23" t="s">
        <v>48</v>
      </c>
      <c r="I465" s="21"/>
      <c r="J465" s="25"/>
      <c r="K465" s="26" t="s">
        <v>44</v>
      </c>
      <c r="L465" s="16"/>
      <c r="M465" s="21"/>
    </row>
    <row r="466">
      <c r="A466" s="28">
        <v>46232.0</v>
      </c>
      <c r="B466" s="16" t="s">
        <v>2188</v>
      </c>
      <c r="C466" s="20" t="s">
        <v>2189</v>
      </c>
      <c r="D466" s="21"/>
      <c r="E466" s="22" t="s">
        <v>2190</v>
      </c>
      <c r="H466" s="23" t="s">
        <v>1327</v>
      </c>
      <c r="I466" s="21"/>
      <c r="J466" s="25"/>
      <c r="K466" s="26" t="s">
        <v>44</v>
      </c>
      <c r="L466" s="16"/>
      <c r="M466" s="21"/>
    </row>
    <row r="467">
      <c r="A467" s="28">
        <v>46232.0</v>
      </c>
      <c r="B467" s="16" t="s">
        <v>2191</v>
      </c>
      <c r="C467" s="20" t="s">
        <v>2192</v>
      </c>
      <c r="D467" s="21"/>
      <c r="E467" s="22" t="s">
        <v>2193</v>
      </c>
      <c r="H467" s="23" t="s">
        <v>57</v>
      </c>
      <c r="I467" s="21"/>
      <c r="J467" s="25"/>
      <c r="K467" s="26" t="s">
        <v>44</v>
      </c>
      <c r="L467" s="16"/>
      <c r="M467" s="21"/>
    </row>
    <row r="468">
      <c r="A468" s="28">
        <v>46232.0</v>
      </c>
      <c r="B468" s="16" t="s">
        <v>2194</v>
      </c>
      <c r="C468" s="20" t="s">
        <v>2195</v>
      </c>
      <c r="D468" s="21"/>
      <c r="E468" s="22" t="s">
        <v>2196</v>
      </c>
      <c r="H468" s="23" t="s">
        <v>1534</v>
      </c>
      <c r="I468" s="21"/>
      <c r="J468" s="25"/>
      <c r="K468" s="26" t="s">
        <v>44</v>
      </c>
      <c r="L468" s="16"/>
      <c r="M468" s="21"/>
    </row>
    <row r="469">
      <c r="A469" s="28">
        <v>46232.0</v>
      </c>
      <c r="B469" s="16" t="s">
        <v>2197</v>
      </c>
      <c r="C469" s="20" t="s">
        <v>2198</v>
      </c>
      <c r="D469" s="21"/>
      <c r="E469" s="22" t="s">
        <v>2199</v>
      </c>
      <c r="H469" s="23" t="s">
        <v>2200</v>
      </c>
      <c r="I469" s="21"/>
      <c r="J469" s="25"/>
      <c r="K469" s="26" t="s">
        <v>44</v>
      </c>
      <c r="L469" s="16"/>
      <c r="M469" s="21"/>
    </row>
    <row r="470">
      <c r="A470" s="28">
        <v>46232.0</v>
      </c>
      <c r="B470" s="16" t="s">
        <v>2201</v>
      </c>
      <c r="C470" s="20" t="s">
        <v>2202</v>
      </c>
      <c r="D470" s="21"/>
      <c r="E470" s="22" t="s">
        <v>2203</v>
      </c>
      <c r="H470" s="23" t="s">
        <v>48</v>
      </c>
      <c r="I470" s="21"/>
      <c r="J470" s="25"/>
      <c r="K470" s="26" t="s">
        <v>44</v>
      </c>
      <c r="L470" s="16"/>
      <c r="M470" s="21"/>
    </row>
    <row r="471">
      <c r="A471" s="28">
        <v>46232.0</v>
      </c>
      <c r="B471" s="16" t="s">
        <v>2204</v>
      </c>
      <c r="C471" s="20" t="s">
        <v>2205</v>
      </c>
      <c r="D471" s="21"/>
      <c r="E471" s="22" t="s">
        <v>2206</v>
      </c>
      <c r="H471" s="23" t="s">
        <v>57</v>
      </c>
      <c r="I471" s="21"/>
      <c r="J471" s="25"/>
      <c r="K471" s="26" t="s">
        <v>44</v>
      </c>
      <c r="L471" s="16"/>
      <c r="M471" s="21"/>
    </row>
    <row r="472">
      <c r="A472" s="28">
        <v>46232.0</v>
      </c>
      <c r="B472" s="16" t="s">
        <v>2207</v>
      </c>
      <c r="C472" s="20" t="s">
        <v>2208</v>
      </c>
      <c r="D472" s="21"/>
      <c r="E472" s="22" t="s">
        <v>2209</v>
      </c>
      <c r="H472" s="23" t="s">
        <v>48</v>
      </c>
      <c r="I472" s="21"/>
      <c r="J472" s="25"/>
      <c r="K472" s="26" t="s">
        <v>44</v>
      </c>
      <c r="L472" s="16"/>
      <c r="M472" s="21"/>
    </row>
    <row r="473">
      <c r="A473" s="28">
        <v>46232.0</v>
      </c>
      <c r="B473" s="16" t="s">
        <v>2210</v>
      </c>
      <c r="C473" s="20" t="s">
        <v>2211</v>
      </c>
      <c r="D473" s="21"/>
      <c r="E473" s="22" t="s">
        <v>2212</v>
      </c>
      <c r="H473" s="23" t="s">
        <v>42</v>
      </c>
      <c r="I473" s="21"/>
      <c r="J473" s="25"/>
      <c r="K473" s="26" t="s">
        <v>44</v>
      </c>
      <c r="L473" s="16"/>
      <c r="M473" s="21"/>
    </row>
    <row r="474">
      <c r="A474" s="28">
        <v>46232.0</v>
      </c>
      <c r="B474" s="16" t="s">
        <v>2213</v>
      </c>
      <c r="C474" s="20" t="s">
        <v>2214</v>
      </c>
      <c r="D474" s="21"/>
      <c r="E474" s="22" t="s">
        <v>2215</v>
      </c>
      <c r="H474" s="23" t="s">
        <v>2216</v>
      </c>
      <c r="I474" s="21"/>
      <c r="J474" s="25"/>
      <c r="K474" s="26" t="s">
        <v>44</v>
      </c>
      <c r="L474" s="16"/>
      <c r="M474" s="21"/>
    </row>
    <row r="475">
      <c r="A475" s="28">
        <v>46232.0</v>
      </c>
      <c r="B475" s="16" t="s">
        <v>2217</v>
      </c>
      <c r="C475" s="20" t="s">
        <v>2218</v>
      </c>
      <c r="D475" s="21"/>
      <c r="E475" s="22" t="s">
        <v>2219</v>
      </c>
      <c r="H475" s="23" t="s">
        <v>2220</v>
      </c>
      <c r="I475" s="21"/>
      <c r="J475" s="25"/>
      <c r="K475" s="26" t="s">
        <v>44</v>
      </c>
      <c r="L475" s="16"/>
      <c r="M475" s="21"/>
    </row>
    <row r="476">
      <c r="A476" s="28">
        <v>46232.0</v>
      </c>
      <c r="B476" s="16" t="s">
        <v>2221</v>
      </c>
      <c r="C476" s="20" t="s">
        <v>2222</v>
      </c>
      <c r="D476" s="21"/>
      <c r="E476" s="22" t="s">
        <v>2223</v>
      </c>
      <c r="H476" s="23" t="s">
        <v>2224</v>
      </c>
      <c r="I476" s="21"/>
      <c r="J476" s="25"/>
      <c r="K476" s="26" t="s">
        <v>44</v>
      </c>
      <c r="L476" s="16"/>
      <c r="M476" s="21"/>
    </row>
    <row r="477">
      <c r="A477" s="28">
        <v>46232.0</v>
      </c>
      <c r="B477" s="16" t="s">
        <v>2225</v>
      </c>
      <c r="C477" s="20" t="s">
        <v>2226</v>
      </c>
      <c r="D477" s="21"/>
      <c r="E477" s="22" t="s">
        <v>2227</v>
      </c>
      <c r="H477" s="23" t="s">
        <v>2228</v>
      </c>
      <c r="I477" s="21"/>
      <c r="J477" s="25"/>
      <c r="K477" s="26" t="s">
        <v>44</v>
      </c>
      <c r="L477" s="16"/>
      <c r="M477" s="21"/>
    </row>
    <row r="478">
      <c r="A478" s="28">
        <v>46232.0</v>
      </c>
      <c r="B478" s="16" t="s">
        <v>2229</v>
      </c>
      <c r="C478" s="20" t="s">
        <v>2230</v>
      </c>
      <c r="D478" s="21"/>
      <c r="E478" s="22" t="s">
        <v>2231</v>
      </c>
      <c r="H478" s="23" t="s">
        <v>2220</v>
      </c>
      <c r="I478" s="21"/>
      <c r="J478" s="25"/>
      <c r="K478" s="26" t="s">
        <v>44</v>
      </c>
      <c r="L478" s="16"/>
      <c r="M478" s="21"/>
    </row>
    <row r="479">
      <c r="A479" s="28">
        <v>46232.0</v>
      </c>
      <c r="B479" s="16" t="s">
        <v>2232</v>
      </c>
      <c r="C479" s="20" t="s">
        <v>2233</v>
      </c>
      <c r="D479" s="21"/>
      <c r="E479" s="22" t="s">
        <v>2234</v>
      </c>
      <c r="H479" s="23" t="s">
        <v>84</v>
      </c>
      <c r="I479" s="21"/>
      <c r="J479" s="25"/>
      <c r="K479" s="26" t="s">
        <v>44</v>
      </c>
      <c r="L479" s="16"/>
      <c r="M479" s="21"/>
    </row>
    <row r="480">
      <c r="A480" s="28">
        <v>46232.0</v>
      </c>
      <c r="B480" s="16" t="s">
        <v>2235</v>
      </c>
      <c r="C480" s="20" t="s">
        <v>2236</v>
      </c>
      <c r="D480" s="21"/>
      <c r="E480" s="22" t="s">
        <v>2237</v>
      </c>
      <c r="H480" s="23" t="s">
        <v>2238</v>
      </c>
      <c r="I480" s="21"/>
      <c r="J480" s="25"/>
      <c r="K480" s="26" t="s">
        <v>44</v>
      </c>
      <c r="L480" s="16"/>
      <c r="M480" s="21"/>
    </row>
    <row r="481">
      <c r="A481" s="28">
        <v>46232.0</v>
      </c>
      <c r="B481" s="16" t="s">
        <v>2239</v>
      </c>
      <c r="C481" s="20" t="s">
        <v>2240</v>
      </c>
      <c r="D481" s="21"/>
      <c r="E481" s="22" t="s">
        <v>2241</v>
      </c>
      <c r="H481" s="23" t="s">
        <v>111</v>
      </c>
      <c r="I481" s="21"/>
      <c r="J481" s="25"/>
      <c r="K481" s="26" t="s">
        <v>44</v>
      </c>
      <c r="L481" s="16"/>
      <c r="M481" s="21"/>
    </row>
    <row r="482">
      <c r="A482" s="28">
        <v>46232.0</v>
      </c>
      <c r="B482" s="16" t="s">
        <v>2242</v>
      </c>
      <c r="C482" s="20" t="s">
        <v>2243</v>
      </c>
      <c r="D482" s="21"/>
      <c r="E482" s="22" t="s">
        <v>2244</v>
      </c>
      <c r="H482" s="23" t="s">
        <v>536</v>
      </c>
      <c r="I482" s="21"/>
      <c r="J482" s="25"/>
      <c r="K482" s="26" t="s">
        <v>44</v>
      </c>
      <c r="L482" s="16"/>
      <c r="M482" s="21"/>
    </row>
    <row r="483">
      <c r="A483" s="28">
        <v>46232.0</v>
      </c>
      <c r="B483" s="16" t="s">
        <v>2245</v>
      </c>
      <c r="C483" s="20" t="s">
        <v>2246</v>
      </c>
      <c r="D483" s="21"/>
      <c r="E483" s="22" t="s">
        <v>2247</v>
      </c>
      <c r="H483" s="23" t="s">
        <v>1246</v>
      </c>
      <c r="I483" s="21"/>
      <c r="J483" s="25"/>
      <c r="K483" s="26" t="s">
        <v>44</v>
      </c>
      <c r="L483" s="16"/>
      <c r="M483" s="21"/>
    </row>
    <row r="484">
      <c r="A484" s="28">
        <v>46232.0</v>
      </c>
      <c r="B484" s="16" t="s">
        <v>2248</v>
      </c>
      <c r="C484" s="20" t="s">
        <v>2249</v>
      </c>
      <c r="D484" s="21"/>
      <c r="E484" s="22" t="s">
        <v>2250</v>
      </c>
      <c r="H484" s="23" t="s">
        <v>2251</v>
      </c>
      <c r="I484" s="21"/>
      <c r="J484" s="25"/>
      <c r="K484" s="26" t="s">
        <v>44</v>
      </c>
      <c r="L484" s="16"/>
      <c r="M484" s="21"/>
    </row>
    <row r="485">
      <c r="A485" s="28">
        <v>46232.0</v>
      </c>
      <c r="B485" s="16" t="s">
        <v>2252</v>
      </c>
      <c r="C485" s="20" t="s">
        <v>2253</v>
      </c>
      <c r="D485" s="21"/>
      <c r="E485" s="22" t="s">
        <v>2254</v>
      </c>
      <c r="H485" s="23" t="s">
        <v>1693</v>
      </c>
      <c r="I485" s="21"/>
      <c r="J485" s="25"/>
      <c r="K485" s="26" t="s">
        <v>44</v>
      </c>
      <c r="L485" s="16"/>
      <c r="M485" s="21"/>
    </row>
    <row r="486">
      <c r="A486" s="28">
        <v>46232.0</v>
      </c>
      <c r="B486" s="16" t="s">
        <v>2255</v>
      </c>
      <c r="C486" s="20" t="s">
        <v>2256</v>
      </c>
      <c r="D486" s="21"/>
      <c r="E486" s="22" t="s">
        <v>2257</v>
      </c>
      <c r="H486" s="23" t="s">
        <v>2113</v>
      </c>
      <c r="I486" s="21"/>
      <c r="J486" s="25"/>
      <c r="K486" s="26" t="s">
        <v>44</v>
      </c>
      <c r="L486" s="16"/>
      <c r="M486" s="21"/>
    </row>
    <row r="487">
      <c r="A487" s="28">
        <v>46232.0</v>
      </c>
      <c r="B487" s="16" t="s">
        <v>2258</v>
      </c>
      <c r="C487" s="20" t="s">
        <v>2259</v>
      </c>
      <c r="D487" s="21"/>
      <c r="E487" s="22" t="s">
        <v>2260</v>
      </c>
      <c r="H487" s="23" t="s">
        <v>69</v>
      </c>
      <c r="I487" s="21"/>
      <c r="J487" s="25"/>
      <c r="K487" s="26" t="s">
        <v>44</v>
      </c>
      <c r="L487" s="16"/>
      <c r="M487" s="21"/>
    </row>
    <row r="488">
      <c r="A488" s="28">
        <v>46232.0</v>
      </c>
      <c r="B488" s="16" t="s">
        <v>2261</v>
      </c>
      <c r="C488" s="46" t="s">
        <v>2262</v>
      </c>
      <c r="D488" s="21"/>
      <c r="E488" s="22" t="s">
        <v>2263</v>
      </c>
      <c r="H488" s="23" t="s">
        <v>1742</v>
      </c>
      <c r="I488" s="21"/>
      <c r="J488" s="25"/>
      <c r="K488" s="26" t="s">
        <v>44</v>
      </c>
      <c r="L488" s="16"/>
      <c r="M488" s="21"/>
    </row>
    <row r="489">
      <c r="A489" s="28">
        <v>46232.0</v>
      </c>
      <c r="B489" s="16" t="s">
        <v>2264</v>
      </c>
      <c r="C489" s="20" t="s">
        <v>2265</v>
      </c>
      <c r="D489" s="21"/>
      <c r="E489" s="22" t="s">
        <v>2266</v>
      </c>
      <c r="H489" s="23" t="s">
        <v>2268</v>
      </c>
      <c r="I489" s="21"/>
      <c r="J489" s="25"/>
      <c r="K489" s="26" t="s">
        <v>44</v>
      </c>
      <c r="L489" s="16"/>
      <c r="M489" s="21"/>
    </row>
    <row r="490">
      <c r="A490" s="28">
        <v>46232.0</v>
      </c>
      <c r="B490" s="16" t="s">
        <v>2277</v>
      </c>
      <c r="C490" s="20" t="s">
        <v>2279</v>
      </c>
      <c r="D490" s="21"/>
      <c r="E490" s="22" t="s">
        <v>2282</v>
      </c>
      <c r="H490" s="23" t="s">
        <v>2283</v>
      </c>
      <c r="I490" s="21"/>
      <c r="J490" s="25"/>
      <c r="K490" s="26" t="s">
        <v>44</v>
      </c>
      <c r="L490" s="16"/>
      <c r="M490" s="21"/>
    </row>
    <row r="491">
      <c r="A491" s="28">
        <v>46232.0</v>
      </c>
      <c r="B491" s="16" t="s">
        <v>2284</v>
      </c>
      <c r="C491" s="20" t="s">
        <v>2285</v>
      </c>
      <c r="D491" s="21"/>
      <c r="E491" s="22" t="s">
        <v>2286</v>
      </c>
      <c r="H491" s="23" t="s">
        <v>2287</v>
      </c>
      <c r="I491" s="21"/>
      <c r="J491" s="25"/>
      <c r="K491" s="26" t="s">
        <v>44</v>
      </c>
      <c r="L491" s="16"/>
      <c r="M491" s="21"/>
    </row>
    <row r="492">
      <c r="A492" s="28">
        <v>46232.0</v>
      </c>
      <c r="B492" s="16" t="s">
        <v>2288</v>
      </c>
      <c r="C492" s="20" t="s">
        <v>2289</v>
      </c>
      <c r="D492" s="21"/>
      <c r="E492" s="22" t="s">
        <v>2290</v>
      </c>
      <c r="H492" s="23" t="s">
        <v>2113</v>
      </c>
      <c r="I492" s="21"/>
      <c r="J492" s="25"/>
      <c r="K492" s="26" t="s">
        <v>44</v>
      </c>
      <c r="L492" s="16"/>
      <c r="M492" s="21"/>
    </row>
    <row r="493">
      <c r="A493" s="28">
        <v>46232.0</v>
      </c>
      <c r="B493" s="16" t="s">
        <v>2292</v>
      </c>
      <c r="C493" s="20" t="s">
        <v>2293</v>
      </c>
      <c r="D493" s="21"/>
      <c r="E493" s="22" t="s">
        <v>2294</v>
      </c>
      <c r="H493" s="23" t="s">
        <v>622</v>
      </c>
      <c r="I493" s="21"/>
      <c r="J493" s="25"/>
      <c r="K493" s="26" t="s">
        <v>44</v>
      </c>
      <c r="L493" s="16"/>
      <c r="M493" s="21"/>
    </row>
    <row r="494">
      <c r="A494" s="28">
        <v>46232.0</v>
      </c>
      <c r="B494" s="16" t="s">
        <v>2297</v>
      </c>
      <c r="C494" s="20" t="s">
        <v>2298</v>
      </c>
      <c r="D494" s="21"/>
      <c r="E494" s="22" t="s">
        <v>2299</v>
      </c>
      <c r="H494" s="23" t="s">
        <v>299</v>
      </c>
      <c r="I494" s="21"/>
      <c r="J494" s="25"/>
      <c r="K494" s="26" t="s">
        <v>44</v>
      </c>
      <c r="L494" s="16"/>
      <c r="M494" s="21"/>
    </row>
    <row r="495">
      <c r="A495" s="28">
        <v>46232.0</v>
      </c>
      <c r="B495" s="16" t="s">
        <v>2305</v>
      </c>
      <c r="C495" s="20" t="s">
        <v>2306</v>
      </c>
      <c r="D495" s="21"/>
      <c r="E495" s="22" t="s">
        <v>2308</v>
      </c>
      <c r="H495" s="23" t="s">
        <v>1093</v>
      </c>
      <c r="I495" s="21"/>
      <c r="J495" s="25"/>
      <c r="K495" s="26" t="s">
        <v>44</v>
      </c>
      <c r="L495" s="16"/>
      <c r="M495" s="21"/>
    </row>
    <row r="496">
      <c r="A496" s="28">
        <v>46232.0</v>
      </c>
      <c r="B496" s="16" t="s">
        <v>2309</v>
      </c>
      <c r="C496" s="20" t="s">
        <v>2310</v>
      </c>
      <c r="D496" s="21"/>
      <c r="E496" s="22" t="s">
        <v>2311</v>
      </c>
      <c r="H496" s="23" t="s">
        <v>2312</v>
      </c>
      <c r="I496" s="21"/>
      <c r="J496" s="25"/>
      <c r="K496" s="26" t="s">
        <v>44</v>
      </c>
      <c r="L496" s="16"/>
      <c r="M496" s="21"/>
    </row>
    <row r="497">
      <c r="A497" s="28">
        <v>46232.0</v>
      </c>
      <c r="B497" s="16" t="s">
        <v>2313</v>
      </c>
      <c r="C497" s="20" t="s">
        <v>2314</v>
      </c>
      <c r="D497" s="21"/>
      <c r="E497" s="22" t="s">
        <v>2315</v>
      </c>
      <c r="H497" s="23" t="s">
        <v>713</v>
      </c>
      <c r="I497" s="21"/>
      <c r="J497" s="25"/>
      <c r="K497" s="26" t="s">
        <v>44</v>
      </c>
      <c r="L497" s="16"/>
      <c r="M497" s="21"/>
    </row>
    <row r="498">
      <c r="A498" s="28">
        <v>46232.0</v>
      </c>
      <c r="B498" s="16" t="s">
        <v>2316</v>
      </c>
      <c r="C498" s="20" t="s">
        <v>2317</v>
      </c>
      <c r="D498" s="21"/>
      <c r="E498" s="22" t="s">
        <v>2318</v>
      </c>
      <c r="H498" s="23" t="s">
        <v>299</v>
      </c>
      <c r="I498" s="21"/>
      <c r="J498" s="25"/>
      <c r="K498" s="26" t="s">
        <v>44</v>
      </c>
      <c r="L498" s="16"/>
      <c r="M498" s="21"/>
    </row>
    <row r="499">
      <c r="A499" s="28">
        <v>46232.0</v>
      </c>
      <c r="B499" s="16" t="s">
        <v>2319</v>
      </c>
      <c r="C499" s="20" t="s">
        <v>2320</v>
      </c>
      <c r="D499" s="21"/>
      <c r="E499" s="22" t="s">
        <v>2321</v>
      </c>
      <c r="H499" s="23" t="s">
        <v>148</v>
      </c>
      <c r="I499" s="21"/>
      <c r="J499" s="25"/>
      <c r="K499" s="26" t="s">
        <v>44</v>
      </c>
      <c r="L499" s="16"/>
      <c r="M499" s="21"/>
    </row>
    <row r="500">
      <c r="A500" s="28">
        <v>46232.0</v>
      </c>
      <c r="B500" s="16" t="s">
        <v>2322</v>
      </c>
      <c r="C500" s="20" t="s">
        <v>2323</v>
      </c>
      <c r="D500" s="21"/>
      <c r="E500" s="22" t="s">
        <v>2324</v>
      </c>
      <c r="H500" s="23" t="s">
        <v>80</v>
      </c>
      <c r="I500" s="21"/>
      <c r="J500" s="25"/>
      <c r="K500" s="26" t="s">
        <v>44</v>
      </c>
      <c r="L500" s="16"/>
      <c r="M500" s="21"/>
    </row>
    <row r="501">
      <c r="A501" s="28">
        <v>46232.0</v>
      </c>
      <c r="B501" s="16" t="s">
        <v>2325</v>
      </c>
      <c r="C501" s="20" t="s">
        <v>2326</v>
      </c>
      <c r="D501" s="21"/>
      <c r="E501" s="22" t="s">
        <v>2327</v>
      </c>
      <c r="H501" s="23" t="s">
        <v>1727</v>
      </c>
      <c r="I501" s="21"/>
      <c r="J501" s="25"/>
      <c r="K501" s="26" t="s">
        <v>44</v>
      </c>
      <c r="L501" s="16"/>
      <c r="M501" s="21"/>
    </row>
    <row r="502">
      <c r="A502" s="28">
        <v>46232.0</v>
      </c>
      <c r="B502" s="16" t="s">
        <v>2328</v>
      </c>
      <c r="C502" s="20" t="s">
        <v>2329</v>
      </c>
      <c r="D502" s="21"/>
      <c r="E502" s="22" t="s">
        <v>2330</v>
      </c>
      <c r="H502" s="23" t="s">
        <v>936</v>
      </c>
      <c r="I502" s="21"/>
      <c r="J502" s="25"/>
      <c r="K502" s="26" t="s">
        <v>44</v>
      </c>
      <c r="L502" s="16"/>
      <c r="M502" s="21"/>
    </row>
    <row r="503">
      <c r="A503" s="28">
        <v>46232.0</v>
      </c>
      <c r="B503" s="16" t="s">
        <v>2331</v>
      </c>
      <c r="C503" s="20" t="s">
        <v>2332</v>
      </c>
      <c r="D503" s="21"/>
      <c r="E503" s="22" t="s">
        <v>2333</v>
      </c>
      <c r="H503" s="23" t="s">
        <v>2334</v>
      </c>
      <c r="I503" s="21"/>
      <c r="J503" s="25"/>
      <c r="K503" s="26" t="s">
        <v>44</v>
      </c>
      <c r="L503" s="16"/>
      <c r="M503" s="21"/>
    </row>
    <row r="504">
      <c r="A504" s="28">
        <v>46232.0</v>
      </c>
      <c r="B504" s="16" t="s">
        <v>2335</v>
      </c>
      <c r="C504" s="20" t="s">
        <v>2336</v>
      </c>
      <c r="D504" s="21"/>
      <c r="E504" s="22" t="s">
        <v>2337</v>
      </c>
      <c r="H504" s="23" t="s">
        <v>2338</v>
      </c>
      <c r="I504" s="21"/>
      <c r="J504" s="25"/>
      <c r="K504" s="26" t="s">
        <v>44</v>
      </c>
      <c r="L504" s="16"/>
      <c r="M504" s="21"/>
    </row>
    <row r="505">
      <c r="A505" s="28">
        <v>46232.0</v>
      </c>
      <c r="B505" s="16" t="s">
        <v>2339</v>
      </c>
      <c r="C505" s="20" t="s">
        <v>2340</v>
      </c>
      <c r="D505" s="21"/>
      <c r="E505" s="22" t="s">
        <v>2341</v>
      </c>
      <c r="H505" s="23" t="s">
        <v>2342</v>
      </c>
      <c r="I505" s="21"/>
      <c r="J505" s="25"/>
      <c r="K505" s="26" t="s">
        <v>44</v>
      </c>
      <c r="L505" s="16"/>
      <c r="M505" s="21"/>
    </row>
    <row r="506">
      <c r="A506" s="28">
        <v>46232.0</v>
      </c>
      <c r="B506" s="16" t="s">
        <v>2343</v>
      </c>
      <c r="C506" s="20" t="s">
        <v>2344</v>
      </c>
      <c r="D506" s="21"/>
      <c r="E506" s="22" t="s">
        <v>2345</v>
      </c>
      <c r="H506" s="23" t="s">
        <v>1217</v>
      </c>
      <c r="I506" s="21"/>
      <c r="J506" s="25"/>
      <c r="K506" s="26" t="s">
        <v>44</v>
      </c>
      <c r="L506" s="16"/>
      <c r="M506" s="21"/>
    </row>
    <row r="507">
      <c r="A507" s="28">
        <v>46232.0</v>
      </c>
      <c r="B507" s="16" t="s">
        <v>2346</v>
      </c>
      <c r="C507" s="20" t="s">
        <v>2347</v>
      </c>
      <c r="D507" s="21"/>
      <c r="E507" s="22" t="s">
        <v>2348</v>
      </c>
      <c r="H507" s="23" t="s">
        <v>2349</v>
      </c>
      <c r="I507" s="21"/>
      <c r="J507" s="25"/>
      <c r="K507" s="26" t="s">
        <v>44</v>
      </c>
      <c r="L507" s="16"/>
      <c r="M507" s="21"/>
    </row>
    <row r="508">
      <c r="A508" s="28">
        <v>46232.0</v>
      </c>
      <c r="B508" s="16" t="s">
        <v>2350</v>
      </c>
      <c r="C508" s="20" t="s">
        <v>2351</v>
      </c>
      <c r="D508" s="21"/>
      <c r="E508" s="22" t="s">
        <v>2352</v>
      </c>
      <c r="H508" s="23" t="s">
        <v>2353</v>
      </c>
      <c r="I508" s="21"/>
      <c r="J508" s="25"/>
      <c r="K508" s="26" t="s">
        <v>44</v>
      </c>
      <c r="L508" s="16"/>
      <c r="M508" s="21"/>
    </row>
    <row r="509">
      <c r="A509" s="28">
        <v>46232.0</v>
      </c>
      <c r="B509" s="16" t="s">
        <v>2354</v>
      </c>
      <c r="C509" s="20" t="s">
        <v>2355</v>
      </c>
      <c r="D509" s="21"/>
      <c r="E509" s="22" t="s">
        <v>2356</v>
      </c>
      <c r="H509" s="23" t="s">
        <v>48</v>
      </c>
      <c r="I509" s="21"/>
      <c r="J509" s="25"/>
      <c r="K509" s="26" t="s">
        <v>44</v>
      </c>
      <c r="L509" s="16"/>
      <c r="M509" s="21"/>
    </row>
    <row r="510">
      <c r="A510" s="28">
        <v>46232.0</v>
      </c>
      <c r="B510" s="16" t="s">
        <v>2357</v>
      </c>
      <c r="C510" s="20" t="s">
        <v>2358</v>
      </c>
      <c r="D510" s="21"/>
      <c r="E510" s="22" t="s">
        <v>2359</v>
      </c>
      <c r="H510" s="23" t="s">
        <v>713</v>
      </c>
      <c r="I510" s="21"/>
      <c r="J510" s="25"/>
      <c r="K510" s="26" t="s">
        <v>44</v>
      </c>
      <c r="L510" s="16"/>
      <c r="M510" s="21"/>
    </row>
    <row r="511">
      <c r="A511" s="28">
        <v>46232.0</v>
      </c>
      <c r="B511" s="16" t="s">
        <v>2360</v>
      </c>
      <c r="C511" s="20" t="s">
        <v>2361</v>
      </c>
      <c r="D511" s="21"/>
      <c r="E511" s="22" t="s">
        <v>2362</v>
      </c>
      <c r="H511" s="23" t="s">
        <v>2363</v>
      </c>
      <c r="I511" s="21"/>
      <c r="J511" s="25"/>
      <c r="K511" s="26" t="s">
        <v>44</v>
      </c>
      <c r="L511" s="16"/>
      <c r="M511" s="21"/>
    </row>
    <row r="512">
      <c r="A512" s="28">
        <v>46232.0</v>
      </c>
      <c r="B512" s="16" t="s">
        <v>2364</v>
      </c>
      <c r="C512" s="20" t="s">
        <v>2365</v>
      </c>
      <c r="D512" s="21"/>
      <c r="E512" s="22" t="s">
        <v>2366</v>
      </c>
      <c r="H512" s="23" t="s">
        <v>69</v>
      </c>
      <c r="I512" s="21"/>
      <c r="J512" s="25"/>
      <c r="K512" s="26" t="s">
        <v>44</v>
      </c>
      <c r="L512" s="16"/>
      <c r="M512" s="21"/>
    </row>
    <row r="513">
      <c r="A513" s="28">
        <v>46232.0</v>
      </c>
      <c r="B513" s="16" t="s">
        <v>2367</v>
      </c>
      <c r="C513" s="20" t="s">
        <v>2368</v>
      </c>
      <c r="D513" s="21"/>
      <c r="E513" s="22" t="s">
        <v>2369</v>
      </c>
      <c r="H513" s="23" t="s">
        <v>48</v>
      </c>
      <c r="I513" s="21"/>
      <c r="J513" s="25"/>
      <c r="K513" s="26" t="s">
        <v>44</v>
      </c>
      <c r="L513" s="16"/>
      <c r="M513" s="21"/>
    </row>
    <row r="514">
      <c r="A514" s="28">
        <v>46232.0</v>
      </c>
      <c r="B514" s="16" t="s">
        <v>2370</v>
      </c>
      <c r="C514" s="20" t="s">
        <v>2371</v>
      </c>
      <c r="D514" s="21"/>
      <c r="E514" s="22" t="s">
        <v>2372</v>
      </c>
      <c r="H514" s="23" t="s">
        <v>652</v>
      </c>
      <c r="I514" s="21"/>
      <c r="J514" s="25"/>
      <c r="K514" s="26" t="s">
        <v>44</v>
      </c>
      <c r="L514" s="16"/>
      <c r="M514" s="21"/>
    </row>
    <row r="515">
      <c r="A515" s="28">
        <v>46232.0</v>
      </c>
      <c r="B515" s="16" t="s">
        <v>2373</v>
      </c>
      <c r="C515" s="20" t="s">
        <v>2374</v>
      </c>
      <c r="D515" s="21"/>
      <c r="E515" s="22" t="s">
        <v>2375</v>
      </c>
      <c r="H515" s="23" t="s">
        <v>69</v>
      </c>
      <c r="I515" s="21"/>
      <c r="J515" s="25"/>
      <c r="K515" s="26" t="s">
        <v>44</v>
      </c>
      <c r="L515" s="16"/>
      <c r="M515" s="21"/>
    </row>
    <row r="516">
      <c r="A516" s="28">
        <v>46232.0</v>
      </c>
      <c r="B516" s="16" t="s">
        <v>2376</v>
      </c>
      <c r="C516" s="20" t="s">
        <v>2377</v>
      </c>
      <c r="D516" s="21"/>
      <c r="E516" s="22" t="s">
        <v>2378</v>
      </c>
      <c r="H516" s="23" t="s">
        <v>1963</v>
      </c>
      <c r="I516" s="21"/>
      <c r="J516" s="25"/>
      <c r="K516" s="26" t="s">
        <v>44</v>
      </c>
      <c r="L516" s="16"/>
      <c r="M516" s="21"/>
    </row>
    <row r="517">
      <c r="A517" s="28">
        <v>46232.0</v>
      </c>
      <c r="B517" s="16" t="s">
        <v>2379</v>
      </c>
      <c r="C517" s="20" t="s">
        <v>2380</v>
      </c>
      <c r="D517" s="21"/>
      <c r="E517" s="22" t="s">
        <v>2381</v>
      </c>
      <c r="H517" s="23" t="s">
        <v>57</v>
      </c>
      <c r="I517" s="21"/>
      <c r="J517" s="25"/>
      <c r="K517" s="26" t="s">
        <v>44</v>
      </c>
      <c r="L517" s="16"/>
      <c r="M517" s="21"/>
    </row>
    <row r="518">
      <c r="A518" s="28">
        <v>46232.0</v>
      </c>
      <c r="B518" s="16" t="s">
        <v>2382</v>
      </c>
      <c r="C518" s="20" t="s">
        <v>2383</v>
      </c>
      <c r="D518" s="21"/>
      <c r="E518" s="22" t="s">
        <v>2384</v>
      </c>
      <c r="H518" s="23" t="s">
        <v>2113</v>
      </c>
      <c r="I518" s="21"/>
      <c r="J518" s="25"/>
      <c r="K518" s="26" t="s">
        <v>44</v>
      </c>
      <c r="L518" s="16"/>
      <c r="M518" s="21"/>
    </row>
    <row r="519">
      <c r="A519" s="28">
        <v>46232.0</v>
      </c>
      <c r="B519" s="16" t="s">
        <v>2385</v>
      </c>
      <c r="C519" s="20" t="s">
        <v>2386</v>
      </c>
      <c r="D519" s="21"/>
      <c r="E519" s="22" t="s">
        <v>2387</v>
      </c>
      <c r="H519" s="23" t="s">
        <v>69</v>
      </c>
      <c r="I519" s="21"/>
      <c r="J519" s="25"/>
      <c r="K519" s="26" t="s">
        <v>44</v>
      </c>
      <c r="L519" s="16"/>
      <c r="M519" s="21"/>
    </row>
    <row r="520">
      <c r="A520" s="28">
        <v>46232.0</v>
      </c>
      <c r="B520" s="16" t="s">
        <v>2388</v>
      </c>
      <c r="C520" s="20" t="s">
        <v>2389</v>
      </c>
      <c r="D520" s="21"/>
      <c r="E520" s="22" t="s">
        <v>2390</v>
      </c>
      <c r="H520" s="23" t="s">
        <v>1708</v>
      </c>
      <c r="I520" s="21"/>
      <c r="J520" s="25"/>
      <c r="K520" s="26" t="s">
        <v>44</v>
      </c>
      <c r="L520" s="16"/>
      <c r="M520" s="21"/>
    </row>
    <row r="521">
      <c r="A521" s="28">
        <v>46232.0</v>
      </c>
      <c r="B521" s="16" t="s">
        <v>2391</v>
      </c>
      <c r="C521" s="20" t="s">
        <v>2392</v>
      </c>
      <c r="D521" s="21"/>
      <c r="E521" s="22" t="s">
        <v>2393</v>
      </c>
      <c r="H521" s="23" t="s">
        <v>57</v>
      </c>
      <c r="I521" s="21"/>
      <c r="J521" s="25"/>
      <c r="K521" s="26" t="s">
        <v>44</v>
      </c>
      <c r="L521" s="16"/>
      <c r="M521" s="21"/>
    </row>
    <row r="522">
      <c r="A522" s="28">
        <v>46232.0</v>
      </c>
      <c r="B522" s="16" t="s">
        <v>2394</v>
      </c>
      <c r="C522" s="20" t="s">
        <v>2395</v>
      </c>
      <c r="D522" s="21"/>
      <c r="E522" s="22" t="s">
        <v>2396</v>
      </c>
      <c r="H522" s="23" t="s">
        <v>2397</v>
      </c>
      <c r="I522" s="21"/>
      <c r="J522" s="25"/>
      <c r="K522" s="26" t="s">
        <v>44</v>
      </c>
      <c r="L522" s="16"/>
      <c r="M522" s="21"/>
    </row>
    <row r="523">
      <c r="A523" s="28">
        <v>46232.0</v>
      </c>
      <c r="B523" s="16" t="s">
        <v>2398</v>
      </c>
      <c r="C523" s="20" t="s">
        <v>2399</v>
      </c>
      <c r="D523" s="21"/>
      <c r="E523" s="22" t="s">
        <v>2400</v>
      </c>
      <c r="H523" s="23" t="s">
        <v>48</v>
      </c>
      <c r="I523" s="21"/>
      <c r="J523" s="25"/>
      <c r="K523" s="26" t="s">
        <v>44</v>
      </c>
      <c r="L523" s="16"/>
      <c r="M523" s="21"/>
    </row>
    <row r="524">
      <c r="A524" s="28">
        <v>46232.0</v>
      </c>
      <c r="B524" s="16" t="s">
        <v>2401</v>
      </c>
      <c r="C524" s="20" t="s">
        <v>2402</v>
      </c>
      <c r="D524" s="21"/>
      <c r="E524" s="22" t="s">
        <v>2403</v>
      </c>
      <c r="H524" s="23" t="s">
        <v>2220</v>
      </c>
      <c r="I524" s="21"/>
      <c r="J524" s="25"/>
      <c r="K524" s="26" t="s">
        <v>44</v>
      </c>
      <c r="L524" s="16"/>
      <c r="M524" s="21"/>
    </row>
    <row r="525">
      <c r="A525" s="28">
        <v>46232.0</v>
      </c>
      <c r="B525" s="16" t="s">
        <v>2404</v>
      </c>
      <c r="C525" s="20" t="s">
        <v>2405</v>
      </c>
      <c r="D525" s="21"/>
      <c r="E525" s="22" t="s">
        <v>2406</v>
      </c>
      <c r="H525" s="23" t="s">
        <v>1686</v>
      </c>
      <c r="I525" s="21"/>
      <c r="J525" s="25"/>
      <c r="K525" s="26" t="s">
        <v>44</v>
      </c>
      <c r="L525" s="16"/>
      <c r="M525" s="21"/>
    </row>
    <row r="526">
      <c r="A526" s="28">
        <v>46232.0</v>
      </c>
      <c r="B526" s="16" t="s">
        <v>2407</v>
      </c>
      <c r="C526" s="20" t="s">
        <v>2408</v>
      </c>
      <c r="D526" s="21"/>
      <c r="E526" s="22" t="s">
        <v>2409</v>
      </c>
      <c r="H526" s="23" t="s">
        <v>127</v>
      </c>
      <c r="I526" s="21"/>
      <c r="J526" s="25"/>
      <c r="K526" s="26" t="s">
        <v>44</v>
      </c>
      <c r="L526" s="16"/>
      <c r="M526" s="21"/>
    </row>
    <row r="527">
      <c r="A527" s="28">
        <v>46232.0</v>
      </c>
      <c r="B527" s="16" t="s">
        <v>2410</v>
      </c>
      <c r="C527" s="20" t="s">
        <v>2411</v>
      </c>
      <c r="D527" s="21"/>
      <c r="E527" s="22" t="s">
        <v>2412</v>
      </c>
      <c r="H527" s="23" t="s">
        <v>2413</v>
      </c>
      <c r="I527" s="21"/>
      <c r="J527" s="25"/>
      <c r="K527" s="26" t="s">
        <v>44</v>
      </c>
      <c r="L527" s="16"/>
      <c r="M527" s="21"/>
    </row>
    <row r="528">
      <c r="A528" s="28">
        <v>46232.0</v>
      </c>
      <c r="B528" s="16" t="s">
        <v>2414</v>
      </c>
      <c r="C528" s="20" t="s">
        <v>2415</v>
      </c>
      <c r="D528" s="21"/>
      <c r="E528" s="22" t="s">
        <v>2416</v>
      </c>
      <c r="H528" s="23" t="s">
        <v>2417</v>
      </c>
      <c r="I528" s="21"/>
      <c r="J528" s="25"/>
      <c r="K528" s="26" t="s">
        <v>44</v>
      </c>
      <c r="L528" s="16"/>
      <c r="M528" s="21"/>
    </row>
    <row r="529">
      <c r="A529" s="28">
        <v>46232.0</v>
      </c>
      <c r="B529" s="16" t="s">
        <v>2418</v>
      </c>
      <c r="C529" s="20" t="s">
        <v>2419</v>
      </c>
      <c r="D529" s="21"/>
      <c r="E529" s="22" t="s">
        <v>2420</v>
      </c>
      <c r="H529" s="23" t="s">
        <v>404</v>
      </c>
      <c r="I529" s="21"/>
      <c r="J529" s="25"/>
      <c r="K529" s="26" t="s">
        <v>44</v>
      </c>
      <c r="L529" s="16"/>
      <c r="M529" s="21"/>
    </row>
    <row r="530">
      <c r="A530" s="28">
        <v>46232.0</v>
      </c>
      <c r="B530" s="16" t="s">
        <v>2421</v>
      </c>
      <c r="C530" s="20" t="s">
        <v>2422</v>
      </c>
      <c r="D530" s="21"/>
      <c r="E530" s="22" t="s">
        <v>2423</v>
      </c>
      <c r="H530" s="23" t="s">
        <v>57</v>
      </c>
      <c r="I530" s="21"/>
      <c r="J530" s="25"/>
      <c r="K530" s="26" t="s">
        <v>44</v>
      </c>
      <c r="L530" s="16"/>
      <c r="M530" s="21"/>
    </row>
    <row r="531">
      <c r="A531" s="28">
        <v>46232.0</v>
      </c>
      <c r="B531" s="16" t="s">
        <v>2424</v>
      </c>
      <c r="C531" s="20" t="s">
        <v>2425</v>
      </c>
      <c r="D531" s="21"/>
      <c r="E531" s="22" t="s">
        <v>2426</v>
      </c>
      <c r="H531" s="23" t="s">
        <v>1141</v>
      </c>
      <c r="I531" s="21"/>
      <c r="J531" s="25"/>
      <c r="K531" s="26" t="s">
        <v>44</v>
      </c>
      <c r="L531" s="16"/>
      <c r="M531" s="21"/>
    </row>
    <row r="532">
      <c r="A532" s="28">
        <v>46232.0</v>
      </c>
      <c r="B532" s="16" t="s">
        <v>2427</v>
      </c>
      <c r="C532" s="20" t="s">
        <v>2428</v>
      </c>
      <c r="D532" s="21"/>
      <c r="E532" s="22" t="s">
        <v>2429</v>
      </c>
      <c r="H532" s="23" t="s">
        <v>713</v>
      </c>
      <c r="I532" s="21"/>
      <c r="J532" s="25"/>
      <c r="K532" s="26" t="s">
        <v>44</v>
      </c>
      <c r="L532" s="16"/>
      <c r="M532" s="21"/>
    </row>
    <row r="533">
      <c r="A533" s="28">
        <v>46232.0</v>
      </c>
      <c r="B533" s="16" t="s">
        <v>2430</v>
      </c>
      <c r="C533" s="20" t="s">
        <v>2431</v>
      </c>
      <c r="D533" s="21"/>
      <c r="E533" s="22" t="s">
        <v>2432</v>
      </c>
      <c r="H533" s="23" t="s">
        <v>127</v>
      </c>
      <c r="I533" s="21"/>
      <c r="J533" s="25"/>
      <c r="K533" s="26" t="s">
        <v>44</v>
      </c>
      <c r="L533" s="16"/>
      <c r="M533" s="21"/>
    </row>
    <row r="534">
      <c r="A534" s="28">
        <v>46232.0</v>
      </c>
      <c r="B534" s="16" t="s">
        <v>2433</v>
      </c>
      <c r="C534" s="20" t="s">
        <v>2434</v>
      </c>
      <c r="D534" s="21"/>
      <c r="E534" s="22" t="s">
        <v>2435</v>
      </c>
      <c r="H534" s="23" t="s">
        <v>652</v>
      </c>
      <c r="I534" s="21"/>
      <c r="J534" s="25"/>
      <c r="K534" s="26" t="s">
        <v>44</v>
      </c>
      <c r="L534" s="16"/>
      <c r="M534" s="21"/>
    </row>
    <row r="535">
      <c r="A535" s="28">
        <v>46232.0</v>
      </c>
      <c r="B535" s="16" t="s">
        <v>2436</v>
      </c>
      <c r="C535" s="20" t="s">
        <v>2437</v>
      </c>
      <c r="D535" s="21"/>
      <c r="E535" s="22" t="s">
        <v>2438</v>
      </c>
      <c r="H535" s="23" t="s">
        <v>127</v>
      </c>
      <c r="I535" s="21"/>
      <c r="J535" s="25"/>
      <c r="K535" s="26" t="s">
        <v>44</v>
      </c>
      <c r="L535" s="16"/>
      <c r="M535" s="21"/>
    </row>
    <row r="536">
      <c r="A536" s="28">
        <v>46232.0</v>
      </c>
      <c r="B536" s="16" t="s">
        <v>2439</v>
      </c>
      <c r="C536" s="20" t="s">
        <v>2440</v>
      </c>
      <c r="D536" s="21"/>
      <c r="E536" s="22" t="s">
        <v>2441</v>
      </c>
      <c r="H536" s="23" t="s">
        <v>1530</v>
      </c>
      <c r="I536" s="21"/>
      <c r="J536" s="25"/>
      <c r="K536" s="26" t="s">
        <v>44</v>
      </c>
      <c r="L536" s="16"/>
      <c r="M536" s="21"/>
    </row>
    <row r="537">
      <c r="A537" s="28">
        <v>46232.0</v>
      </c>
      <c r="B537" s="16" t="s">
        <v>2442</v>
      </c>
      <c r="C537" s="20" t="s">
        <v>2443</v>
      </c>
      <c r="D537" s="21"/>
      <c r="E537" s="22" t="s">
        <v>2444</v>
      </c>
      <c r="H537" s="23" t="s">
        <v>2445</v>
      </c>
      <c r="I537" s="21"/>
      <c r="J537" s="25"/>
      <c r="K537" s="26" t="s">
        <v>44</v>
      </c>
      <c r="L537" s="16"/>
      <c r="M537" s="21"/>
    </row>
    <row r="538">
      <c r="A538" s="28">
        <v>46232.0</v>
      </c>
      <c r="B538" s="16" t="s">
        <v>2446</v>
      </c>
      <c r="C538" s="20" t="s">
        <v>2447</v>
      </c>
      <c r="D538" s="21"/>
      <c r="E538" s="22" t="s">
        <v>2448</v>
      </c>
      <c r="H538" s="23" t="s">
        <v>622</v>
      </c>
      <c r="I538" s="21"/>
      <c r="J538" s="25"/>
      <c r="K538" s="26" t="s">
        <v>44</v>
      </c>
      <c r="L538" s="16"/>
      <c r="M538" s="21"/>
    </row>
    <row r="539">
      <c r="A539" s="28">
        <v>46232.0</v>
      </c>
      <c r="B539" s="16" t="s">
        <v>2449</v>
      </c>
      <c r="C539" s="20" t="s">
        <v>2450</v>
      </c>
      <c r="D539" s="21"/>
      <c r="E539" s="22" t="s">
        <v>2451</v>
      </c>
      <c r="H539" s="23" t="s">
        <v>2452</v>
      </c>
      <c r="I539" s="21"/>
      <c r="J539" s="25"/>
      <c r="K539" s="26" t="s">
        <v>44</v>
      </c>
      <c r="L539" s="16"/>
      <c r="M539" s="21"/>
    </row>
    <row r="540">
      <c r="A540" s="28">
        <v>46232.0</v>
      </c>
      <c r="B540" s="16" t="s">
        <v>2453</v>
      </c>
      <c r="C540" s="20" t="s">
        <v>2454</v>
      </c>
      <c r="D540" s="21"/>
      <c r="E540" s="22" t="s">
        <v>2455</v>
      </c>
      <c r="H540" s="23" t="s">
        <v>1819</v>
      </c>
      <c r="I540" s="21"/>
      <c r="J540" s="25"/>
      <c r="K540" s="26" t="s">
        <v>44</v>
      </c>
      <c r="L540" s="16"/>
      <c r="M540" s="21"/>
    </row>
    <row r="541">
      <c r="A541" s="28">
        <v>46232.0</v>
      </c>
      <c r="B541" s="16" t="s">
        <v>2456</v>
      </c>
      <c r="C541" s="20" t="s">
        <v>2457</v>
      </c>
      <c r="D541" s="21"/>
      <c r="E541" s="22" t="s">
        <v>2458</v>
      </c>
      <c r="H541" s="23" t="s">
        <v>1654</v>
      </c>
      <c r="I541" s="21"/>
      <c r="J541" s="25"/>
      <c r="K541" s="26" t="s">
        <v>44</v>
      </c>
      <c r="L541" s="16"/>
      <c r="M541" s="21"/>
    </row>
    <row r="542">
      <c r="A542" s="28">
        <v>46232.0</v>
      </c>
      <c r="B542" s="16" t="s">
        <v>2459</v>
      </c>
      <c r="C542" s="20" t="s">
        <v>2460</v>
      </c>
      <c r="D542" s="21"/>
      <c r="E542" s="22" t="s">
        <v>2461</v>
      </c>
      <c r="H542" s="23" t="s">
        <v>751</v>
      </c>
      <c r="I542" s="21"/>
      <c r="J542" s="25"/>
      <c r="K542" s="26" t="s">
        <v>44</v>
      </c>
      <c r="L542" s="16"/>
      <c r="M542" s="21"/>
    </row>
    <row r="543">
      <c r="A543" s="28">
        <v>46232.0</v>
      </c>
      <c r="B543" s="16" t="s">
        <v>2462</v>
      </c>
      <c r="C543" s="20" t="s">
        <v>2463</v>
      </c>
      <c r="D543" s="21"/>
      <c r="E543" s="22" t="s">
        <v>2464</v>
      </c>
      <c r="H543" s="23" t="s">
        <v>2465</v>
      </c>
      <c r="I543" s="21"/>
      <c r="J543" s="25"/>
      <c r="K543" s="26" t="s">
        <v>44</v>
      </c>
      <c r="L543" s="16"/>
      <c r="M543" s="21"/>
    </row>
    <row r="544">
      <c r="A544" s="28">
        <v>46232.0</v>
      </c>
      <c r="B544" s="16" t="s">
        <v>2466</v>
      </c>
      <c r="C544" s="20" t="s">
        <v>2467</v>
      </c>
      <c r="D544" s="21"/>
      <c r="E544" s="22" t="s">
        <v>2468</v>
      </c>
      <c r="H544" s="23" t="s">
        <v>404</v>
      </c>
      <c r="I544" s="21"/>
      <c r="J544" s="25"/>
      <c r="K544" s="26" t="s">
        <v>44</v>
      </c>
      <c r="L544" s="16"/>
      <c r="M544" s="21"/>
    </row>
    <row r="545">
      <c r="A545" s="28">
        <v>46232.0</v>
      </c>
      <c r="B545" s="16" t="s">
        <v>2469</v>
      </c>
      <c r="C545" s="20" t="s">
        <v>2470</v>
      </c>
      <c r="D545" s="21"/>
      <c r="E545" s="22" t="s">
        <v>2471</v>
      </c>
      <c r="H545" s="23" t="s">
        <v>536</v>
      </c>
      <c r="I545" s="21"/>
      <c r="J545" s="25"/>
      <c r="K545" s="26" t="s">
        <v>44</v>
      </c>
      <c r="L545" s="16"/>
      <c r="M545" s="21"/>
    </row>
    <row r="546">
      <c r="A546" s="28">
        <v>46232.0</v>
      </c>
      <c r="B546" s="16" t="s">
        <v>2472</v>
      </c>
      <c r="C546" s="20" t="s">
        <v>2473</v>
      </c>
      <c r="D546" s="21"/>
      <c r="E546" s="22" t="s">
        <v>2474</v>
      </c>
      <c r="H546" s="23" t="s">
        <v>800</v>
      </c>
      <c r="I546" s="21"/>
      <c r="J546" s="25"/>
      <c r="K546" s="26" t="s">
        <v>44</v>
      </c>
      <c r="L546" s="16"/>
      <c r="M546" s="21"/>
    </row>
    <row r="547">
      <c r="A547" s="28">
        <v>46232.0</v>
      </c>
      <c r="B547" s="16" t="s">
        <v>2475</v>
      </c>
      <c r="C547" s="20" t="s">
        <v>2476</v>
      </c>
      <c r="D547" s="21"/>
      <c r="E547" s="22" t="s">
        <v>2477</v>
      </c>
      <c r="H547" s="23" t="s">
        <v>2478</v>
      </c>
      <c r="I547" s="21"/>
      <c r="J547" s="25"/>
      <c r="K547" s="26" t="s">
        <v>44</v>
      </c>
      <c r="L547" s="16"/>
      <c r="M547" s="21"/>
    </row>
    <row r="548">
      <c r="A548" s="28">
        <v>46232.0</v>
      </c>
      <c r="B548" s="16" t="s">
        <v>2479</v>
      </c>
      <c r="C548" s="20" t="s">
        <v>2480</v>
      </c>
      <c r="D548" s="21"/>
      <c r="E548" s="22" t="s">
        <v>2481</v>
      </c>
      <c r="H548" s="23" t="s">
        <v>564</v>
      </c>
      <c r="I548" s="21"/>
      <c r="J548" s="25"/>
      <c r="K548" s="26" t="s">
        <v>44</v>
      </c>
      <c r="L548" s="16"/>
      <c r="M548" s="21"/>
    </row>
    <row r="549">
      <c r="A549" s="28">
        <v>46232.0</v>
      </c>
      <c r="B549" s="16" t="s">
        <v>2482</v>
      </c>
      <c r="C549" s="46" t="s">
        <v>2483</v>
      </c>
      <c r="D549" s="21"/>
      <c r="E549" s="22" t="s">
        <v>2484</v>
      </c>
      <c r="H549" s="23" t="s">
        <v>1534</v>
      </c>
      <c r="I549" s="21"/>
      <c r="J549" s="25"/>
      <c r="K549" s="26" t="s">
        <v>44</v>
      </c>
      <c r="L549" s="16"/>
      <c r="M549" s="21"/>
    </row>
    <row r="550">
      <c r="A550" s="28">
        <v>46232.0</v>
      </c>
      <c r="B550" s="16" t="s">
        <v>2485</v>
      </c>
      <c r="C550" s="20" t="s">
        <v>2486</v>
      </c>
      <c r="D550" s="21"/>
      <c r="E550" s="22" t="s">
        <v>2487</v>
      </c>
      <c r="H550" s="23" t="s">
        <v>48</v>
      </c>
      <c r="I550" s="21"/>
      <c r="J550" s="25"/>
      <c r="K550" s="26" t="s">
        <v>44</v>
      </c>
      <c r="L550" s="16"/>
      <c r="M550" s="21"/>
    </row>
    <row r="551">
      <c r="A551" s="28">
        <v>46232.0</v>
      </c>
      <c r="B551" s="16" t="s">
        <v>2488</v>
      </c>
      <c r="C551" s="20" t="s">
        <v>2489</v>
      </c>
      <c r="D551" s="21"/>
      <c r="E551" s="22" t="s">
        <v>2490</v>
      </c>
      <c r="H551" s="23" t="s">
        <v>2491</v>
      </c>
      <c r="I551" s="21"/>
      <c r="J551" s="25"/>
      <c r="K551" s="26" t="s">
        <v>44</v>
      </c>
      <c r="L551" s="16"/>
      <c r="M551" s="21"/>
    </row>
    <row r="552">
      <c r="A552" s="28">
        <v>46232.0</v>
      </c>
      <c r="B552" s="16" t="s">
        <v>2492</v>
      </c>
      <c r="C552" s="20" t="s">
        <v>2493</v>
      </c>
      <c r="D552" s="21"/>
      <c r="E552" s="22" t="s">
        <v>2495</v>
      </c>
      <c r="H552" s="23" t="s">
        <v>2500</v>
      </c>
      <c r="I552" s="21"/>
      <c r="J552" s="25"/>
      <c r="K552" s="26" t="s">
        <v>44</v>
      </c>
      <c r="L552" s="16"/>
      <c r="M552" s="21"/>
    </row>
    <row r="553">
      <c r="A553" s="28">
        <v>46232.0</v>
      </c>
      <c r="B553" s="16" t="s">
        <v>2501</v>
      </c>
      <c r="C553" s="20" t="s">
        <v>2502</v>
      </c>
      <c r="D553" s="21"/>
      <c r="E553" s="22" t="s">
        <v>2503</v>
      </c>
      <c r="H553" s="23" t="s">
        <v>2452</v>
      </c>
      <c r="I553" s="21"/>
      <c r="J553" s="25"/>
      <c r="K553" s="26" t="s">
        <v>44</v>
      </c>
      <c r="L553" s="16"/>
      <c r="M553" s="21"/>
    </row>
    <row r="554">
      <c r="A554" s="28">
        <v>46232.0</v>
      </c>
      <c r="B554" s="16" t="s">
        <v>2504</v>
      </c>
      <c r="C554" s="20" t="s">
        <v>2505</v>
      </c>
      <c r="D554" s="21"/>
      <c r="E554" s="22" t="s">
        <v>2506</v>
      </c>
      <c r="H554" s="23" t="s">
        <v>1141</v>
      </c>
      <c r="I554" s="21"/>
      <c r="J554" s="25"/>
      <c r="K554" s="26" t="s">
        <v>44</v>
      </c>
      <c r="L554" s="16"/>
      <c r="M554" s="21"/>
    </row>
    <row r="555">
      <c r="A555" s="28">
        <v>46232.0</v>
      </c>
      <c r="B555" s="16" t="s">
        <v>2507</v>
      </c>
      <c r="C555" s="20" t="s">
        <v>2508</v>
      </c>
      <c r="D555" s="21"/>
      <c r="E555" s="22" t="s">
        <v>2509</v>
      </c>
      <c r="H555" s="23" t="s">
        <v>800</v>
      </c>
      <c r="I555" s="21"/>
      <c r="J555" s="25"/>
      <c r="K555" s="26" t="s">
        <v>44</v>
      </c>
      <c r="L555" s="16"/>
      <c r="M555" s="21"/>
    </row>
    <row r="556">
      <c r="A556" s="28">
        <v>46232.0</v>
      </c>
      <c r="B556" s="16" t="s">
        <v>2519</v>
      </c>
      <c r="C556" s="20" t="s">
        <v>2520</v>
      </c>
      <c r="D556" s="21"/>
      <c r="E556" s="22" t="s">
        <v>2521</v>
      </c>
      <c r="H556" s="23" t="s">
        <v>1848</v>
      </c>
      <c r="I556" s="21"/>
      <c r="J556" s="25"/>
      <c r="K556" s="26" t="s">
        <v>44</v>
      </c>
      <c r="L556" s="16"/>
      <c r="M556" s="21"/>
    </row>
    <row r="557">
      <c r="A557" s="28">
        <v>46232.0</v>
      </c>
      <c r="B557" s="16" t="s">
        <v>2522</v>
      </c>
      <c r="C557" s="20" t="s">
        <v>2523</v>
      </c>
      <c r="D557" s="21"/>
      <c r="E557" s="22" t="s">
        <v>2524</v>
      </c>
      <c r="H557" s="23" t="s">
        <v>2525</v>
      </c>
      <c r="I557" s="21"/>
      <c r="J557" s="25"/>
      <c r="K557" s="26" t="s">
        <v>44</v>
      </c>
      <c r="L557" s="16"/>
      <c r="M557" s="21"/>
    </row>
    <row r="558">
      <c r="A558" s="28">
        <v>46232.0</v>
      </c>
      <c r="B558" s="16" t="s">
        <v>2526</v>
      </c>
      <c r="C558" s="20" t="s">
        <v>2527</v>
      </c>
      <c r="D558" s="21"/>
      <c r="E558" s="22" t="s">
        <v>2528</v>
      </c>
      <c r="H558" s="23" t="s">
        <v>2529</v>
      </c>
      <c r="I558" s="21"/>
      <c r="J558" s="25"/>
      <c r="K558" s="26" t="s">
        <v>44</v>
      </c>
      <c r="L558" s="16"/>
      <c r="M558" s="21"/>
    </row>
    <row r="559">
      <c r="A559" s="28">
        <v>46232.0</v>
      </c>
      <c r="B559" s="16" t="s">
        <v>2530</v>
      </c>
      <c r="C559" s="20" t="s">
        <v>2531</v>
      </c>
      <c r="D559" s="21"/>
      <c r="E559" s="22" t="s">
        <v>2532</v>
      </c>
      <c r="H559" s="23" t="s">
        <v>604</v>
      </c>
      <c r="I559" s="21"/>
      <c r="J559" s="25"/>
      <c r="K559" s="26" t="s">
        <v>44</v>
      </c>
      <c r="L559" s="16"/>
      <c r="M559" s="21"/>
    </row>
    <row r="560">
      <c r="A560" s="28">
        <v>46232.0</v>
      </c>
      <c r="B560" s="16" t="s">
        <v>2533</v>
      </c>
      <c r="C560" s="20" t="s">
        <v>2534</v>
      </c>
      <c r="D560" s="21"/>
      <c r="E560" s="22" t="s">
        <v>2535</v>
      </c>
      <c r="H560" s="23" t="s">
        <v>48</v>
      </c>
      <c r="I560" s="21"/>
      <c r="J560" s="25"/>
      <c r="K560" s="26" t="s">
        <v>44</v>
      </c>
      <c r="L560" s="16"/>
      <c r="M560" s="21"/>
    </row>
    <row r="561">
      <c r="A561" s="28">
        <v>46232.0</v>
      </c>
      <c r="B561" s="16" t="s">
        <v>2536</v>
      </c>
      <c r="C561" s="46" t="s">
        <v>2537</v>
      </c>
      <c r="D561" s="21"/>
      <c r="E561" s="22" t="s">
        <v>2538</v>
      </c>
      <c r="H561" s="23" t="s">
        <v>111</v>
      </c>
      <c r="I561" s="21"/>
      <c r="J561" s="25"/>
      <c r="K561" s="26" t="s">
        <v>44</v>
      </c>
      <c r="L561" s="16"/>
      <c r="M561" s="21"/>
    </row>
    <row r="562">
      <c r="A562" s="28">
        <v>46232.0</v>
      </c>
      <c r="B562" s="16" t="s">
        <v>2539</v>
      </c>
      <c r="C562" s="20" t="s">
        <v>2540</v>
      </c>
      <c r="D562" s="21"/>
      <c r="E562" s="22" t="s">
        <v>2541</v>
      </c>
      <c r="H562" s="23" t="s">
        <v>2542</v>
      </c>
      <c r="I562" s="21"/>
      <c r="J562" s="25"/>
      <c r="K562" s="26" t="s">
        <v>44</v>
      </c>
      <c r="L562" s="16"/>
      <c r="M562" s="21"/>
    </row>
    <row r="563">
      <c r="A563" s="28">
        <v>46232.0</v>
      </c>
      <c r="B563" s="16" t="s">
        <v>2543</v>
      </c>
      <c r="C563" s="20" t="s">
        <v>2544</v>
      </c>
      <c r="D563" s="21"/>
      <c r="E563" s="22" t="s">
        <v>2545</v>
      </c>
      <c r="H563" s="23" t="s">
        <v>821</v>
      </c>
      <c r="I563" s="21"/>
      <c r="J563" s="25"/>
      <c r="K563" s="26" t="s">
        <v>44</v>
      </c>
      <c r="L563" s="16"/>
      <c r="M563" s="21"/>
    </row>
    <row r="564">
      <c r="A564" s="28">
        <v>46232.0</v>
      </c>
      <c r="B564" s="16" t="s">
        <v>2546</v>
      </c>
      <c r="C564" s="20" t="s">
        <v>2547</v>
      </c>
      <c r="D564" s="21"/>
      <c r="E564" s="22" t="s">
        <v>2548</v>
      </c>
      <c r="H564" s="23" t="s">
        <v>2549</v>
      </c>
      <c r="I564" s="21"/>
      <c r="J564" s="25"/>
      <c r="K564" s="26" t="s">
        <v>44</v>
      </c>
      <c r="L564" s="16"/>
      <c r="M564" s="21"/>
    </row>
    <row r="565">
      <c r="A565" s="28">
        <v>46232.0</v>
      </c>
      <c r="B565" s="16" t="s">
        <v>2550</v>
      </c>
      <c r="C565" s="20" t="s">
        <v>2551</v>
      </c>
      <c r="D565" s="21"/>
      <c r="E565" s="22" t="s">
        <v>2552</v>
      </c>
      <c r="H565" s="23" t="s">
        <v>2553</v>
      </c>
      <c r="I565" s="21"/>
      <c r="J565" s="25"/>
      <c r="K565" s="26" t="s">
        <v>44</v>
      </c>
      <c r="L565" s="16"/>
      <c r="M565" s="21"/>
    </row>
    <row r="566">
      <c r="A566" s="28">
        <v>46232.0</v>
      </c>
      <c r="B566" s="16" t="s">
        <v>2554</v>
      </c>
      <c r="C566" s="20" t="s">
        <v>2555</v>
      </c>
      <c r="D566" s="21"/>
      <c r="E566" s="22" t="s">
        <v>2556</v>
      </c>
      <c r="H566" s="23" t="s">
        <v>57</v>
      </c>
      <c r="I566" s="21"/>
      <c r="J566" s="25"/>
      <c r="K566" s="26" t="s">
        <v>44</v>
      </c>
      <c r="L566" s="16"/>
      <c r="M566" s="21"/>
    </row>
    <row r="567">
      <c r="A567" s="28">
        <v>46232.0</v>
      </c>
      <c r="B567" s="16" t="s">
        <v>2557</v>
      </c>
      <c r="C567" s="20" t="s">
        <v>2558</v>
      </c>
      <c r="D567" s="21"/>
      <c r="E567" s="22" t="s">
        <v>2559</v>
      </c>
      <c r="H567" s="23" t="s">
        <v>57</v>
      </c>
      <c r="I567" s="21"/>
      <c r="J567" s="25"/>
      <c r="K567" s="26" t="s">
        <v>44</v>
      </c>
      <c r="L567" s="16"/>
      <c r="M567" s="21"/>
    </row>
    <row r="568">
      <c r="A568" s="28">
        <v>46232.0</v>
      </c>
      <c r="B568" s="16" t="s">
        <v>2560</v>
      </c>
      <c r="C568" s="20" t="s">
        <v>2561</v>
      </c>
      <c r="D568" s="21"/>
      <c r="E568" s="22" t="s">
        <v>2562</v>
      </c>
      <c r="H568" s="23" t="s">
        <v>1020</v>
      </c>
      <c r="I568" s="21"/>
      <c r="J568" s="25"/>
      <c r="K568" s="26" t="s">
        <v>44</v>
      </c>
      <c r="L568" s="16"/>
      <c r="M568" s="21"/>
    </row>
    <row r="569">
      <c r="A569" s="28">
        <v>46232.0</v>
      </c>
      <c r="B569" s="16" t="s">
        <v>2563</v>
      </c>
      <c r="C569" s="20" t="s">
        <v>2564</v>
      </c>
      <c r="D569" s="21"/>
      <c r="E569" s="22" t="s">
        <v>2565</v>
      </c>
      <c r="H569" s="23" t="s">
        <v>48</v>
      </c>
      <c r="I569" s="21"/>
      <c r="J569" s="25"/>
      <c r="K569" s="26" t="s">
        <v>44</v>
      </c>
      <c r="L569" s="16"/>
      <c r="M569" s="21"/>
    </row>
    <row r="570">
      <c r="A570" s="28">
        <v>46232.0</v>
      </c>
      <c r="B570" s="16" t="s">
        <v>2566</v>
      </c>
      <c r="C570" s="20" t="s">
        <v>2567</v>
      </c>
      <c r="D570" s="21"/>
      <c r="E570" s="22" t="s">
        <v>2568</v>
      </c>
      <c r="H570" s="23" t="s">
        <v>2569</v>
      </c>
      <c r="I570" s="21"/>
      <c r="J570" s="25"/>
      <c r="K570" s="26" t="s">
        <v>44</v>
      </c>
      <c r="L570" s="16"/>
      <c r="M570" s="21"/>
    </row>
    <row r="571">
      <c r="A571" s="28">
        <v>46232.0</v>
      </c>
      <c r="B571" s="16" t="s">
        <v>2570</v>
      </c>
      <c r="C571" s="20" t="s">
        <v>2571</v>
      </c>
      <c r="D571" s="21"/>
      <c r="E571" s="22" t="s">
        <v>2572</v>
      </c>
      <c r="H571" s="23" t="s">
        <v>1141</v>
      </c>
      <c r="I571" s="21"/>
      <c r="J571" s="25"/>
      <c r="K571" s="26" t="s">
        <v>44</v>
      </c>
      <c r="L571" s="16"/>
      <c r="M571" s="21"/>
    </row>
    <row r="572">
      <c r="A572" s="28">
        <v>46232.0</v>
      </c>
      <c r="B572" s="16" t="s">
        <v>2573</v>
      </c>
      <c r="C572" s="20" t="s">
        <v>2574</v>
      </c>
      <c r="D572" s="21"/>
      <c r="E572" s="22" t="s">
        <v>2575</v>
      </c>
      <c r="H572" s="23" t="s">
        <v>1591</v>
      </c>
      <c r="I572" s="21"/>
      <c r="J572" s="25"/>
      <c r="K572" s="26" t="s">
        <v>44</v>
      </c>
      <c r="L572" s="16"/>
      <c r="M572" s="21"/>
    </row>
    <row r="573">
      <c r="A573" s="28">
        <v>46232.0</v>
      </c>
      <c r="B573" s="16" t="s">
        <v>2576</v>
      </c>
      <c r="C573" s="20" t="s">
        <v>2577</v>
      </c>
      <c r="D573" s="21"/>
      <c r="E573" s="22" t="s">
        <v>2578</v>
      </c>
      <c r="H573" s="23" t="s">
        <v>2579</v>
      </c>
      <c r="I573" s="21"/>
      <c r="J573" s="25"/>
      <c r="K573" s="26" t="s">
        <v>44</v>
      </c>
      <c r="L573" s="16"/>
      <c r="M573" s="21"/>
    </row>
    <row r="574">
      <c r="A574" s="28">
        <v>46232.0</v>
      </c>
      <c r="B574" s="16" t="s">
        <v>2580</v>
      </c>
      <c r="C574" s="20" t="s">
        <v>629</v>
      </c>
      <c r="D574" s="21"/>
      <c r="E574" s="22" t="s">
        <v>2581</v>
      </c>
      <c r="H574" s="23" t="s">
        <v>463</v>
      </c>
      <c r="I574" s="21"/>
      <c r="J574" s="25"/>
      <c r="K574" s="26" t="s">
        <v>44</v>
      </c>
      <c r="L574" s="16"/>
      <c r="M574" s="21"/>
    </row>
    <row r="575">
      <c r="A575" s="28">
        <v>46232.0</v>
      </c>
      <c r="B575" s="16" t="s">
        <v>2582</v>
      </c>
      <c r="C575" s="20" t="s">
        <v>2583</v>
      </c>
      <c r="D575" s="21"/>
      <c r="E575" s="22" t="s">
        <v>2584</v>
      </c>
      <c r="H575" s="23" t="s">
        <v>57</v>
      </c>
      <c r="I575" s="21"/>
      <c r="J575" s="25"/>
      <c r="K575" s="26" t="s">
        <v>44</v>
      </c>
      <c r="L575" s="16"/>
      <c r="M575" s="21"/>
    </row>
    <row r="576">
      <c r="A576" s="28">
        <v>46232.0</v>
      </c>
      <c r="B576" s="16" t="s">
        <v>2585</v>
      </c>
      <c r="C576" s="20" t="s">
        <v>2586</v>
      </c>
      <c r="D576" s="21"/>
      <c r="E576" s="22" t="s">
        <v>2587</v>
      </c>
      <c r="H576" s="23" t="s">
        <v>2588</v>
      </c>
      <c r="I576" s="21"/>
      <c r="J576" s="25"/>
      <c r="K576" s="26" t="s">
        <v>44</v>
      </c>
      <c r="L576" s="16"/>
      <c r="M576" s="21"/>
    </row>
    <row r="577">
      <c r="A577" s="28">
        <v>46232.0</v>
      </c>
      <c r="B577" s="16" t="s">
        <v>2589</v>
      </c>
      <c r="C577" s="20" t="s">
        <v>2590</v>
      </c>
      <c r="D577" s="21"/>
      <c r="E577" s="22" t="s">
        <v>2591</v>
      </c>
      <c r="H577" s="23" t="s">
        <v>2251</v>
      </c>
      <c r="I577" s="21"/>
      <c r="J577" s="25"/>
      <c r="K577" s="26" t="s">
        <v>44</v>
      </c>
      <c r="L577" s="16"/>
      <c r="M577" s="21"/>
    </row>
    <row r="578">
      <c r="A578" s="28">
        <v>46232.0</v>
      </c>
      <c r="B578" s="16" t="s">
        <v>2592</v>
      </c>
      <c r="C578" s="20" t="s">
        <v>2593</v>
      </c>
      <c r="D578" s="21"/>
      <c r="E578" s="22" t="s">
        <v>2594</v>
      </c>
      <c r="H578" s="23" t="s">
        <v>800</v>
      </c>
      <c r="I578" s="21"/>
      <c r="J578" s="25"/>
      <c r="K578" s="26" t="s">
        <v>44</v>
      </c>
      <c r="L578" s="16"/>
      <c r="M578" s="21"/>
    </row>
    <row r="579">
      <c r="A579" s="28">
        <v>46232.0</v>
      </c>
      <c r="B579" s="16" t="s">
        <v>2595</v>
      </c>
      <c r="C579" s="20" t="s">
        <v>2596</v>
      </c>
      <c r="D579" s="21"/>
      <c r="E579" s="22" t="s">
        <v>2597</v>
      </c>
      <c r="H579" s="23" t="s">
        <v>2598</v>
      </c>
      <c r="I579" s="21"/>
      <c r="J579" s="25"/>
      <c r="K579" s="26" t="s">
        <v>44</v>
      </c>
      <c r="L579" s="16"/>
      <c r="M579" s="21"/>
    </row>
    <row r="580">
      <c r="A580" s="28">
        <v>46232.0</v>
      </c>
      <c r="B580" s="16" t="s">
        <v>2599</v>
      </c>
      <c r="C580" s="20" t="s">
        <v>2600</v>
      </c>
      <c r="D580" s="21"/>
      <c r="E580" s="22" t="s">
        <v>2601</v>
      </c>
      <c r="H580" s="23" t="s">
        <v>2602</v>
      </c>
      <c r="I580" s="21"/>
      <c r="J580" s="25"/>
      <c r="K580" s="26" t="s">
        <v>44</v>
      </c>
      <c r="L580" s="16"/>
      <c r="M580" s="21"/>
    </row>
    <row r="581">
      <c r="A581" s="28">
        <v>46232.0</v>
      </c>
      <c r="B581" s="16" t="s">
        <v>2603</v>
      </c>
      <c r="C581" s="20" t="s">
        <v>2604</v>
      </c>
      <c r="D581" s="21"/>
      <c r="E581" s="22" t="s">
        <v>2605</v>
      </c>
      <c r="H581" s="23" t="s">
        <v>2606</v>
      </c>
      <c r="I581" s="21"/>
      <c r="J581" s="25"/>
      <c r="K581" s="26" t="s">
        <v>44</v>
      </c>
      <c r="L581" s="16"/>
      <c r="M581" s="21"/>
    </row>
    <row r="582">
      <c r="A582" s="28">
        <v>46232.0</v>
      </c>
      <c r="B582" s="16" t="s">
        <v>2607</v>
      </c>
      <c r="C582" s="20" t="s">
        <v>2608</v>
      </c>
      <c r="D582" s="21"/>
      <c r="E582" s="22" t="s">
        <v>2609</v>
      </c>
      <c r="H582" s="23" t="s">
        <v>1898</v>
      </c>
      <c r="I582" s="21"/>
      <c r="J582" s="25"/>
      <c r="K582" s="26" t="s">
        <v>44</v>
      </c>
      <c r="L582" s="16"/>
      <c r="M582" s="21"/>
    </row>
    <row r="583">
      <c r="A583" s="28">
        <v>46232.0</v>
      </c>
      <c r="B583" s="16" t="s">
        <v>2610</v>
      </c>
      <c r="C583" s="20" t="s">
        <v>2611</v>
      </c>
      <c r="D583" s="21"/>
      <c r="E583" s="22" t="s">
        <v>2612</v>
      </c>
      <c r="H583" s="23" t="s">
        <v>2606</v>
      </c>
      <c r="I583" s="21"/>
      <c r="J583" s="25"/>
      <c r="K583" s="26" t="s">
        <v>44</v>
      </c>
      <c r="L583" s="16"/>
      <c r="M583" s="21"/>
    </row>
    <row r="584">
      <c r="A584" s="28">
        <v>46232.0</v>
      </c>
      <c r="B584" s="16" t="s">
        <v>2613</v>
      </c>
      <c r="C584" s="20" t="s">
        <v>2614</v>
      </c>
      <c r="D584" s="21"/>
      <c r="E584" s="22" t="s">
        <v>2615</v>
      </c>
      <c r="H584" s="23" t="s">
        <v>48</v>
      </c>
      <c r="I584" s="21"/>
      <c r="J584" s="25"/>
      <c r="K584" s="26" t="s">
        <v>44</v>
      </c>
      <c r="L584" s="16"/>
      <c r="M584" s="21"/>
    </row>
    <row r="585">
      <c r="A585" s="28">
        <v>46232.0</v>
      </c>
      <c r="B585" s="16" t="s">
        <v>2616</v>
      </c>
      <c r="C585" s="20" t="s">
        <v>2617</v>
      </c>
      <c r="D585" s="21"/>
      <c r="E585" s="22" t="s">
        <v>2618</v>
      </c>
      <c r="H585" s="23" t="s">
        <v>57</v>
      </c>
      <c r="I585" s="21"/>
      <c r="J585" s="25"/>
      <c r="K585" s="26" t="s">
        <v>44</v>
      </c>
      <c r="L585" s="16"/>
      <c r="M585" s="21"/>
    </row>
    <row r="586">
      <c r="A586" s="28">
        <v>46232.0</v>
      </c>
      <c r="B586" s="16" t="s">
        <v>2619</v>
      </c>
      <c r="C586" s="20" t="s">
        <v>2620</v>
      </c>
      <c r="D586" s="21"/>
      <c r="E586" s="22" t="s">
        <v>2621</v>
      </c>
      <c r="H586" s="23" t="s">
        <v>2622</v>
      </c>
      <c r="I586" s="21"/>
      <c r="J586" s="25"/>
      <c r="K586" s="26" t="s">
        <v>44</v>
      </c>
      <c r="L586" s="16"/>
      <c r="M586" s="21"/>
    </row>
    <row r="587">
      <c r="A587" s="28">
        <v>46232.0</v>
      </c>
      <c r="B587" s="16" t="s">
        <v>2623</v>
      </c>
      <c r="C587" s="20" t="s">
        <v>2624</v>
      </c>
      <c r="D587" s="21"/>
      <c r="E587" s="22" t="s">
        <v>2625</v>
      </c>
      <c r="H587" s="23" t="s">
        <v>2626</v>
      </c>
      <c r="I587" s="21"/>
      <c r="J587" s="25"/>
      <c r="K587" s="26" t="s">
        <v>44</v>
      </c>
      <c r="L587" s="16"/>
      <c r="M587" s="21"/>
    </row>
    <row r="588">
      <c r="A588" s="28">
        <v>46232.0</v>
      </c>
      <c r="B588" s="16" t="s">
        <v>2627</v>
      </c>
      <c r="C588" s="20" t="s">
        <v>2628</v>
      </c>
      <c r="D588" s="21"/>
      <c r="E588" s="22" t="s">
        <v>2629</v>
      </c>
      <c r="H588" s="23" t="s">
        <v>1608</v>
      </c>
      <c r="I588" s="21"/>
      <c r="J588" s="25"/>
      <c r="K588" s="26" t="s">
        <v>44</v>
      </c>
      <c r="L588" s="16"/>
      <c r="M588" s="21"/>
    </row>
    <row r="589">
      <c r="A589" s="28">
        <v>46232.0</v>
      </c>
      <c r="B589" s="16" t="s">
        <v>2630</v>
      </c>
      <c r="C589" s="20" t="s">
        <v>2631</v>
      </c>
      <c r="D589" s="21"/>
      <c r="E589" s="22" t="s">
        <v>2632</v>
      </c>
      <c r="H589" s="23" t="s">
        <v>2633</v>
      </c>
      <c r="I589" s="21"/>
      <c r="J589" s="25"/>
      <c r="K589" s="26" t="s">
        <v>44</v>
      </c>
      <c r="L589" s="16"/>
      <c r="M589" s="21"/>
    </row>
    <row r="590">
      <c r="A590" s="28">
        <v>46232.0</v>
      </c>
      <c r="B590" s="16" t="s">
        <v>2634</v>
      </c>
      <c r="C590" s="20" t="s">
        <v>2635</v>
      </c>
      <c r="D590" s="21"/>
      <c r="E590" s="22" t="s">
        <v>2636</v>
      </c>
      <c r="H590" s="23" t="s">
        <v>2637</v>
      </c>
      <c r="I590" s="21"/>
      <c r="J590" s="25"/>
      <c r="K590" s="26" t="s">
        <v>44</v>
      </c>
      <c r="L590" s="16"/>
      <c r="M590" s="21"/>
    </row>
    <row r="591">
      <c r="A591" s="28">
        <v>46232.0</v>
      </c>
      <c r="B591" s="16" t="s">
        <v>2638</v>
      </c>
      <c r="C591" s="20" t="s">
        <v>2639</v>
      </c>
      <c r="D591" s="21"/>
      <c r="E591" s="22" t="s">
        <v>2640</v>
      </c>
      <c r="H591" s="23" t="s">
        <v>57</v>
      </c>
      <c r="I591" s="21"/>
      <c r="J591" s="25"/>
      <c r="K591" s="26" t="s">
        <v>44</v>
      </c>
      <c r="L591" s="16"/>
      <c r="M591" s="21"/>
    </row>
    <row r="592">
      <c r="A592" s="28">
        <v>46232.0</v>
      </c>
      <c r="B592" s="16" t="s">
        <v>2641</v>
      </c>
      <c r="C592" s="20" t="s">
        <v>2642</v>
      </c>
      <c r="D592" s="21"/>
      <c r="E592" s="22" t="s">
        <v>2643</v>
      </c>
      <c r="H592" s="23" t="s">
        <v>69</v>
      </c>
      <c r="I592" s="21"/>
      <c r="J592" s="25"/>
      <c r="K592" s="26" t="s">
        <v>44</v>
      </c>
      <c r="L592" s="16"/>
      <c r="M592" s="21"/>
    </row>
    <row r="593">
      <c r="A593" s="28">
        <v>46232.0</v>
      </c>
      <c r="B593" s="16" t="s">
        <v>2644</v>
      </c>
      <c r="C593" s="20" t="s">
        <v>2645</v>
      </c>
      <c r="D593" s="21"/>
      <c r="E593" s="22" t="s">
        <v>2646</v>
      </c>
      <c r="H593" s="23" t="s">
        <v>1608</v>
      </c>
      <c r="I593" s="21"/>
      <c r="J593" s="25"/>
      <c r="K593" s="26" t="s">
        <v>44</v>
      </c>
      <c r="L593" s="16"/>
      <c r="M593" s="21"/>
    </row>
    <row r="594">
      <c r="A594" s="28">
        <v>46232.0</v>
      </c>
      <c r="B594" s="16" t="s">
        <v>2647</v>
      </c>
      <c r="C594" s="20" t="s">
        <v>2648</v>
      </c>
      <c r="D594" s="21"/>
      <c r="E594" s="22" t="s">
        <v>2649</v>
      </c>
      <c r="H594" s="23" t="s">
        <v>2650</v>
      </c>
      <c r="I594" s="21"/>
      <c r="J594" s="25"/>
      <c r="K594" s="26" t="s">
        <v>44</v>
      </c>
      <c r="L594" s="16"/>
      <c r="M594" s="21"/>
    </row>
    <row r="595">
      <c r="A595" s="28">
        <v>46232.0</v>
      </c>
      <c r="B595" s="16" t="s">
        <v>2651</v>
      </c>
      <c r="C595" s="20" t="s">
        <v>2652</v>
      </c>
      <c r="D595" s="21"/>
      <c r="E595" s="22" t="s">
        <v>2653</v>
      </c>
      <c r="H595" s="23" t="s">
        <v>2654</v>
      </c>
      <c r="I595" s="21"/>
      <c r="J595" s="25"/>
      <c r="K595" s="26" t="s">
        <v>44</v>
      </c>
      <c r="L595" s="16"/>
      <c r="M595" s="21"/>
    </row>
    <row r="596">
      <c r="A596" s="28">
        <v>46232.0</v>
      </c>
      <c r="B596" s="16" t="s">
        <v>2655</v>
      </c>
      <c r="C596" s="20" t="s">
        <v>2656</v>
      </c>
      <c r="D596" s="21"/>
      <c r="E596" s="22" t="s">
        <v>2657</v>
      </c>
      <c r="H596" s="23" t="s">
        <v>2658</v>
      </c>
      <c r="I596" s="21"/>
      <c r="J596" s="25"/>
      <c r="K596" s="26" t="s">
        <v>44</v>
      </c>
      <c r="L596" s="16"/>
      <c r="M596" s="21"/>
    </row>
    <row r="597">
      <c r="A597" s="28">
        <v>46232.0</v>
      </c>
      <c r="B597" s="16" t="s">
        <v>2659</v>
      </c>
      <c r="C597" s="20" t="s">
        <v>2660</v>
      </c>
      <c r="D597" s="21"/>
      <c r="E597" s="22" t="s">
        <v>2661</v>
      </c>
      <c r="H597" s="23" t="s">
        <v>69</v>
      </c>
      <c r="I597" s="21"/>
      <c r="J597" s="25"/>
      <c r="K597" s="26" t="s">
        <v>44</v>
      </c>
      <c r="L597" s="16"/>
      <c r="M597" s="21"/>
    </row>
    <row r="598">
      <c r="A598" s="28">
        <v>46232.0</v>
      </c>
      <c r="B598" s="16" t="s">
        <v>2662</v>
      </c>
      <c r="C598" s="20" t="s">
        <v>2663</v>
      </c>
      <c r="D598" s="21"/>
      <c r="E598" s="22" t="s">
        <v>2664</v>
      </c>
      <c r="H598" s="23" t="s">
        <v>1137</v>
      </c>
      <c r="I598" s="21"/>
      <c r="J598" s="25"/>
      <c r="K598" s="26" t="s">
        <v>44</v>
      </c>
      <c r="L598" s="16"/>
      <c r="M598" s="21"/>
    </row>
    <row r="599">
      <c r="A599" s="28">
        <v>46232.0</v>
      </c>
      <c r="B599" s="16" t="s">
        <v>2665</v>
      </c>
      <c r="C599" s="20" t="s">
        <v>2666</v>
      </c>
      <c r="D599" s="21"/>
      <c r="E599" s="22" t="s">
        <v>2667</v>
      </c>
      <c r="H599" s="23" t="s">
        <v>2668</v>
      </c>
      <c r="I599" s="21"/>
      <c r="J599" s="25"/>
      <c r="K599" s="26" t="s">
        <v>44</v>
      </c>
      <c r="L599" s="16"/>
      <c r="M599" s="21"/>
    </row>
    <row r="600">
      <c r="A600" s="28">
        <v>46232.0</v>
      </c>
      <c r="B600" s="16" t="s">
        <v>2669</v>
      </c>
      <c r="C600" s="20" t="s">
        <v>2670</v>
      </c>
      <c r="D600" s="21"/>
      <c r="E600" s="22" t="s">
        <v>2671</v>
      </c>
      <c r="H600" s="23" t="s">
        <v>2672</v>
      </c>
      <c r="I600" s="21"/>
      <c r="J600" s="25"/>
      <c r="K600" s="26" t="s">
        <v>44</v>
      </c>
      <c r="L600" s="16"/>
      <c r="M600" s="21"/>
    </row>
    <row r="601">
      <c r="A601" s="28">
        <v>46232.0</v>
      </c>
      <c r="B601" s="16" t="s">
        <v>2673</v>
      </c>
      <c r="C601" s="20" t="s">
        <v>2674</v>
      </c>
      <c r="D601" s="21"/>
      <c r="E601" s="22" t="s">
        <v>2675</v>
      </c>
      <c r="H601" s="23" t="s">
        <v>1141</v>
      </c>
      <c r="I601" s="21"/>
      <c r="J601" s="25"/>
      <c r="K601" s="26" t="s">
        <v>44</v>
      </c>
      <c r="L601" s="16"/>
      <c r="M601" s="21"/>
    </row>
    <row r="602">
      <c r="A602" s="28">
        <v>46232.0</v>
      </c>
      <c r="B602" s="16" t="s">
        <v>2676</v>
      </c>
      <c r="C602" s="20" t="s">
        <v>2677</v>
      </c>
      <c r="D602" s="21"/>
      <c r="E602" s="22" t="s">
        <v>2678</v>
      </c>
      <c r="H602" s="23" t="s">
        <v>404</v>
      </c>
      <c r="I602" s="21"/>
      <c r="J602" s="25"/>
      <c r="K602" s="26" t="s">
        <v>44</v>
      </c>
      <c r="L602" s="16"/>
      <c r="M602" s="21"/>
    </row>
    <row r="603">
      <c r="A603" s="28">
        <v>46232.0</v>
      </c>
      <c r="B603" s="16" t="s">
        <v>2679</v>
      </c>
      <c r="C603" s="20" t="s">
        <v>2680</v>
      </c>
      <c r="D603" s="21"/>
      <c r="E603" s="22" t="s">
        <v>2681</v>
      </c>
      <c r="H603" s="23" t="s">
        <v>370</v>
      </c>
      <c r="I603" s="21"/>
      <c r="J603" s="25"/>
      <c r="K603" s="26" t="s">
        <v>44</v>
      </c>
      <c r="L603" s="16"/>
      <c r="M603" s="21"/>
    </row>
    <row r="604">
      <c r="A604" s="28">
        <v>46232.0</v>
      </c>
      <c r="B604" s="16" t="s">
        <v>2682</v>
      </c>
      <c r="C604" s="20" t="s">
        <v>2683</v>
      </c>
      <c r="D604" s="21"/>
      <c r="E604" s="22" t="s">
        <v>2684</v>
      </c>
      <c r="H604" s="23" t="s">
        <v>2268</v>
      </c>
      <c r="I604" s="21"/>
      <c r="J604" s="25"/>
      <c r="K604" s="26" t="s">
        <v>44</v>
      </c>
      <c r="L604" s="16"/>
      <c r="M604" s="21"/>
    </row>
    <row r="605">
      <c r="A605" s="28">
        <v>46232.0</v>
      </c>
      <c r="B605" s="16" t="s">
        <v>2685</v>
      </c>
      <c r="C605" s="20" t="s">
        <v>2686</v>
      </c>
      <c r="D605" s="21"/>
      <c r="E605" s="22" t="s">
        <v>2687</v>
      </c>
      <c r="H605" s="23" t="s">
        <v>69</v>
      </c>
      <c r="I605" s="21"/>
      <c r="J605" s="25"/>
      <c r="K605" s="26" t="s">
        <v>44</v>
      </c>
      <c r="L605" s="16"/>
      <c r="M605" s="21"/>
    </row>
    <row r="606">
      <c r="A606" s="28">
        <v>46232.0</v>
      </c>
      <c r="B606" s="16" t="s">
        <v>2688</v>
      </c>
      <c r="C606" s="20" t="s">
        <v>2689</v>
      </c>
      <c r="D606" s="21"/>
      <c r="E606" s="22" t="s">
        <v>2690</v>
      </c>
      <c r="H606" s="23" t="s">
        <v>57</v>
      </c>
      <c r="I606" s="21"/>
      <c r="J606" s="25"/>
      <c r="K606" s="26" t="s">
        <v>44</v>
      </c>
      <c r="L606" s="16"/>
      <c r="M606" s="21"/>
    </row>
    <row r="607">
      <c r="A607" s="28">
        <v>46232.0</v>
      </c>
      <c r="B607" s="16" t="s">
        <v>2691</v>
      </c>
      <c r="C607" s="20" t="s">
        <v>2692</v>
      </c>
      <c r="D607" s="21"/>
      <c r="E607" s="22" t="s">
        <v>2693</v>
      </c>
      <c r="H607" s="23" t="s">
        <v>1639</v>
      </c>
      <c r="I607" s="21"/>
      <c r="J607" s="25"/>
      <c r="K607" s="26" t="s">
        <v>44</v>
      </c>
      <c r="L607" s="16"/>
      <c r="M607" s="21"/>
    </row>
    <row r="608">
      <c r="A608" s="28">
        <v>46232.0</v>
      </c>
      <c r="B608" s="16" t="s">
        <v>2694</v>
      </c>
      <c r="C608" s="20" t="s">
        <v>2695</v>
      </c>
      <c r="D608" s="21"/>
      <c r="E608" s="22" t="s">
        <v>2696</v>
      </c>
      <c r="H608" s="23" t="s">
        <v>2697</v>
      </c>
      <c r="I608" s="21"/>
      <c r="J608" s="25"/>
      <c r="K608" s="26" t="s">
        <v>44</v>
      </c>
      <c r="L608" s="16"/>
      <c r="M608" s="21"/>
    </row>
    <row r="609">
      <c r="A609" s="28">
        <v>46232.0</v>
      </c>
      <c r="B609" s="16" t="s">
        <v>2698</v>
      </c>
      <c r="C609" s="20" t="s">
        <v>2699</v>
      </c>
      <c r="D609" s="21"/>
      <c r="E609" s="22" t="s">
        <v>2700</v>
      </c>
      <c r="H609" s="23" t="s">
        <v>57</v>
      </c>
      <c r="I609" s="21"/>
      <c r="J609" s="25"/>
      <c r="K609" s="26" t="s">
        <v>44</v>
      </c>
      <c r="L609" s="16"/>
      <c r="M609" s="21"/>
    </row>
    <row r="610">
      <c r="A610" s="28">
        <v>46232.0</v>
      </c>
      <c r="B610" s="16" t="s">
        <v>2701</v>
      </c>
      <c r="C610" s="20" t="s">
        <v>2702</v>
      </c>
      <c r="D610" s="21"/>
      <c r="E610" s="22" t="s">
        <v>2703</v>
      </c>
      <c r="H610" s="23" t="s">
        <v>111</v>
      </c>
      <c r="I610" s="21"/>
      <c r="J610" s="25"/>
      <c r="K610" s="26" t="s">
        <v>44</v>
      </c>
      <c r="L610" s="16"/>
      <c r="M610" s="21"/>
    </row>
    <row r="611">
      <c r="A611" s="28">
        <v>46232.0</v>
      </c>
      <c r="B611" s="16" t="s">
        <v>2704</v>
      </c>
      <c r="C611" s="20" t="s">
        <v>2705</v>
      </c>
      <c r="D611" s="21"/>
      <c r="E611" s="22" t="s">
        <v>2706</v>
      </c>
      <c r="H611" s="23" t="s">
        <v>2707</v>
      </c>
      <c r="I611" s="21"/>
      <c r="J611" s="25"/>
      <c r="K611" s="26" t="s">
        <v>44</v>
      </c>
      <c r="L611" s="16"/>
      <c r="M611" s="21"/>
    </row>
    <row r="612">
      <c r="A612" s="28">
        <v>46232.0</v>
      </c>
      <c r="B612" s="16" t="s">
        <v>2708</v>
      </c>
      <c r="C612" s="20" t="s">
        <v>2709</v>
      </c>
      <c r="D612" s="21"/>
      <c r="E612" s="22" t="s">
        <v>2710</v>
      </c>
      <c r="H612" s="23" t="s">
        <v>751</v>
      </c>
      <c r="I612" s="21"/>
      <c r="J612" s="25"/>
      <c r="K612" s="26" t="s">
        <v>44</v>
      </c>
      <c r="L612" s="16"/>
      <c r="M612" s="21"/>
    </row>
    <row r="613">
      <c r="A613" s="28">
        <v>46232.0</v>
      </c>
      <c r="B613" s="16" t="s">
        <v>2711</v>
      </c>
      <c r="C613" s="20" t="s">
        <v>2712</v>
      </c>
      <c r="D613" s="21"/>
      <c r="E613" s="22" t="s">
        <v>2713</v>
      </c>
      <c r="H613" s="23" t="s">
        <v>111</v>
      </c>
      <c r="I613" s="21"/>
      <c r="J613" s="25"/>
      <c r="K613" s="26" t="s">
        <v>44</v>
      </c>
      <c r="L613" s="16"/>
      <c r="M613" s="21"/>
    </row>
    <row r="614">
      <c r="A614" s="28">
        <v>46232.0</v>
      </c>
      <c r="B614" s="16" t="s">
        <v>2714</v>
      </c>
      <c r="C614" s="20" t="s">
        <v>2715</v>
      </c>
      <c r="D614" s="21"/>
      <c r="E614" s="22" t="s">
        <v>2716</v>
      </c>
      <c r="H614" s="23" t="s">
        <v>57</v>
      </c>
      <c r="I614" s="21"/>
      <c r="J614" s="25"/>
      <c r="K614" s="26" t="s">
        <v>44</v>
      </c>
      <c r="L614" s="16"/>
      <c r="M614" s="21"/>
    </row>
    <row r="615">
      <c r="A615" s="28">
        <v>46232.0</v>
      </c>
      <c r="B615" s="16" t="s">
        <v>2717</v>
      </c>
      <c r="C615" s="20" t="s">
        <v>2718</v>
      </c>
      <c r="D615" s="21"/>
      <c r="E615" s="22" t="s">
        <v>2719</v>
      </c>
      <c r="H615" s="23" t="s">
        <v>2720</v>
      </c>
      <c r="I615" s="21"/>
      <c r="J615" s="25"/>
      <c r="K615" s="26" t="s">
        <v>44</v>
      </c>
      <c r="L615" s="16"/>
      <c r="M615" s="21"/>
    </row>
    <row r="616">
      <c r="A616" s="28">
        <v>46232.0</v>
      </c>
      <c r="B616" s="16" t="s">
        <v>2721</v>
      </c>
      <c r="C616" s="20" t="s">
        <v>2722</v>
      </c>
      <c r="D616" s="21"/>
      <c r="E616" s="22" t="s">
        <v>2723</v>
      </c>
      <c r="H616" s="23" t="s">
        <v>1967</v>
      </c>
      <c r="I616" s="21"/>
      <c r="J616" s="25"/>
      <c r="K616" s="26" t="s">
        <v>44</v>
      </c>
      <c r="L616" s="16"/>
      <c r="M616" s="21"/>
    </row>
    <row r="617">
      <c r="A617" s="28">
        <v>46232.0</v>
      </c>
      <c r="B617" s="16" t="s">
        <v>2724</v>
      </c>
      <c r="C617" s="20" t="s">
        <v>2725</v>
      </c>
      <c r="D617" s="21"/>
      <c r="E617" s="22" t="s">
        <v>2726</v>
      </c>
      <c r="H617" s="23" t="s">
        <v>2727</v>
      </c>
      <c r="I617" s="21"/>
      <c r="J617" s="25"/>
      <c r="K617" s="26" t="s">
        <v>44</v>
      </c>
      <c r="L617" s="16"/>
      <c r="M617" s="21"/>
    </row>
    <row r="618">
      <c r="A618" s="28">
        <v>46232.0</v>
      </c>
      <c r="B618" s="16" t="s">
        <v>2728</v>
      </c>
      <c r="C618" s="20" t="s">
        <v>2729</v>
      </c>
      <c r="D618" s="21"/>
      <c r="E618" s="22" t="s">
        <v>2730</v>
      </c>
      <c r="H618" s="23" t="s">
        <v>1093</v>
      </c>
      <c r="I618" s="21"/>
      <c r="J618" s="25"/>
      <c r="K618" s="26" t="s">
        <v>44</v>
      </c>
      <c r="L618" s="16"/>
      <c r="M618" s="21"/>
    </row>
    <row r="619">
      <c r="A619" s="28">
        <v>46232.0</v>
      </c>
      <c r="B619" s="16" t="s">
        <v>2731</v>
      </c>
      <c r="C619" s="20" t="s">
        <v>2732</v>
      </c>
      <c r="D619" s="21"/>
      <c r="E619" s="22" t="s">
        <v>2733</v>
      </c>
      <c r="H619" s="23" t="s">
        <v>1671</v>
      </c>
      <c r="I619" s="21"/>
      <c r="J619" s="25"/>
      <c r="K619" s="26" t="s">
        <v>44</v>
      </c>
      <c r="L619" s="16"/>
      <c r="M619" s="21"/>
    </row>
    <row r="620">
      <c r="A620" s="28">
        <v>46232.0</v>
      </c>
      <c r="B620" s="16" t="s">
        <v>2734</v>
      </c>
      <c r="C620" s="20" t="s">
        <v>2735</v>
      </c>
      <c r="D620" s="21"/>
      <c r="E620" s="22" t="s">
        <v>2736</v>
      </c>
      <c r="H620" s="23" t="s">
        <v>1016</v>
      </c>
      <c r="I620" s="21"/>
      <c r="J620" s="25"/>
      <c r="K620" s="26" t="s">
        <v>44</v>
      </c>
      <c r="L620" s="16"/>
      <c r="M620" s="21"/>
    </row>
    <row r="621">
      <c r="A621" s="28">
        <v>46232.0</v>
      </c>
      <c r="B621" s="16" t="s">
        <v>2737</v>
      </c>
      <c r="C621" s="20" t="s">
        <v>2738</v>
      </c>
      <c r="D621" s="21"/>
      <c r="E621" s="22" t="s">
        <v>2739</v>
      </c>
      <c r="H621" s="23" t="s">
        <v>2740</v>
      </c>
      <c r="I621" s="21"/>
      <c r="J621" s="25"/>
      <c r="K621" s="26" t="s">
        <v>44</v>
      </c>
      <c r="L621" s="16"/>
      <c r="M621" s="21"/>
    </row>
    <row r="622">
      <c r="A622" s="28">
        <v>46232.0</v>
      </c>
      <c r="B622" s="16" t="s">
        <v>2741</v>
      </c>
      <c r="C622" s="20" t="s">
        <v>2742</v>
      </c>
      <c r="D622" s="21"/>
      <c r="E622" s="22" t="s">
        <v>2743</v>
      </c>
      <c r="H622" s="23" t="s">
        <v>2157</v>
      </c>
      <c r="I622" s="21"/>
      <c r="J622" s="25"/>
      <c r="K622" s="26" t="s">
        <v>44</v>
      </c>
      <c r="L622" s="16"/>
      <c r="M622" s="21"/>
    </row>
    <row r="623">
      <c r="A623" s="28">
        <v>46232.0</v>
      </c>
      <c r="B623" s="16" t="s">
        <v>2744</v>
      </c>
      <c r="C623" s="20" t="s">
        <v>2745</v>
      </c>
      <c r="D623" s="21"/>
      <c r="E623" s="22" t="s">
        <v>2746</v>
      </c>
      <c r="H623" s="23" t="s">
        <v>2747</v>
      </c>
      <c r="I623" s="21"/>
      <c r="J623" s="25"/>
      <c r="K623" s="26" t="s">
        <v>44</v>
      </c>
      <c r="L623" s="16"/>
      <c r="M623" s="21"/>
    </row>
    <row r="624">
      <c r="A624" s="28">
        <v>46232.0</v>
      </c>
      <c r="B624" s="16" t="s">
        <v>2748</v>
      </c>
      <c r="C624" s="20" t="s">
        <v>2749</v>
      </c>
      <c r="D624" s="21"/>
      <c r="E624" s="22" t="s">
        <v>2750</v>
      </c>
      <c r="H624" s="23" t="s">
        <v>1708</v>
      </c>
      <c r="I624" s="21"/>
      <c r="J624" s="25"/>
      <c r="K624" s="26" t="s">
        <v>44</v>
      </c>
      <c r="L624" s="16"/>
      <c r="M624" s="21"/>
    </row>
    <row r="625">
      <c r="A625" s="28">
        <v>46232.0</v>
      </c>
      <c r="B625" s="16" t="s">
        <v>2751</v>
      </c>
      <c r="C625" s="20" t="s">
        <v>2752</v>
      </c>
      <c r="D625" s="21"/>
      <c r="E625" s="22" t="s">
        <v>2753</v>
      </c>
      <c r="H625" s="23" t="s">
        <v>42</v>
      </c>
      <c r="I625" s="21"/>
      <c r="J625" s="25"/>
      <c r="K625" s="26" t="s">
        <v>44</v>
      </c>
      <c r="L625" s="16"/>
      <c r="M625" s="21"/>
    </row>
    <row r="626">
      <c r="A626" s="28">
        <v>46232.0</v>
      </c>
      <c r="B626" s="16" t="s">
        <v>2754</v>
      </c>
      <c r="C626" s="20" t="s">
        <v>2755</v>
      </c>
      <c r="D626" s="21"/>
      <c r="E626" s="22" t="s">
        <v>2756</v>
      </c>
      <c r="H626" s="23" t="s">
        <v>111</v>
      </c>
      <c r="I626" s="21"/>
      <c r="J626" s="25"/>
      <c r="K626" s="26" t="s">
        <v>44</v>
      </c>
      <c r="L626" s="16"/>
      <c r="M626" s="21"/>
    </row>
    <row r="627">
      <c r="A627" s="28">
        <v>46232.0</v>
      </c>
      <c r="B627" s="16" t="s">
        <v>2757</v>
      </c>
      <c r="C627" s="20" t="s">
        <v>2758</v>
      </c>
      <c r="D627" s="21"/>
      <c r="E627" s="22" t="s">
        <v>2759</v>
      </c>
      <c r="H627" s="23" t="s">
        <v>2760</v>
      </c>
      <c r="I627" s="21"/>
      <c r="J627" s="25"/>
      <c r="K627" s="26" t="s">
        <v>44</v>
      </c>
      <c r="L627" s="16"/>
      <c r="M627" s="21"/>
    </row>
    <row r="628">
      <c r="A628" s="28">
        <v>46232.0</v>
      </c>
      <c r="B628" s="16" t="s">
        <v>2761</v>
      </c>
      <c r="C628" s="20" t="s">
        <v>2762</v>
      </c>
      <c r="D628" s="21"/>
      <c r="E628" s="22" t="s">
        <v>2763</v>
      </c>
      <c r="H628" s="23" t="s">
        <v>751</v>
      </c>
      <c r="I628" s="21"/>
      <c r="J628" s="25"/>
      <c r="K628" s="26" t="s">
        <v>44</v>
      </c>
      <c r="L628" s="16"/>
      <c r="M628" s="21"/>
    </row>
    <row r="629">
      <c r="A629" s="28">
        <v>46232.0</v>
      </c>
      <c r="B629" s="16" t="s">
        <v>2764</v>
      </c>
      <c r="C629" s="20" t="s">
        <v>2765</v>
      </c>
      <c r="D629" s="21"/>
      <c r="E629" s="22" t="s">
        <v>2766</v>
      </c>
      <c r="H629" s="23" t="s">
        <v>65</v>
      </c>
      <c r="I629" s="21"/>
      <c r="J629" s="25"/>
      <c r="K629" s="26" t="s">
        <v>44</v>
      </c>
      <c r="L629" s="16"/>
      <c r="M629" s="21"/>
    </row>
    <row r="630">
      <c r="A630" s="28">
        <v>46232.0</v>
      </c>
      <c r="B630" s="16" t="s">
        <v>2767</v>
      </c>
      <c r="C630" s="20" t="s">
        <v>2768</v>
      </c>
      <c r="D630" s="21"/>
      <c r="E630" s="22" t="s">
        <v>2769</v>
      </c>
      <c r="H630" s="23" t="s">
        <v>1016</v>
      </c>
      <c r="I630" s="21"/>
      <c r="J630" s="25"/>
      <c r="K630" s="26" t="s">
        <v>44</v>
      </c>
      <c r="L630" s="16"/>
      <c r="M630" s="21"/>
    </row>
    <row r="631">
      <c r="A631" s="28">
        <v>46232.0</v>
      </c>
      <c r="B631" s="16" t="s">
        <v>2770</v>
      </c>
      <c r="C631" s="20" t="s">
        <v>2771</v>
      </c>
      <c r="D631" s="21"/>
      <c r="E631" s="22" t="s">
        <v>2772</v>
      </c>
      <c r="H631" s="23" t="s">
        <v>57</v>
      </c>
      <c r="I631" s="21"/>
      <c r="J631" s="25"/>
      <c r="K631" s="26" t="s">
        <v>44</v>
      </c>
      <c r="L631" s="16"/>
      <c r="M631" s="21"/>
    </row>
    <row r="632">
      <c r="A632" s="28">
        <v>46232.0</v>
      </c>
      <c r="B632" s="16" t="s">
        <v>2773</v>
      </c>
      <c r="C632" s="20" t="s">
        <v>2774</v>
      </c>
      <c r="D632" s="21"/>
      <c r="E632" s="22" t="s">
        <v>2775</v>
      </c>
      <c r="H632" s="23" t="s">
        <v>299</v>
      </c>
      <c r="I632" s="21"/>
      <c r="J632" s="25"/>
      <c r="K632" s="26" t="s">
        <v>44</v>
      </c>
      <c r="L632" s="16"/>
      <c r="M632" s="21"/>
    </row>
    <row r="633">
      <c r="A633" s="28">
        <v>46232.0</v>
      </c>
      <c r="B633" s="16" t="s">
        <v>2776</v>
      </c>
      <c r="C633" s="20" t="s">
        <v>2777</v>
      </c>
      <c r="D633" s="21"/>
      <c r="E633" s="22" t="s">
        <v>2778</v>
      </c>
      <c r="H633" s="23" t="s">
        <v>2200</v>
      </c>
      <c r="I633" s="21"/>
      <c r="J633" s="25"/>
      <c r="K633" s="26" t="s">
        <v>44</v>
      </c>
      <c r="L633" s="16"/>
      <c r="M633" s="21"/>
    </row>
    <row r="634">
      <c r="A634" s="28">
        <v>46232.0</v>
      </c>
      <c r="B634" s="16" t="s">
        <v>2779</v>
      </c>
      <c r="C634" s="20" t="s">
        <v>2780</v>
      </c>
      <c r="D634" s="21"/>
      <c r="E634" s="22" t="s">
        <v>2781</v>
      </c>
      <c r="H634" s="23" t="s">
        <v>2782</v>
      </c>
      <c r="I634" s="21"/>
      <c r="J634" s="25"/>
      <c r="K634" s="26" t="s">
        <v>44</v>
      </c>
      <c r="L634" s="16"/>
      <c r="M634" s="21"/>
    </row>
    <row r="635">
      <c r="A635" s="28">
        <v>46232.0</v>
      </c>
      <c r="B635" s="16" t="s">
        <v>2783</v>
      </c>
      <c r="C635" s="20" t="s">
        <v>2784</v>
      </c>
      <c r="D635" s="21"/>
      <c r="E635" s="22" t="s">
        <v>2785</v>
      </c>
      <c r="H635" s="23" t="s">
        <v>2786</v>
      </c>
      <c r="I635" s="21"/>
      <c r="J635" s="25"/>
      <c r="K635" s="26" t="s">
        <v>44</v>
      </c>
      <c r="L635" s="16"/>
      <c r="M635" s="21"/>
    </row>
    <row r="636">
      <c r="A636" s="28">
        <v>46232.0</v>
      </c>
      <c r="B636" s="16" t="s">
        <v>2787</v>
      </c>
      <c r="C636" s="20" t="s">
        <v>2788</v>
      </c>
      <c r="D636" s="21"/>
      <c r="E636" s="22" t="s">
        <v>2789</v>
      </c>
      <c r="H636" s="23" t="s">
        <v>2157</v>
      </c>
      <c r="I636" s="21"/>
      <c r="J636" s="25"/>
      <c r="K636" s="26" t="s">
        <v>44</v>
      </c>
      <c r="L636" s="16"/>
      <c r="M636" s="21"/>
    </row>
    <row r="637">
      <c r="A637" s="28">
        <v>46232.0</v>
      </c>
      <c r="B637" s="16" t="s">
        <v>2790</v>
      </c>
      <c r="C637" s="20" t="s">
        <v>2791</v>
      </c>
      <c r="D637" s="21"/>
      <c r="E637" s="22" t="s">
        <v>2792</v>
      </c>
      <c r="H637" s="23" t="s">
        <v>2793</v>
      </c>
      <c r="I637" s="21"/>
      <c r="J637" s="25"/>
      <c r="K637" s="26" t="s">
        <v>44</v>
      </c>
      <c r="L637" s="16"/>
      <c r="M637" s="21"/>
    </row>
    <row r="638">
      <c r="A638" s="28">
        <v>46232.0</v>
      </c>
      <c r="B638" s="16" t="s">
        <v>2794</v>
      </c>
      <c r="C638" s="20" t="s">
        <v>2795</v>
      </c>
      <c r="D638" s="21"/>
      <c r="E638" s="22" t="s">
        <v>2796</v>
      </c>
      <c r="H638" s="23" t="s">
        <v>2797</v>
      </c>
      <c r="I638" s="21"/>
      <c r="J638" s="25"/>
      <c r="K638" s="26" t="s">
        <v>44</v>
      </c>
      <c r="L638" s="16"/>
      <c r="M638" s="21"/>
    </row>
    <row r="639">
      <c r="A639" s="28">
        <v>46232.0</v>
      </c>
      <c r="B639" s="16" t="s">
        <v>2798</v>
      </c>
      <c r="C639" s="20" t="s">
        <v>2799</v>
      </c>
      <c r="D639" s="21"/>
      <c r="E639" s="22" t="s">
        <v>2800</v>
      </c>
      <c r="H639" s="23" t="s">
        <v>48</v>
      </c>
      <c r="I639" s="21"/>
      <c r="J639" s="25"/>
      <c r="K639" s="26" t="s">
        <v>44</v>
      </c>
      <c r="L639" s="16"/>
      <c r="M639" s="21"/>
    </row>
    <row r="640">
      <c r="A640" s="28">
        <v>46232.0</v>
      </c>
      <c r="B640" s="16" t="s">
        <v>2801</v>
      </c>
      <c r="C640" s="20" t="s">
        <v>2802</v>
      </c>
      <c r="D640" s="21"/>
      <c r="E640" s="22" t="s">
        <v>2803</v>
      </c>
      <c r="H640" s="23" t="s">
        <v>896</v>
      </c>
      <c r="I640" s="21"/>
      <c r="J640" s="25"/>
      <c r="K640" s="26" t="s">
        <v>44</v>
      </c>
      <c r="L640" s="16"/>
      <c r="M640" s="21"/>
    </row>
    <row r="641">
      <c r="A641" s="28">
        <v>46232.0</v>
      </c>
      <c r="B641" s="16" t="s">
        <v>2804</v>
      </c>
      <c r="C641" s="20" t="s">
        <v>2805</v>
      </c>
      <c r="D641" s="21"/>
      <c r="E641" s="22" t="s">
        <v>2806</v>
      </c>
      <c r="H641" s="23" t="s">
        <v>2707</v>
      </c>
      <c r="I641" s="21"/>
      <c r="J641" s="25"/>
      <c r="K641" s="26" t="s">
        <v>44</v>
      </c>
      <c r="L641" s="16"/>
      <c r="M641" s="21"/>
    </row>
    <row r="642">
      <c r="A642" s="28">
        <v>46232.0</v>
      </c>
      <c r="B642" s="16" t="s">
        <v>2807</v>
      </c>
      <c r="C642" s="20" t="s">
        <v>2808</v>
      </c>
      <c r="D642" s="21"/>
      <c r="E642" s="22" t="s">
        <v>2809</v>
      </c>
      <c r="H642" s="23" t="s">
        <v>1534</v>
      </c>
      <c r="I642" s="21"/>
      <c r="J642" s="25"/>
      <c r="K642" s="26" t="s">
        <v>44</v>
      </c>
      <c r="L642" s="16"/>
      <c r="M642" s="21"/>
    </row>
    <row r="643">
      <c r="A643" s="28">
        <v>46232.0</v>
      </c>
      <c r="B643" s="16" t="s">
        <v>2810</v>
      </c>
      <c r="C643" s="20" t="s">
        <v>2811</v>
      </c>
      <c r="D643" s="21"/>
      <c r="E643" s="22" t="s">
        <v>2812</v>
      </c>
      <c r="H643" s="23" t="s">
        <v>751</v>
      </c>
      <c r="I643" s="21"/>
      <c r="J643" s="25"/>
      <c r="K643" s="26" t="s">
        <v>44</v>
      </c>
      <c r="L643" s="16"/>
      <c r="M643" s="21"/>
    </row>
    <row r="644">
      <c r="A644" s="28">
        <v>46232.0</v>
      </c>
      <c r="B644" s="16" t="s">
        <v>2813</v>
      </c>
      <c r="C644" s="20" t="s">
        <v>2814</v>
      </c>
      <c r="D644" s="21"/>
      <c r="E644" s="22" t="s">
        <v>2815</v>
      </c>
      <c r="H644" s="23" t="s">
        <v>404</v>
      </c>
      <c r="I644" s="21"/>
      <c r="J644" s="25"/>
      <c r="K644" s="26" t="s">
        <v>44</v>
      </c>
      <c r="L644" s="16"/>
      <c r="M644" s="21"/>
    </row>
    <row r="645">
      <c r="A645" s="28">
        <v>46232.0</v>
      </c>
      <c r="B645" s="16" t="s">
        <v>2816</v>
      </c>
      <c r="C645" s="20" t="s">
        <v>2817</v>
      </c>
      <c r="D645" s="21"/>
      <c r="E645" s="22" t="s">
        <v>2818</v>
      </c>
      <c r="H645" s="23" t="s">
        <v>2078</v>
      </c>
      <c r="I645" s="21"/>
      <c r="J645" s="25"/>
      <c r="K645" s="26" t="s">
        <v>44</v>
      </c>
      <c r="L645" s="16"/>
      <c r="M645" s="21"/>
    </row>
    <row r="646">
      <c r="A646" s="28">
        <v>46232.0</v>
      </c>
      <c r="B646" s="16" t="s">
        <v>2819</v>
      </c>
      <c r="C646" s="20" t="s">
        <v>2820</v>
      </c>
      <c r="D646" s="21"/>
      <c r="E646" s="22" t="s">
        <v>2821</v>
      </c>
      <c r="H646" s="23" t="s">
        <v>1534</v>
      </c>
      <c r="I646" s="21"/>
      <c r="J646" s="25"/>
      <c r="K646" s="26" t="s">
        <v>44</v>
      </c>
      <c r="L646" s="16"/>
      <c r="M646" s="21"/>
    </row>
    <row r="647">
      <c r="A647" s="28">
        <v>46232.0</v>
      </c>
      <c r="B647" s="16" t="s">
        <v>2822</v>
      </c>
      <c r="C647" s="20" t="s">
        <v>2823</v>
      </c>
      <c r="D647" s="21"/>
      <c r="E647" s="22" t="s">
        <v>2824</v>
      </c>
      <c r="H647" s="23" t="s">
        <v>76</v>
      </c>
      <c r="I647" s="21"/>
      <c r="J647" s="25"/>
      <c r="K647" s="26" t="s">
        <v>44</v>
      </c>
      <c r="L647" s="16"/>
      <c r="M647" s="21"/>
    </row>
    <row r="648">
      <c r="A648" s="28">
        <v>46232.0</v>
      </c>
      <c r="B648" s="16" t="s">
        <v>2825</v>
      </c>
      <c r="C648" s="20" t="s">
        <v>2826</v>
      </c>
      <c r="D648" s="21"/>
      <c r="E648" s="22" t="s">
        <v>2827</v>
      </c>
      <c r="H648" s="23" t="s">
        <v>479</v>
      </c>
      <c r="I648" s="21"/>
      <c r="J648" s="25"/>
      <c r="K648" s="26" t="s">
        <v>44</v>
      </c>
      <c r="L648" s="16"/>
      <c r="M648" s="21"/>
    </row>
    <row r="649">
      <c r="A649" s="28">
        <v>46232.0</v>
      </c>
      <c r="B649" s="16" t="s">
        <v>2828</v>
      </c>
      <c r="C649" s="20" t="s">
        <v>2829</v>
      </c>
      <c r="D649" s="21"/>
      <c r="E649" s="22" t="s">
        <v>2830</v>
      </c>
      <c r="H649" s="23" t="s">
        <v>2831</v>
      </c>
      <c r="I649" s="21"/>
      <c r="J649" s="25"/>
      <c r="K649" s="26" t="s">
        <v>44</v>
      </c>
      <c r="L649" s="16"/>
      <c r="M649" s="21"/>
    </row>
    <row r="650">
      <c r="A650" s="28">
        <v>46232.0</v>
      </c>
      <c r="B650" s="16" t="s">
        <v>2832</v>
      </c>
      <c r="C650" s="20" t="s">
        <v>2833</v>
      </c>
      <c r="D650" s="21"/>
      <c r="E650" s="22" t="s">
        <v>2834</v>
      </c>
      <c r="H650" s="23" t="s">
        <v>1016</v>
      </c>
      <c r="I650" s="21"/>
      <c r="J650" s="25"/>
      <c r="K650" s="26" t="s">
        <v>44</v>
      </c>
      <c r="L650" s="16"/>
      <c r="M650" s="21"/>
    </row>
    <row r="651">
      <c r="A651" s="28">
        <v>46232.0</v>
      </c>
      <c r="B651" s="16" t="s">
        <v>2835</v>
      </c>
      <c r="C651" s="20" t="s">
        <v>2836</v>
      </c>
      <c r="D651" s="21"/>
      <c r="E651" s="22" t="s">
        <v>2837</v>
      </c>
      <c r="H651" s="23" t="s">
        <v>2838</v>
      </c>
      <c r="I651" s="21"/>
      <c r="J651" s="25"/>
      <c r="K651" s="26" t="s">
        <v>44</v>
      </c>
      <c r="L651" s="16"/>
      <c r="M651" s="21"/>
    </row>
    <row r="652">
      <c r="A652" s="28">
        <v>46232.0</v>
      </c>
      <c r="B652" s="16" t="s">
        <v>2839</v>
      </c>
      <c r="C652" s="20" t="s">
        <v>2840</v>
      </c>
      <c r="D652" s="21"/>
      <c r="E652" s="22" t="s">
        <v>2841</v>
      </c>
      <c r="H652" s="23" t="s">
        <v>2842</v>
      </c>
      <c r="I652" s="21"/>
      <c r="J652" s="25"/>
      <c r="K652" s="26" t="s">
        <v>44</v>
      </c>
      <c r="L652" s="16"/>
      <c r="M652" s="21"/>
    </row>
    <row r="653">
      <c r="A653" s="28">
        <v>46232.0</v>
      </c>
      <c r="B653" s="16" t="s">
        <v>2843</v>
      </c>
      <c r="C653" s="20" t="s">
        <v>2844</v>
      </c>
      <c r="D653" s="21"/>
      <c r="E653" s="22" t="s">
        <v>2845</v>
      </c>
      <c r="H653" s="23" t="s">
        <v>2846</v>
      </c>
      <c r="I653" s="21"/>
      <c r="J653" s="25"/>
      <c r="K653" s="26" t="s">
        <v>44</v>
      </c>
      <c r="L653" s="16"/>
      <c r="M653" s="21"/>
    </row>
    <row r="654">
      <c r="A654" s="28">
        <v>46232.0</v>
      </c>
      <c r="B654" s="16" t="s">
        <v>2847</v>
      </c>
      <c r="C654" s="20" t="s">
        <v>2848</v>
      </c>
      <c r="D654" s="21"/>
      <c r="E654" s="22" t="s">
        <v>2849</v>
      </c>
      <c r="H654" s="23" t="s">
        <v>2850</v>
      </c>
      <c r="I654" s="21"/>
      <c r="J654" s="25"/>
      <c r="K654" s="26" t="s">
        <v>44</v>
      </c>
      <c r="L654" s="16"/>
      <c r="M654" s="21"/>
    </row>
    <row r="655">
      <c r="A655" s="28">
        <v>46232.0</v>
      </c>
      <c r="B655" s="16" t="s">
        <v>2851</v>
      </c>
      <c r="C655" s="20" t="s">
        <v>2852</v>
      </c>
      <c r="D655" s="21"/>
      <c r="E655" s="22" t="s">
        <v>2853</v>
      </c>
      <c r="H655" s="23" t="s">
        <v>412</v>
      </c>
      <c r="I655" s="21"/>
      <c r="J655" s="25"/>
      <c r="K655" s="26" t="s">
        <v>44</v>
      </c>
      <c r="L655" s="16"/>
      <c r="M655" s="21"/>
    </row>
    <row r="656">
      <c r="A656" s="28">
        <v>46232.0</v>
      </c>
      <c r="B656" s="16" t="s">
        <v>2854</v>
      </c>
      <c r="C656" s="20" t="s">
        <v>2855</v>
      </c>
      <c r="D656" s="21"/>
      <c r="E656" s="22" t="s">
        <v>2856</v>
      </c>
      <c r="H656" s="23" t="s">
        <v>1727</v>
      </c>
      <c r="I656" s="21"/>
      <c r="J656" s="25"/>
      <c r="K656" s="26" t="s">
        <v>44</v>
      </c>
      <c r="L656" s="16"/>
      <c r="M656" s="21"/>
    </row>
    <row r="657">
      <c r="A657" s="28">
        <v>46232.0</v>
      </c>
      <c r="B657" s="16" t="s">
        <v>2857</v>
      </c>
      <c r="C657" s="20" t="s">
        <v>2858</v>
      </c>
      <c r="D657" s="21"/>
      <c r="E657" s="22" t="s">
        <v>2859</v>
      </c>
      <c r="H657" s="23" t="s">
        <v>2860</v>
      </c>
      <c r="I657" s="21"/>
      <c r="J657" s="25"/>
      <c r="K657" s="26" t="s">
        <v>44</v>
      </c>
      <c r="L657" s="16"/>
      <c r="M657" s="21"/>
    </row>
    <row r="658">
      <c r="A658" s="28">
        <v>46232.0</v>
      </c>
      <c r="B658" s="16" t="s">
        <v>2861</v>
      </c>
      <c r="C658" s="20" t="s">
        <v>2862</v>
      </c>
      <c r="D658" s="21"/>
      <c r="E658" s="22" t="s">
        <v>2863</v>
      </c>
      <c r="H658" s="23" t="s">
        <v>57</v>
      </c>
      <c r="I658" s="21"/>
      <c r="J658" s="25"/>
      <c r="K658" s="26" t="s">
        <v>44</v>
      </c>
      <c r="L658" s="16"/>
      <c r="M658" s="21"/>
    </row>
    <row r="659">
      <c r="A659" s="28">
        <v>46232.0</v>
      </c>
      <c r="B659" s="16" t="s">
        <v>2864</v>
      </c>
      <c r="C659" s="20" t="s">
        <v>2865</v>
      </c>
      <c r="D659" s="21"/>
      <c r="E659" s="22" t="s">
        <v>2866</v>
      </c>
      <c r="H659" s="23" t="s">
        <v>2867</v>
      </c>
      <c r="I659" s="21"/>
      <c r="J659" s="25"/>
      <c r="K659" s="26" t="s">
        <v>44</v>
      </c>
      <c r="L659" s="16"/>
      <c r="M659" s="21"/>
    </row>
    <row r="660">
      <c r="A660" s="28">
        <v>46232.0</v>
      </c>
      <c r="B660" s="16" t="s">
        <v>2868</v>
      </c>
      <c r="C660" s="20" t="s">
        <v>2869</v>
      </c>
      <c r="D660" s="21"/>
      <c r="E660" s="22" t="s">
        <v>2870</v>
      </c>
      <c r="H660" s="23" t="s">
        <v>2871</v>
      </c>
      <c r="I660" s="21"/>
      <c r="J660" s="25"/>
      <c r="K660" s="26" t="s">
        <v>44</v>
      </c>
      <c r="L660" s="16"/>
      <c r="M660" s="21"/>
    </row>
    <row r="661">
      <c r="A661" s="28">
        <v>46232.0</v>
      </c>
      <c r="B661" s="16" t="s">
        <v>2872</v>
      </c>
      <c r="C661" s="20" t="s">
        <v>2873</v>
      </c>
      <c r="D661" s="21"/>
      <c r="E661" s="22" t="s">
        <v>2874</v>
      </c>
      <c r="H661" s="23" t="s">
        <v>48</v>
      </c>
      <c r="I661" s="21"/>
      <c r="J661" s="25"/>
      <c r="K661" s="26" t="s">
        <v>44</v>
      </c>
      <c r="L661" s="16"/>
      <c r="M661" s="21"/>
    </row>
    <row r="662">
      <c r="A662" s="28">
        <v>46232.0</v>
      </c>
      <c r="B662" s="16" t="s">
        <v>2875</v>
      </c>
      <c r="C662" s="20" t="s">
        <v>2876</v>
      </c>
      <c r="D662" s="21"/>
      <c r="E662" s="22" t="s">
        <v>2877</v>
      </c>
      <c r="H662" s="23" t="s">
        <v>1848</v>
      </c>
      <c r="I662" s="21"/>
      <c r="J662" s="25"/>
      <c r="K662" s="26" t="s">
        <v>44</v>
      </c>
      <c r="L662" s="16"/>
      <c r="M662" s="21"/>
    </row>
    <row r="663">
      <c r="A663" s="28">
        <v>46232.0</v>
      </c>
      <c r="B663" s="16" t="s">
        <v>2879</v>
      </c>
      <c r="C663" s="20" t="s">
        <v>2880</v>
      </c>
      <c r="D663" s="21"/>
      <c r="E663" s="22" t="s">
        <v>2881</v>
      </c>
      <c r="H663" s="23" t="s">
        <v>48</v>
      </c>
      <c r="I663" s="21"/>
      <c r="J663" s="25"/>
      <c r="K663" s="26" t="s">
        <v>44</v>
      </c>
      <c r="L663" s="16"/>
      <c r="M663" s="21"/>
    </row>
    <row r="664">
      <c r="A664" s="28">
        <v>46232.0</v>
      </c>
      <c r="B664" s="16" t="s">
        <v>2882</v>
      </c>
      <c r="C664" s="20" t="s">
        <v>2883</v>
      </c>
      <c r="D664" s="21"/>
      <c r="E664" s="22" t="s">
        <v>2884</v>
      </c>
      <c r="H664" s="23" t="s">
        <v>1619</v>
      </c>
      <c r="I664" s="21"/>
      <c r="J664" s="25"/>
      <c r="K664" s="26" t="s">
        <v>44</v>
      </c>
      <c r="L664" s="16"/>
      <c r="M664" s="21"/>
    </row>
    <row r="665">
      <c r="A665" s="28">
        <v>46232.0</v>
      </c>
      <c r="B665" s="16" t="s">
        <v>2885</v>
      </c>
      <c r="C665" s="20" t="s">
        <v>2886</v>
      </c>
      <c r="D665" s="21"/>
      <c r="E665" s="22" t="s">
        <v>2887</v>
      </c>
      <c r="H665" s="23" t="s">
        <v>583</v>
      </c>
      <c r="I665" s="21"/>
      <c r="J665" s="25"/>
      <c r="K665" s="26" t="s">
        <v>44</v>
      </c>
      <c r="L665" s="16"/>
      <c r="M665" s="21"/>
    </row>
    <row r="666">
      <c r="A666" s="28">
        <v>46232.0</v>
      </c>
      <c r="B666" s="16" t="s">
        <v>2888</v>
      </c>
      <c r="C666" s="20" t="s">
        <v>2889</v>
      </c>
      <c r="D666" s="21"/>
      <c r="E666" s="22" t="s">
        <v>2890</v>
      </c>
      <c r="H666" s="23" t="s">
        <v>57</v>
      </c>
      <c r="I666" s="21"/>
      <c r="J666" s="25"/>
      <c r="K666" s="26" t="s">
        <v>44</v>
      </c>
      <c r="L666" s="16"/>
      <c r="M666" s="21"/>
    </row>
    <row r="667">
      <c r="A667" s="28">
        <v>46232.0</v>
      </c>
      <c r="B667" s="16" t="s">
        <v>2891</v>
      </c>
      <c r="C667" s="20" t="s">
        <v>2892</v>
      </c>
      <c r="D667" s="21"/>
      <c r="E667" s="22" t="s">
        <v>2893</v>
      </c>
      <c r="H667" s="23" t="s">
        <v>2220</v>
      </c>
      <c r="I667" s="21"/>
      <c r="J667" s="25"/>
      <c r="K667" s="26" t="s">
        <v>44</v>
      </c>
      <c r="L667" s="16"/>
      <c r="M667" s="21"/>
    </row>
    <row r="668">
      <c r="A668" s="28">
        <v>46232.0</v>
      </c>
      <c r="B668" s="16" t="s">
        <v>2894</v>
      </c>
      <c r="C668" s="20" t="s">
        <v>2895</v>
      </c>
      <c r="D668" s="21"/>
      <c r="E668" s="22" t="s">
        <v>2896</v>
      </c>
      <c r="H668" s="23" t="s">
        <v>2897</v>
      </c>
      <c r="I668" s="21"/>
      <c r="J668" s="25"/>
      <c r="K668" s="26" t="s">
        <v>44</v>
      </c>
      <c r="L668" s="16"/>
      <c r="M668" s="21"/>
    </row>
    <row r="669">
      <c r="A669" s="28">
        <v>46232.0</v>
      </c>
      <c r="B669" s="16" t="s">
        <v>2898</v>
      </c>
      <c r="C669" s="20" t="s">
        <v>2899</v>
      </c>
      <c r="D669" s="21"/>
      <c r="E669" s="22" t="s">
        <v>2900</v>
      </c>
      <c r="H669" s="23" t="s">
        <v>2901</v>
      </c>
      <c r="I669" s="21"/>
      <c r="J669" s="25"/>
      <c r="K669" s="26" t="s">
        <v>44</v>
      </c>
      <c r="L669" s="16"/>
      <c r="M669" s="21"/>
    </row>
    <row r="670">
      <c r="A670" s="28">
        <v>46232.0</v>
      </c>
      <c r="B670" s="16" t="s">
        <v>2902</v>
      </c>
      <c r="C670" s="20" t="s">
        <v>2903</v>
      </c>
      <c r="D670" s="21"/>
      <c r="E670" s="22" t="s">
        <v>2904</v>
      </c>
      <c r="H670" s="23" t="s">
        <v>2251</v>
      </c>
      <c r="I670" s="21"/>
      <c r="J670" s="25"/>
      <c r="K670" s="26" t="s">
        <v>44</v>
      </c>
      <c r="L670" s="16"/>
      <c r="M670" s="21"/>
    </row>
    <row r="671">
      <c r="A671" s="28">
        <v>46232.0</v>
      </c>
      <c r="B671" s="16" t="s">
        <v>2905</v>
      </c>
      <c r="C671" s="20" t="s">
        <v>2906</v>
      </c>
      <c r="D671" s="21"/>
      <c r="E671" s="22" t="s">
        <v>2907</v>
      </c>
      <c r="H671" s="23" t="s">
        <v>127</v>
      </c>
      <c r="I671" s="21"/>
      <c r="J671" s="25"/>
      <c r="K671" s="26" t="s">
        <v>44</v>
      </c>
      <c r="L671" s="16"/>
      <c r="M671" s="21"/>
    </row>
    <row r="672">
      <c r="A672" s="28">
        <v>46232.0</v>
      </c>
      <c r="B672" s="16" t="s">
        <v>2908</v>
      </c>
      <c r="C672" s="20" t="s">
        <v>2909</v>
      </c>
      <c r="D672" s="21"/>
      <c r="E672" s="22" t="s">
        <v>2910</v>
      </c>
      <c r="H672" s="23" t="s">
        <v>1679</v>
      </c>
      <c r="I672" s="21"/>
      <c r="J672" s="25"/>
      <c r="K672" s="26" t="s">
        <v>44</v>
      </c>
      <c r="L672" s="16"/>
      <c r="M672" s="21"/>
    </row>
    <row r="673">
      <c r="A673" s="28">
        <v>46232.0</v>
      </c>
      <c r="B673" s="16" t="s">
        <v>2911</v>
      </c>
      <c r="C673" s="20" t="s">
        <v>2912</v>
      </c>
      <c r="D673" s="21"/>
      <c r="E673" s="22" t="s">
        <v>2913</v>
      </c>
      <c r="H673" s="23" t="s">
        <v>48</v>
      </c>
      <c r="I673" s="21"/>
      <c r="J673" s="25"/>
      <c r="K673" s="26" t="s">
        <v>44</v>
      </c>
      <c r="L673" s="16"/>
      <c r="M673" s="21"/>
    </row>
    <row r="674">
      <c r="A674" s="28">
        <v>46232.0</v>
      </c>
      <c r="B674" s="16" t="s">
        <v>2914</v>
      </c>
      <c r="C674" s="20" t="s">
        <v>2915</v>
      </c>
      <c r="D674" s="21"/>
      <c r="E674" s="22" t="s">
        <v>2916</v>
      </c>
      <c r="H674" s="23" t="s">
        <v>1250</v>
      </c>
      <c r="I674" s="21"/>
      <c r="J674" s="25"/>
      <c r="K674" s="26" t="s">
        <v>44</v>
      </c>
      <c r="L674" s="16"/>
      <c r="M674" s="21"/>
    </row>
    <row r="675">
      <c r="A675" s="28">
        <v>46232.0</v>
      </c>
      <c r="B675" s="16" t="s">
        <v>2917</v>
      </c>
      <c r="C675" s="20" t="s">
        <v>2918</v>
      </c>
      <c r="D675" s="21"/>
      <c r="E675" s="22" t="s">
        <v>2919</v>
      </c>
      <c r="H675" s="23" t="s">
        <v>2920</v>
      </c>
      <c r="I675" s="21"/>
      <c r="J675" s="25"/>
      <c r="K675" s="26" t="s">
        <v>44</v>
      </c>
      <c r="L675" s="16"/>
      <c r="M675" s="21"/>
    </row>
    <row r="676">
      <c r="A676" s="28">
        <v>46232.0</v>
      </c>
      <c r="B676" s="16" t="s">
        <v>2921</v>
      </c>
      <c r="C676" s="20" t="s">
        <v>2922</v>
      </c>
      <c r="D676" s="21"/>
      <c r="E676" s="22" t="s">
        <v>2923</v>
      </c>
      <c r="H676" s="23" t="s">
        <v>84</v>
      </c>
      <c r="I676" s="21"/>
      <c r="J676" s="25"/>
      <c r="K676" s="26" t="s">
        <v>44</v>
      </c>
      <c r="L676" s="16"/>
      <c r="M676" s="21"/>
    </row>
    <row r="677">
      <c r="A677" s="28">
        <v>46232.0</v>
      </c>
      <c r="B677" s="16" t="s">
        <v>2924</v>
      </c>
      <c r="C677" s="20" t="s">
        <v>2925</v>
      </c>
      <c r="D677" s="21"/>
      <c r="E677" s="22" t="s">
        <v>2926</v>
      </c>
      <c r="H677" s="23" t="s">
        <v>57</v>
      </c>
      <c r="I677" s="21"/>
      <c r="J677" s="25"/>
      <c r="K677" s="26" t="s">
        <v>44</v>
      </c>
      <c r="L677" s="16"/>
      <c r="M677" s="21"/>
    </row>
    <row r="678">
      <c r="A678" s="28">
        <v>46232.0</v>
      </c>
      <c r="B678" s="16" t="s">
        <v>2927</v>
      </c>
      <c r="C678" s="20" t="s">
        <v>2928</v>
      </c>
      <c r="D678" s="21"/>
      <c r="E678" s="22" t="s">
        <v>2929</v>
      </c>
      <c r="H678" s="23" t="s">
        <v>1483</v>
      </c>
      <c r="I678" s="21"/>
      <c r="J678" s="25"/>
      <c r="K678" s="26" t="s">
        <v>44</v>
      </c>
      <c r="L678" s="16"/>
      <c r="M678" s="21"/>
    </row>
    <row r="679">
      <c r="A679" s="28">
        <v>46232.0</v>
      </c>
      <c r="B679" s="16" t="s">
        <v>2930</v>
      </c>
      <c r="C679" s="20" t="s">
        <v>2931</v>
      </c>
      <c r="D679" s="21"/>
      <c r="E679" s="22" t="s">
        <v>2932</v>
      </c>
      <c r="H679" s="23" t="s">
        <v>2933</v>
      </c>
      <c r="I679" s="21"/>
      <c r="J679" s="25"/>
      <c r="K679" s="26" t="s">
        <v>44</v>
      </c>
      <c r="L679" s="16"/>
      <c r="M679" s="21"/>
    </row>
    <row r="680">
      <c r="A680" s="28">
        <v>46232.0</v>
      </c>
      <c r="B680" s="16" t="s">
        <v>2934</v>
      </c>
      <c r="C680" s="20" t="s">
        <v>2935</v>
      </c>
      <c r="D680" s="21"/>
      <c r="E680" s="22" t="s">
        <v>2936</v>
      </c>
      <c r="H680" s="23" t="s">
        <v>2937</v>
      </c>
      <c r="I680" s="21"/>
      <c r="J680" s="25"/>
      <c r="K680" s="26" t="s">
        <v>44</v>
      </c>
      <c r="L680" s="16"/>
      <c r="M680" s="21"/>
    </row>
    <row r="681">
      <c r="A681" s="28">
        <v>46232.0</v>
      </c>
      <c r="B681" s="16" t="s">
        <v>2938</v>
      </c>
      <c r="C681" s="20" t="s">
        <v>2939</v>
      </c>
      <c r="D681" s="21"/>
      <c r="E681" s="22" t="s">
        <v>2940</v>
      </c>
      <c r="H681" s="23" t="s">
        <v>1470</v>
      </c>
      <c r="I681" s="21"/>
      <c r="J681" s="25"/>
      <c r="K681" s="26" t="s">
        <v>44</v>
      </c>
      <c r="L681" s="16"/>
      <c r="M681" s="21"/>
    </row>
    <row r="682">
      <c r="A682" s="28">
        <v>46232.0</v>
      </c>
      <c r="B682" s="16" t="s">
        <v>2941</v>
      </c>
      <c r="C682" s="20" t="s">
        <v>2942</v>
      </c>
      <c r="D682" s="21"/>
      <c r="E682" s="22" t="s">
        <v>2943</v>
      </c>
      <c r="H682" s="23" t="s">
        <v>57</v>
      </c>
      <c r="I682" s="21"/>
      <c r="J682" s="25"/>
      <c r="K682" s="26" t="s">
        <v>44</v>
      </c>
      <c r="L682" s="16"/>
      <c r="M682" s="21"/>
    </row>
    <row r="683">
      <c r="A683" s="28">
        <v>46232.0</v>
      </c>
      <c r="B683" s="16" t="s">
        <v>2944</v>
      </c>
      <c r="C683" s="20" t="s">
        <v>2945</v>
      </c>
      <c r="D683" s="21"/>
      <c r="E683" s="22" t="s">
        <v>2946</v>
      </c>
      <c r="H683" s="23" t="s">
        <v>2947</v>
      </c>
      <c r="I683" s="21"/>
      <c r="J683" s="25"/>
      <c r="K683" s="26" t="s">
        <v>44</v>
      </c>
      <c r="L683" s="16"/>
      <c r="M683" s="21"/>
    </row>
    <row r="684">
      <c r="A684" s="28">
        <v>46232.0</v>
      </c>
      <c r="B684" s="16" t="s">
        <v>2948</v>
      </c>
      <c r="C684" s="20" t="s">
        <v>2949</v>
      </c>
      <c r="D684" s="21"/>
      <c r="E684" s="22" t="s">
        <v>2950</v>
      </c>
      <c r="H684" s="23" t="s">
        <v>48</v>
      </c>
      <c r="I684" s="21"/>
      <c r="J684" s="25"/>
      <c r="K684" s="26" t="s">
        <v>44</v>
      </c>
      <c r="L684" s="16"/>
      <c r="M684" s="21"/>
    </row>
    <row r="685">
      <c r="A685" s="28">
        <v>46232.0</v>
      </c>
      <c r="B685" s="16" t="s">
        <v>2951</v>
      </c>
      <c r="C685" s="20" t="s">
        <v>2952</v>
      </c>
      <c r="D685" s="21"/>
      <c r="E685" s="22" t="s">
        <v>2953</v>
      </c>
      <c r="H685" s="23" t="s">
        <v>2954</v>
      </c>
      <c r="I685" s="21"/>
      <c r="J685" s="25"/>
      <c r="K685" s="26" t="s">
        <v>44</v>
      </c>
      <c r="L685" s="16"/>
      <c r="M685" s="21"/>
    </row>
    <row r="686">
      <c r="A686" s="28">
        <v>46232.0</v>
      </c>
      <c r="B686" s="16" t="s">
        <v>2955</v>
      </c>
      <c r="C686" s="20" t="s">
        <v>2956</v>
      </c>
      <c r="D686" s="21"/>
      <c r="E686" s="22" t="s">
        <v>2957</v>
      </c>
      <c r="H686" s="23" t="s">
        <v>1016</v>
      </c>
      <c r="I686" s="21"/>
      <c r="J686" s="25"/>
      <c r="K686" s="26" t="s">
        <v>44</v>
      </c>
      <c r="L686" s="16"/>
      <c r="M686" s="21"/>
    </row>
    <row r="687">
      <c r="A687" s="28">
        <v>46232.0</v>
      </c>
      <c r="B687" s="16" t="s">
        <v>2958</v>
      </c>
      <c r="C687" s="20" t="s">
        <v>2959</v>
      </c>
      <c r="D687" s="21"/>
      <c r="E687" s="22" t="s">
        <v>2960</v>
      </c>
      <c r="H687" s="23" t="s">
        <v>69</v>
      </c>
      <c r="I687" s="21"/>
      <c r="J687" s="25"/>
      <c r="K687" s="26" t="s">
        <v>44</v>
      </c>
      <c r="L687" s="16"/>
      <c r="M687" s="21"/>
    </row>
    <row r="688">
      <c r="A688" s="28">
        <v>46232.0</v>
      </c>
      <c r="B688" s="16" t="s">
        <v>2961</v>
      </c>
      <c r="C688" s="20" t="s">
        <v>2962</v>
      </c>
      <c r="D688" s="21"/>
      <c r="E688" s="22" t="s">
        <v>2963</v>
      </c>
      <c r="H688" s="23" t="s">
        <v>2637</v>
      </c>
      <c r="I688" s="21"/>
      <c r="J688" s="25"/>
      <c r="K688" s="26" t="s">
        <v>44</v>
      </c>
      <c r="L688" s="16"/>
      <c r="M688" s="21"/>
    </row>
    <row r="689">
      <c r="A689" s="28">
        <v>46232.0</v>
      </c>
      <c r="B689" s="16" t="s">
        <v>2964</v>
      </c>
      <c r="C689" s="20" t="s">
        <v>2965</v>
      </c>
      <c r="D689" s="21"/>
      <c r="E689" s="22" t="s">
        <v>2966</v>
      </c>
      <c r="H689" s="23" t="s">
        <v>487</v>
      </c>
      <c r="I689" s="21"/>
      <c r="J689" s="25"/>
      <c r="K689" s="26" t="s">
        <v>44</v>
      </c>
      <c r="L689" s="16"/>
      <c r="M689" s="21"/>
    </row>
    <row r="690">
      <c r="A690" s="28">
        <v>46232.0</v>
      </c>
      <c r="B690" s="16" t="s">
        <v>2967</v>
      </c>
      <c r="C690" s="20" t="s">
        <v>2968</v>
      </c>
      <c r="D690" s="21"/>
      <c r="E690" s="22" t="s">
        <v>2969</v>
      </c>
      <c r="H690" s="23" t="s">
        <v>1137</v>
      </c>
      <c r="I690" s="21"/>
      <c r="J690" s="25"/>
      <c r="K690" s="26" t="s">
        <v>44</v>
      </c>
      <c r="L690" s="16"/>
      <c r="M690" s="21"/>
    </row>
    <row r="691">
      <c r="A691" s="28">
        <v>46232.0</v>
      </c>
      <c r="B691" s="16" t="s">
        <v>2970</v>
      </c>
      <c r="C691" s="20" t="s">
        <v>2971</v>
      </c>
      <c r="D691" s="21"/>
      <c r="E691" s="22" t="s">
        <v>2972</v>
      </c>
      <c r="H691" s="23" t="s">
        <v>479</v>
      </c>
      <c r="I691" s="21"/>
      <c r="J691" s="25"/>
      <c r="K691" s="26" t="s">
        <v>44</v>
      </c>
      <c r="L691" s="16"/>
      <c r="M691" s="21"/>
    </row>
    <row r="692">
      <c r="A692" s="28">
        <v>46232.0</v>
      </c>
      <c r="B692" s="16" t="s">
        <v>2973</v>
      </c>
      <c r="C692" s="20" t="s">
        <v>2974</v>
      </c>
      <c r="D692" s="21"/>
      <c r="E692" s="22" t="s">
        <v>2975</v>
      </c>
      <c r="H692" s="23" t="s">
        <v>111</v>
      </c>
      <c r="I692" s="21"/>
      <c r="J692" s="25"/>
      <c r="K692" s="26" t="s">
        <v>44</v>
      </c>
      <c r="L692" s="16"/>
      <c r="M692" s="21"/>
    </row>
    <row r="693">
      <c r="A693" s="28">
        <v>46232.0</v>
      </c>
      <c r="B693" s="16" t="s">
        <v>2977</v>
      </c>
      <c r="C693" s="46" t="s">
        <v>2978</v>
      </c>
      <c r="D693" s="21"/>
      <c r="E693" s="22" t="s">
        <v>2979</v>
      </c>
      <c r="H693" s="23" t="s">
        <v>69</v>
      </c>
      <c r="I693" s="21"/>
      <c r="J693" s="25"/>
      <c r="K693" s="26" t="s">
        <v>44</v>
      </c>
      <c r="L693" s="16"/>
      <c r="M693" s="21"/>
    </row>
    <row r="694">
      <c r="A694" s="28">
        <v>46232.0</v>
      </c>
      <c r="B694" s="16" t="s">
        <v>2980</v>
      </c>
      <c r="C694" s="20" t="s">
        <v>2981</v>
      </c>
      <c r="D694" s="21"/>
      <c r="E694" s="22" t="s">
        <v>2982</v>
      </c>
      <c r="H694" s="23" t="s">
        <v>48</v>
      </c>
      <c r="I694" s="21"/>
      <c r="J694" s="25"/>
      <c r="K694" s="26" t="s">
        <v>44</v>
      </c>
      <c r="L694" s="16"/>
      <c r="M694" s="21"/>
    </row>
    <row r="695">
      <c r="A695" s="28">
        <v>46232.0</v>
      </c>
      <c r="B695" s="16" t="s">
        <v>2983</v>
      </c>
      <c r="C695" s="20" t="s">
        <v>2984</v>
      </c>
      <c r="D695" s="21"/>
      <c r="E695" s="22" t="s">
        <v>2985</v>
      </c>
      <c r="H695" s="23" t="s">
        <v>57</v>
      </c>
      <c r="I695" s="21"/>
      <c r="J695" s="25"/>
      <c r="K695" s="26" t="s">
        <v>44</v>
      </c>
      <c r="L695" s="16"/>
      <c r="M695" s="21"/>
    </row>
    <row r="696">
      <c r="A696" s="28">
        <v>46232.0</v>
      </c>
      <c r="B696" s="16" t="s">
        <v>2986</v>
      </c>
      <c r="C696" s="20" t="s">
        <v>2987</v>
      </c>
      <c r="D696" s="21"/>
      <c r="E696" s="22" t="s">
        <v>2988</v>
      </c>
      <c r="H696" s="23" t="s">
        <v>2989</v>
      </c>
      <c r="I696" s="21"/>
      <c r="J696" s="25"/>
      <c r="K696" s="26" t="s">
        <v>44</v>
      </c>
      <c r="L696" s="16"/>
      <c r="M696" s="21"/>
    </row>
    <row r="697">
      <c r="A697" s="28">
        <v>46232.0</v>
      </c>
      <c r="B697" s="16" t="s">
        <v>2991</v>
      </c>
      <c r="C697" s="20" t="s">
        <v>2992</v>
      </c>
      <c r="D697" s="21"/>
      <c r="E697" s="22" t="s">
        <v>2993</v>
      </c>
      <c r="H697" s="23" t="s">
        <v>1530</v>
      </c>
      <c r="I697" s="21"/>
      <c r="J697" s="25"/>
      <c r="K697" s="26" t="s">
        <v>44</v>
      </c>
      <c r="L697" s="16"/>
      <c r="M697" s="21"/>
    </row>
    <row r="698">
      <c r="A698" s="28">
        <v>46232.0</v>
      </c>
      <c r="B698" s="16" t="s">
        <v>3000</v>
      </c>
      <c r="C698" s="20" t="s">
        <v>3001</v>
      </c>
      <c r="D698" s="21"/>
      <c r="E698" s="22" t="s">
        <v>3004</v>
      </c>
      <c r="H698" s="23" t="s">
        <v>57</v>
      </c>
      <c r="I698" s="21"/>
      <c r="J698" s="25"/>
      <c r="K698" s="26" t="s">
        <v>44</v>
      </c>
      <c r="L698" s="16"/>
      <c r="M698" s="21"/>
    </row>
    <row r="699">
      <c r="A699" s="28">
        <v>46232.0</v>
      </c>
      <c r="B699" s="16" t="s">
        <v>3023</v>
      </c>
      <c r="C699" s="20" t="s">
        <v>3024</v>
      </c>
      <c r="D699" s="21"/>
      <c r="E699" s="22" t="s">
        <v>3025</v>
      </c>
      <c r="H699" s="23" t="s">
        <v>2846</v>
      </c>
      <c r="I699" s="21"/>
      <c r="J699" s="25"/>
      <c r="K699" s="26" t="s">
        <v>44</v>
      </c>
      <c r="L699" s="16"/>
      <c r="M699" s="21"/>
    </row>
    <row r="700">
      <c r="A700" s="28">
        <v>46232.0</v>
      </c>
      <c r="B700" s="16" t="s">
        <v>3032</v>
      </c>
      <c r="C700" s="20" t="s">
        <v>3034</v>
      </c>
      <c r="D700" s="21"/>
      <c r="E700" s="22" t="s">
        <v>3035</v>
      </c>
      <c r="H700" s="23" t="s">
        <v>487</v>
      </c>
      <c r="I700" s="21"/>
      <c r="J700" s="25"/>
      <c r="K700" s="26" t="s">
        <v>44</v>
      </c>
      <c r="L700" s="16"/>
      <c r="M700" s="21"/>
    </row>
    <row r="701">
      <c r="A701" s="28">
        <v>46232.0</v>
      </c>
      <c r="B701" s="16" t="s">
        <v>3045</v>
      </c>
      <c r="C701" s="20" t="s">
        <v>3046</v>
      </c>
      <c r="D701" s="21"/>
      <c r="E701" s="22" t="s">
        <v>3047</v>
      </c>
      <c r="H701" s="23" t="s">
        <v>3056</v>
      </c>
      <c r="I701" s="21"/>
      <c r="J701" s="25"/>
      <c r="K701" s="26" t="s">
        <v>44</v>
      </c>
      <c r="L701" s="16"/>
      <c r="M701" s="21"/>
    </row>
    <row r="702">
      <c r="A702" s="28">
        <v>46232.0</v>
      </c>
      <c r="B702" s="16" t="s">
        <v>3057</v>
      </c>
      <c r="C702" s="20" t="s">
        <v>3058</v>
      </c>
      <c r="D702" s="21"/>
      <c r="E702" s="22" t="s">
        <v>3060</v>
      </c>
      <c r="H702" s="23" t="s">
        <v>69</v>
      </c>
      <c r="I702" s="21"/>
      <c r="J702" s="25"/>
      <c r="K702" s="26" t="s">
        <v>44</v>
      </c>
      <c r="L702" s="16"/>
      <c r="M702" s="21"/>
    </row>
    <row r="703">
      <c r="A703" s="28">
        <v>46232.0</v>
      </c>
      <c r="B703" s="16" t="s">
        <v>3067</v>
      </c>
      <c r="C703" s="20" t="s">
        <v>3069</v>
      </c>
      <c r="D703" s="21"/>
      <c r="E703" s="22" t="s">
        <v>3071</v>
      </c>
      <c r="H703" s="23" t="s">
        <v>2598</v>
      </c>
      <c r="I703" s="21"/>
      <c r="J703" s="25"/>
      <c r="K703" s="26" t="s">
        <v>44</v>
      </c>
      <c r="L703" s="16"/>
      <c r="M703" s="21"/>
    </row>
    <row r="704">
      <c r="A704" s="28">
        <v>46232.0</v>
      </c>
      <c r="B704" s="16" t="s">
        <v>3085</v>
      </c>
      <c r="C704" s="20" t="s">
        <v>3088</v>
      </c>
      <c r="D704" s="21"/>
      <c r="E704" s="22" t="s">
        <v>3089</v>
      </c>
      <c r="H704" s="23" t="s">
        <v>404</v>
      </c>
      <c r="I704" s="21"/>
      <c r="J704" s="25"/>
      <c r="K704" s="26" t="s">
        <v>44</v>
      </c>
      <c r="L704" s="16"/>
      <c r="M704" s="21"/>
    </row>
    <row r="705">
      <c r="A705" s="28">
        <v>46232.0</v>
      </c>
      <c r="B705" s="16" t="s">
        <v>3099</v>
      </c>
      <c r="C705" s="20" t="s">
        <v>3100</v>
      </c>
      <c r="D705" s="21"/>
      <c r="E705" s="22" t="s">
        <v>3101</v>
      </c>
      <c r="H705" s="23" t="s">
        <v>2707</v>
      </c>
      <c r="I705" s="21"/>
      <c r="J705" s="25"/>
      <c r="K705" s="26" t="s">
        <v>44</v>
      </c>
      <c r="L705" s="16"/>
      <c r="M705" s="21"/>
    </row>
    <row r="706">
      <c r="A706" s="28">
        <v>46232.0</v>
      </c>
      <c r="B706" s="16" t="s">
        <v>3105</v>
      </c>
      <c r="C706" s="20" t="s">
        <v>3106</v>
      </c>
      <c r="D706" s="21"/>
      <c r="E706" s="22" t="s">
        <v>3107</v>
      </c>
      <c r="H706" s="23" t="s">
        <v>800</v>
      </c>
      <c r="I706" s="21"/>
      <c r="J706" s="25"/>
      <c r="K706" s="26" t="s">
        <v>44</v>
      </c>
      <c r="L706" s="16"/>
      <c r="M706" s="21"/>
    </row>
    <row r="707">
      <c r="A707" s="28">
        <v>46232.0</v>
      </c>
      <c r="B707" s="16" t="s">
        <v>3114</v>
      </c>
      <c r="C707" s="20" t="s">
        <v>3115</v>
      </c>
      <c r="D707" s="21"/>
      <c r="E707" s="22" t="s">
        <v>3116</v>
      </c>
      <c r="H707" s="23" t="s">
        <v>3120</v>
      </c>
      <c r="I707" s="21"/>
      <c r="J707" s="25"/>
      <c r="K707" s="26" t="s">
        <v>44</v>
      </c>
      <c r="L707" s="16"/>
      <c r="M707" s="21"/>
    </row>
    <row r="708">
      <c r="A708" s="28">
        <v>46232.0</v>
      </c>
      <c r="B708" s="16" t="s">
        <v>3121</v>
      </c>
      <c r="C708" s="20" t="s">
        <v>3122</v>
      </c>
      <c r="D708" s="21"/>
      <c r="E708" s="22" t="s">
        <v>3123</v>
      </c>
      <c r="H708" s="23" t="s">
        <v>57</v>
      </c>
      <c r="I708" s="21"/>
      <c r="J708" s="25"/>
      <c r="K708" s="26" t="s">
        <v>44</v>
      </c>
      <c r="L708" s="16"/>
      <c r="M708" s="21"/>
    </row>
    <row r="709">
      <c r="A709" s="28">
        <v>46232.0</v>
      </c>
      <c r="B709" s="16" t="s">
        <v>3127</v>
      </c>
      <c r="C709" s="20" t="s">
        <v>3128</v>
      </c>
      <c r="D709" s="21"/>
      <c r="E709" s="22" t="s">
        <v>3129</v>
      </c>
      <c r="H709" s="23" t="s">
        <v>1141</v>
      </c>
      <c r="I709" s="21"/>
      <c r="J709" s="25"/>
      <c r="K709" s="26" t="s">
        <v>44</v>
      </c>
      <c r="L709" s="16"/>
      <c r="M709" s="21"/>
    </row>
    <row r="710">
      <c r="A710" s="28">
        <v>46232.0</v>
      </c>
      <c r="B710" s="16" t="s">
        <v>3137</v>
      </c>
      <c r="C710" s="20" t="s">
        <v>3138</v>
      </c>
      <c r="D710" s="21"/>
      <c r="E710" s="22" t="s">
        <v>3139</v>
      </c>
      <c r="H710" s="23" t="s">
        <v>3143</v>
      </c>
      <c r="I710" s="21"/>
      <c r="J710" s="25"/>
      <c r="K710" s="26" t="s">
        <v>44</v>
      </c>
      <c r="L710" s="16"/>
      <c r="M710" s="21"/>
    </row>
    <row r="711">
      <c r="A711" s="28">
        <v>46232.0</v>
      </c>
      <c r="B711" s="16" t="s">
        <v>3144</v>
      </c>
      <c r="C711" s="20" t="s">
        <v>3145</v>
      </c>
      <c r="D711" s="21"/>
      <c r="E711" s="22" t="s">
        <v>3146</v>
      </c>
      <c r="H711" s="23" t="s">
        <v>57</v>
      </c>
      <c r="I711" s="21"/>
      <c r="J711" s="25"/>
      <c r="K711" s="26" t="s">
        <v>44</v>
      </c>
      <c r="L711" s="16"/>
      <c r="M711" s="21"/>
    </row>
    <row r="712">
      <c r="A712" s="28">
        <v>46232.0</v>
      </c>
      <c r="B712" s="16" t="s">
        <v>3151</v>
      </c>
      <c r="C712" s="20" t="s">
        <v>3152</v>
      </c>
      <c r="D712" s="21"/>
      <c r="E712" s="22" t="s">
        <v>3155</v>
      </c>
      <c r="H712" s="23" t="s">
        <v>614</v>
      </c>
      <c r="I712" s="21"/>
      <c r="J712" s="25"/>
      <c r="K712" s="26" t="s">
        <v>44</v>
      </c>
      <c r="L712" s="16"/>
      <c r="M712" s="21"/>
    </row>
    <row r="713">
      <c r="A713" s="28">
        <v>46232.0</v>
      </c>
      <c r="B713" s="16" t="s">
        <v>3159</v>
      </c>
      <c r="C713" s="20" t="s">
        <v>3160</v>
      </c>
      <c r="D713" s="21"/>
      <c r="E713" s="22" t="s">
        <v>3161</v>
      </c>
      <c r="H713" s="23" t="s">
        <v>48</v>
      </c>
      <c r="I713" s="21"/>
      <c r="J713" s="25"/>
      <c r="K713" s="26" t="s">
        <v>44</v>
      </c>
      <c r="L713" s="16"/>
      <c r="M713" s="21"/>
    </row>
    <row r="714">
      <c r="A714" s="28">
        <v>46232.0</v>
      </c>
      <c r="B714" s="16" t="s">
        <v>3171</v>
      </c>
      <c r="C714" s="20" t="s">
        <v>3172</v>
      </c>
      <c r="D714" s="21"/>
      <c r="E714" s="22" t="s">
        <v>3173</v>
      </c>
      <c r="H714" s="23" t="s">
        <v>57</v>
      </c>
      <c r="I714" s="21"/>
      <c r="J714" s="25"/>
      <c r="K714" s="26" t="s">
        <v>44</v>
      </c>
      <c r="L714" s="16"/>
      <c r="M714" s="21"/>
    </row>
    <row r="715">
      <c r="A715" s="28">
        <v>46232.0</v>
      </c>
      <c r="B715" s="16" t="s">
        <v>3177</v>
      </c>
      <c r="C715" s="20" t="s">
        <v>3178</v>
      </c>
      <c r="D715" s="21"/>
      <c r="E715" s="22" t="s">
        <v>3179</v>
      </c>
      <c r="H715" s="23" t="s">
        <v>856</v>
      </c>
      <c r="I715" s="21"/>
      <c r="J715" s="25"/>
      <c r="K715" s="26" t="s">
        <v>44</v>
      </c>
      <c r="L715" s="16"/>
      <c r="M715" s="21"/>
    </row>
    <row r="716">
      <c r="A716" s="28">
        <v>46232.0</v>
      </c>
      <c r="B716" s="16" t="s">
        <v>3184</v>
      </c>
      <c r="C716" s="20" t="s">
        <v>3185</v>
      </c>
      <c r="D716" s="21"/>
      <c r="E716" s="22" t="s">
        <v>3188</v>
      </c>
      <c r="H716" s="23" t="s">
        <v>48</v>
      </c>
      <c r="I716" s="21"/>
      <c r="J716" s="25"/>
      <c r="K716" s="26" t="s">
        <v>44</v>
      </c>
      <c r="L716" s="16"/>
      <c r="M716" s="21"/>
    </row>
    <row r="717">
      <c r="A717" s="28">
        <v>46232.0</v>
      </c>
      <c r="B717" s="16" t="s">
        <v>3201</v>
      </c>
      <c r="C717" s="20" t="s">
        <v>3203</v>
      </c>
      <c r="D717" s="21"/>
      <c r="E717" s="22" t="s">
        <v>3205</v>
      </c>
      <c r="H717" s="23" t="s">
        <v>48</v>
      </c>
      <c r="I717" s="21"/>
      <c r="J717" s="25"/>
      <c r="K717" s="26" t="s">
        <v>44</v>
      </c>
      <c r="L717" s="16"/>
      <c r="M717" s="21"/>
    </row>
    <row r="718">
      <c r="A718" s="28">
        <v>46232.0</v>
      </c>
      <c r="B718" s="16" t="s">
        <v>3215</v>
      </c>
      <c r="C718" s="20" t="s">
        <v>3216</v>
      </c>
      <c r="D718" s="21"/>
      <c r="E718" s="22" t="s">
        <v>3217</v>
      </c>
      <c r="H718" s="23" t="s">
        <v>1727</v>
      </c>
      <c r="I718" s="21"/>
      <c r="J718" s="25"/>
      <c r="K718" s="26" t="s">
        <v>44</v>
      </c>
      <c r="L718" s="16"/>
      <c r="M718" s="21"/>
    </row>
    <row r="719">
      <c r="A719" s="28">
        <v>46232.0</v>
      </c>
      <c r="B719" s="16" t="s">
        <v>3225</v>
      </c>
      <c r="C719" s="46" t="s">
        <v>3227</v>
      </c>
      <c r="D719" s="21"/>
      <c r="E719" s="22" t="s">
        <v>3236</v>
      </c>
      <c r="H719" s="23" t="s">
        <v>487</v>
      </c>
      <c r="I719" s="21"/>
      <c r="J719" s="25"/>
      <c r="K719" s="26" t="s">
        <v>44</v>
      </c>
      <c r="L719" s="16"/>
      <c r="M719" s="21"/>
    </row>
    <row r="720">
      <c r="A720" s="28">
        <v>46232.0</v>
      </c>
      <c r="B720" s="16" t="s">
        <v>3243</v>
      </c>
      <c r="C720" s="20" t="s">
        <v>3244</v>
      </c>
      <c r="D720" s="21"/>
      <c r="E720" s="22" t="s">
        <v>3245</v>
      </c>
      <c r="H720" s="23" t="s">
        <v>48</v>
      </c>
      <c r="I720" s="21"/>
      <c r="J720" s="25"/>
      <c r="K720" s="26" t="s">
        <v>44</v>
      </c>
      <c r="L720" s="16"/>
      <c r="M720" s="21"/>
    </row>
    <row r="721">
      <c r="A721" s="28">
        <v>46232.0</v>
      </c>
      <c r="B721" s="16" t="s">
        <v>3249</v>
      </c>
      <c r="C721" s="20" t="s">
        <v>3250</v>
      </c>
      <c r="D721" s="21"/>
      <c r="E721" s="22" t="s">
        <v>3251</v>
      </c>
      <c r="H721" s="23" t="s">
        <v>1550</v>
      </c>
      <c r="I721" s="21"/>
      <c r="J721" s="25"/>
      <c r="K721" s="26" t="s">
        <v>44</v>
      </c>
      <c r="L721" s="16"/>
      <c r="M721" s="21"/>
    </row>
    <row r="722">
      <c r="A722" s="28">
        <v>46232.0</v>
      </c>
      <c r="B722" s="16" t="s">
        <v>3258</v>
      </c>
      <c r="C722" s="20" t="s">
        <v>3259</v>
      </c>
      <c r="D722" s="21"/>
      <c r="E722" s="22" t="s">
        <v>3260</v>
      </c>
      <c r="H722" s="23" t="s">
        <v>3267</v>
      </c>
      <c r="I722" s="21"/>
      <c r="J722" s="25"/>
      <c r="K722" s="26" t="s">
        <v>44</v>
      </c>
      <c r="L722" s="16"/>
      <c r="M722" s="21"/>
    </row>
    <row r="723">
      <c r="A723" s="28">
        <v>46232.0</v>
      </c>
      <c r="B723" s="16" t="s">
        <v>3274</v>
      </c>
      <c r="C723" s="46" t="s">
        <v>3275</v>
      </c>
      <c r="D723" s="21"/>
      <c r="E723" s="22" t="s">
        <v>3277</v>
      </c>
      <c r="H723" s="23" t="s">
        <v>622</v>
      </c>
      <c r="I723" s="21"/>
      <c r="J723" s="25"/>
      <c r="K723" s="26" t="s">
        <v>44</v>
      </c>
      <c r="L723" s="16"/>
      <c r="M723" s="21"/>
    </row>
    <row r="724">
      <c r="A724" s="28">
        <v>46232.0</v>
      </c>
      <c r="B724" s="16" t="s">
        <v>3283</v>
      </c>
      <c r="C724" s="20" t="s">
        <v>3284</v>
      </c>
      <c r="D724" s="21"/>
      <c r="E724" s="22" t="s">
        <v>3285</v>
      </c>
      <c r="H724" s="23" t="s">
        <v>3286</v>
      </c>
      <c r="I724" s="21"/>
      <c r="J724" s="25"/>
      <c r="K724" s="26" t="s">
        <v>44</v>
      </c>
      <c r="L724" s="16"/>
      <c r="M724" s="21"/>
    </row>
    <row r="725">
      <c r="A725" s="28">
        <v>46232.0</v>
      </c>
      <c r="B725" s="16" t="s">
        <v>3290</v>
      </c>
      <c r="C725" s="20" t="s">
        <v>3291</v>
      </c>
      <c r="D725" s="21"/>
      <c r="E725" s="22" t="s">
        <v>3292</v>
      </c>
      <c r="H725" s="23" t="s">
        <v>3296</v>
      </c>
      <c r="I725" s="21"/>
      <c r="J725" s="25"/>
      <c r="K725" s="26" t="s">
        <v>44</v>
      </c>
      <c r="L725" s="16"/>
      <c r="M725" s="21"/>
    </row>
    <row r="726">
      <c r="A726" s="28">
        <v>46232.0</v>
      </c>
      <c r="B726" s="16" t="s">
        <v>3300</v>
      </c>
      <c r="C726" s="20" t="s">
        <v>3301</v>
      </c>
      <c r="D726" s="21"/>
      <c r="E726" s="22" t="s">
        <v>3302</v>
      </c>
      <c r="H726" s="23" t="s">
        <v>599</v>
      </c>
      <c r="I726" s="21"/>
      <c r="J726" s="25"/>
      <c r="K726" s="26" t="s">
        <v>44</v>
      </c>
      <c r="L726" s="16"/>
      <c r="M726" s="21"/>
    </row>
    <row r="727">
      <c r="A727" s="28">
        <v>46232.0</v>
      </c>
      <c r="B727" s="16" t="s">
        <v>3306</v>
      </c>
      <c r="C727" s="20" t="s">
        <v>3307</v>
      </c>
      <c r="D727" s="21"/>
      <c r="E727" s="22" t="s">
        <v>3310</v>
      </c>
      <c r="H727" s="23" t="s">
        <v>48</v>
      </c>
      <c r="I727" s="21"/>
      <c r="J727" s="25"/>
      <c r="K727" s="26" t="s">
        <v>44</v>
      </c>
      <c r="L727" s="16"/>
      <c r="M727" s="21"/>
    </row>
    <row r="728">
      <c r="A728" s="28">
        <v>46232.0</v>
      </c>
      <c r="B728" s="16" t="s">
        <v>3315</v>
      </c>
      <c r="C728" s="20" t="s">
        <v>3316</v>
      </c>
      <c r="D728" s="21"/>
      <c r="E728" s="22" t="s">
        <v>3317</v>
      </c>
      <c r="H728" s="23" t="s">
        <v>2007</v>
      </c>
      <c r="I728" s="21"/>
      <c r="J728" s="25"/>
      <c r="K728" s="26" t="s">
        <v>44</v>
      </c>
      <c r="L728" s="16"/>
      <c r="M728" s="21"/>
    </row>
    <row r="729">
      <c r="A729" s="28">
        <v>46232.0</v>
      </c>
      <c r="B729" s="16" t="s">
        <v>3323</v>
      </c>
      <c r="C729" s="20" t="s">
        <v>3325</v>
      </c>
      <c r="D729" s="21"/>
      <c r="E729" s="22" t="s">
        <v>3326</v>
      </c>
      <c r="H729" s="23" t="s">
        <v>48</v>
      </c>
      <c r="I729" s="21"/>
      <c r="J729" s="25"/>
      <c r="K729" s="26" t="s">
        <v>44</v>
      </c>
      <c r="L729" s="16"/>
      <c r="M729" s="21"/>
    </row>
    <row r="730">
      <c r="A730" s="28">
        <v>46232.0</v>
      </c>
      <c r="B730" s="16" t="s">
        <v>3330</v>
      </c>
      <c r="C730" s="20" t="s">
        <v>3331</v>
      </c>
      <c r="D730" s="21"/>
      <c r="E730" s="22" t="s">
        <v>3332</v>
      </c>
      <c r="H730" s="23" t="s">
        <v>3335</v>
      </c>
      <c r="I730" s="21"/>
      <c r="J730" s="25"/>
      <c r="K730" s="26" t="s">
        <v>44</v>
      </c>
      <c r="L730" s="16"/>
      <c r="M730" s="21"/>
    </row>
    <row r="731">
      <c r="A731" s="28">
        <v>46232.0</v>
      </c>
      <c r="B731" s="16" t="s">
        <v>3339</v>
      </c>
      <c r="C731" s="20" t="s">
        <v>3340</v>
      </c>
      <c r="D731" s="21"/>
      <c r="E731" s="22" t="s">
        <v>3341</v>
      </c>
      <c r="H731" s="23" t="s">
        <v>1898</v>
      </c>
      <c r="I731" s="21"/>
      <c r="J731" s="25"/>
      <c r="K731" s="26" t="s">
        <v>44</v>
      </c>
      <c r="L731" s="16"/>
      <c r="M731" s="21"/>
    </row>
    <row r="732">
      <c r="A732" s="28">
        <v>46232.0</v>
      </c>
      <c r="B732" s="16" t="s">
        <v>3345</v>
      </c>
      <c r="C732" s="20" t="s">
        <v>3346</v>
      </c>
      <c r="D732" s="21"/>
      <c r="E732" s="22" t="s">
        <v>3347</v>
      </c>
      <c r="H732" s="23" t="s">
        <v>3351</v>
      </c>
      <c r="I732" s="21"/>
      <c r="J732" s="25"/>
      <c r="K732" s="26" t="s">
        <v>44</v>
      </c>
      <c r="L732" s="16"/>
      <c r="M732" s="21"/>
    </row>
    <row r="733">
      <c r="A733" s="28">
        <v>46232.0</v>
      </c>
      <c r="B733" s="16" t="s">
        <v>3355</v>
      </c>
      <c r="C733" s="20" t="s">
        <v>3356</v>
      </c>
      <c r="D733" s="21"/>
      <c r="E733" s="22" t="s">
        <v>3357</v>
      </c>
      <c r="H733" s="23" t="s">
        <v>84</v>
      </c>
      <c r="I733" s="21"/>
      <c r="J733" s="25"/>
      <c r="K733" s="26" t="s">
        <v>44</v>
      </c>
      <c r="L733" s="16"/>
      <c r="M733" s="21"/>
    </row>
    <row r="734">
      <c r="A734" s="28">
        <v>46232.0</v>
      </c>
      <c r="B734" s="16" t="s">
        <v>3361</v>
      </c>
      <c r="C734" s="20" t="s">
        <v>3362</v>
      </c>
      <c r="D734" s="21"/>
      <c r="E734" s="22" t="s">
        <v>3363</v>
      </c>
      <c r="H734" s="23" t="s">
        <v>84</v>
      </c>
      <c r="I734" s="21"/>
      <c r="J734" s="25"/>
      <c r="K734" s="26" t="s">
        <v>44</v>
      </c>
      <c r="L734" s="16"/>
      <c r="M734" s="21"/>
    </row>
    <row r="735">
      <c r="A735" s="28">
        <v>46232.0</v>
      </c>
      <c r="B735" s="16" t="s">
        <v>3367</v>
      </c>
      <c r="C735" s="20" t="s">
        <v>3368</v>
      </c>
      <c r="D735" s="21"/>
      <c r="E735" s="22" t="s">
        <v>3369</v>
      </c>
      <c r="H735" s="23" t="s">
        <v>1619</v>
      </c>
      <c r="I735" s="21"/>
      <c r="J735" s="25"/>
      <c r="K735" s="26" t="s">
        <v>44</v>
      </c>
      <c r="L735" s="16"/>
      <c r="M735" s="21"/>
    </row>
    <row r="736">
      <c r="A736" s="28">
        <v>46232.0</v>
      </c>
      <c r="B736" s="16" t="s">
        <v>3373</v>
      </c>
      <c r="C736" s="20" t="s">
        <v>3374</v>
      </c>
      <c r="D736" s="21"/>
      <c r="E736" s="22" t="s">
        <v>3375</v>
      </c>
      <c r="H736" s="23" t="s">
        <v>3379</v>
      </c>
      <c r="I736" s="21"/>
      <c r="J736" s="25"/>
      <c r="K736" s="26" t="s">
        <v>44</v>
      </c>
      <c r="L736" s="16"/>
      <c r="M736" s="21"/>
    </row>
    <row r="737">
      <c r="A737" s="28">
        <v>46232.0</v>
      </c>
      <c r="B737" s="16" t="s">
        <v>3383</v>
      </c>
      <c r="C737" s="20" t="s">
        <v>3384</v>
      </c>
      <c r="D737" s="21"/>
      <c r="E737" s="22" t="s">
        <v>3385</v>
      </c>
      <c r="H737" s="23" t="s">
        <v>3387</v>
      </c>
      <c r="I737" s="21"/>
      <c r="J737" s="25"/>
      <c r="K737" s="26" t="s">
        <v>44</v>
      </c>
      <c r="L737" s="16"/>
      <c r="M737" s="21"/>
    </row>
    <row r="738">
      <c r="A738" s="28">
        <v>46232.0</v>
      </c>
      <c r="B738" s="16" t="s">
        <v>3390</v>
      </c>
      <c r="C738" s="20" t="s">
        <v>3391</v>
      </c>
      <c r="D738" s="21"/>
      <c r="E738" s="22" t="s">
        <v>3392</v>
      </c>
      <c r="H738" s="23" t="s">
        <v>3396</v>
      </c>
      <c r="I738" s="21"/>
      <c r="J738" s="25"/>
      <c r="K738" s="26" t="s">
        <v>44</v>
      </c>
      <c r="L738" s="16"/>
      <c r="M738" s="21"/>
    </row>
    <row r="739">
      <c r="A739" s="28">
        <v>46232.0</v>
      </c>
      <c r="B739" s="16" t="s">
        <v>3397</v>
      </c>
      <c r="C739" s="20" t="s">
        <v>3398</v>
      </c>
      <c r="D739" s="21"/>
      <c r="E739" s="22" t="s">
        <v>3399</v>
      </c>
      <c r="H739" s="23" t="s">
        <v>2157</v>
      </c>
      <c r="I739" s="21"/>
      <c r="J739" s="25"/>
      <c r="K739" s="26" t="s">
        <v>44</v>
      </c>
      <c r="L739" s="16"/>
      <c r="M739" s="21"/>
    </row>
    <row r="740">
      <c r="A740" s="28">
        <v>46232.0</v>
      </c>
      <c r="B740" s="16" t="s">
        <v>3406</v>
      </c>
      <c r="C740" s="20" t="s">
        <v>3408</v>
      </c>
      <c r="D740" s="21"/>
      <c r="E740" s="22" t="s">
        <v>3410</v>
      </c>
      <c r="H740" s="23" t="s">
        <v>3412</v>
      </c>
      <c r="I740" s="21"/>
      <c r="J740" s="25"/>
      <c r="K740" s="26" t="s">
        <v>44</v>
      </c>
      <c r="L740" s="16"/>
      <c r="M740" s="21"/>
    </row>
    <row r="741">
      <c r="A741" s="28">
        <v>46232.0</v>
      </c>
      <c r="B741" s="16" t="s">
        <v>3416</v>
      </c>
      <c r="C741" s="20" t="s">
        <v>3417</v>
      </c>
      <c r="D741" s="21"/>
      <c r="E741" s="22" t="s">
        <v>3418</v>
      </c>
      <c r="H741" s="23" t="s">
        <v>57</v>
      </c>
      <c r="I741" s="21"/>
      <c r="J741" s="25"/>
      <c r="K741" s="26" t="s">
        <v>44</v>
      </c>
      <c r="L741" s="16"/>
      <c r="M741" s="21"/>
    </row>
    <row r="742">
      <c r="A742" s="28">
        <v>46232.0</v>
      </c>
      <c r="B742" s="16" t="s">
        <v>3423</v>
      </c>
      <c r="C742" s="20" t="s">
        <v>3424</v>
      </c>
      <c r="D742" s="21"/>
      <c r="E742" s="22" t="s">
        <v>3425</v>
      </c>
      <c r="H742" s="23" t="s">
        <v>463</v>
      </c>
      <c r="I742" s="21"/>
      <c r="J742" s="25"/>
      <c r="K742" s="26" t="s">
        <v>44</v>
      </c>
      <c r="L742" s="16"/>
      <c r="M742" s="21"/>
    </row>
    <row r="743">
      <c r="A743" s="28">
        <v>46232.0</v>
      </c>
      <c r="B743" s="16" t="s">
        <v>3429</v>
      </c>
      <c r="C743" s="20" t="s">
        <v>3430</v>
      </c>
      <c r="D743" s="21"/>
      <c r="E743" s="22" t="s">
        <v>3431</v>
      </c>
      <c r="H743" s="23" t="s">
        <v>3434</v>
      </c>
      <c r="I743" s="21"/>
      <c r="J743" s="25"/>
      <c r="K743" s="26" t="s">
        <v>44</v>
      </c>
      <c r="L743" s="16"/>
      <c r="M743" s="21"/>
    </row>
    <row r="744">
      <c r="A744" s="28">
        <v>46232.0</v>
      </c>
      <c r="B744" s="16" t="s">
        <v>3437</v>
      </c>
      <c r="C744" s="20" t="s">
        <v>3438</v>
      </c>
      <c r="D744" s="21"/>
      <c r="E744" s="22" t="s">
        <v>3439</v>
      </c>
      <c r="H744" s="23" t="s">
        <v>3443</v>
      </c>
      <c r="I744" s="21"/>
      <c r="J744" s="25"/>
      <c r="K744" s="26" t="s">
        <v>44</v>
      </c>
      <c r="L744" s="16"/>
      <c r="M744" s="21"/>
    </row>
    <row r="745">
      <c r="A745" s="28">
        <v>46232.0</v>
      </c>
      <c r="B745" s="16" t="s">
        <v>3447</v>
      </c>
      <c r="C745" s="20" t="s">
        <v>3448</v>
      </c>
      <c r="D745" s="21"/>
      <c r="E745" s="22" t="s">
        <v>3449</v>
      </c>
      <c r="H745" s="23" t="s">
        <v>3454</v>
      </c>
      <c r="I745" s="21"/>
      <c r="J745" s="25"/>
      <c r="K745" s="26" t="s">
        <v>44</v>
      </c>
      <c r="L745" s="16"/>
      <c r="M745" s="21"/>
    </row>
    <row r="746">
      <c r="A746" s="28">
        <v>46232.0</v>
      </c>
      <c r="B746" s="16" t="s">
        <v>3457</v>
      </c>
      <c r="C746" s="20" t="s">
        <v>3458</v>
      </c>
      <c r="D746" s="21"/>
      <c r="E746" s="22" t="s">
        <v>3459</v>
      </c>
      <c r="H746" s="23" t="s">
        <v>3463</v>
      </c>
      <c r="I746" s="21"/>
      <c r="J746" s="25"/>
      <c r="K746" s="26" t="s">
        <v>44</v>
      </c>
      <c r="L746" s="16"/>
      <c r="M746" s="21"/>
    </row>
    <row r="747">
      <c r="A747" s="28">
        <v>46232.0</v>
      </c>
      <c r="B747" s="16" t="s">
        <v>3464</v>
      </c>
      <c r="C747" s="20" t="s">
        <v>3465</v>
      </c>
      <c r="D747" s="21"/>
      <c r="E747" s="22" t="s">
        <v>3466</v>
      </c>
      <c r="H747" s="23" t="s">
        <v>404</v>
      </c>
      <c r="I747" s="21"/>
      <c r="J747" s="25"/>
      <c r="K747" s="26" t="s">
        <v>44</v>
      </c>
      <c r="L747" s="16"/>
      <c r="M747" s="21"/>
    </row>
    <row r="748">
      <c r="A748" s="28">
        <v>46232.0</v>
      </c>
      <c r="B748" s="16" t="s">
        <v>3470</v>
      </c>
      <c r="C748" s="20" t="s">
        <v>3471</v>
      </c>
      <c r="D748" s="21"/>
      <c r="E748" s="22" t="s">
        <v>3472</v>
      </c>
      <c r="H748" s="23" t="s">
        <v>479</v>
      </c>
      <c r="I748" s="21"/>
      <c r="J748" s="25"/>
      <c r="K748" s="26" t="s">
        <v>44</v>
      </c>
      <c r="L748" s="16"/>
      <c r="M748" s="21"/>
    </row>
    <row r="749">
      <c r="A749" s="28">
        <v>46232.0</v>
      </c>
      <c r="B749" s="16" t="s">
        <v>3479</v>
      </c>
      <c r="C749" s="46" t="s">
        <v>3480</v>
      </c>
      <c r="D749" s="21"/>
      <c r="E749" s="22" t="s">
        <v>3484</v>
      </c>
      <c r="H749" s="23" t="s">
        <v>713</v>
      </c>
      <c r="I749" s="21"/>
      <c r="J749" s="25"/>
      <c r="K749" s="26" t="s">
        <v>44</v>
      </c>
      <c r="L749" s="16"/>
      <c r="M749" s="21"/>
    </row>
    <row r="750">
      <c r="A750" s="28">
        <v>46232.0</v>
      </c>
      <c r="B750" s="16" t="s">
        <v>3488</v>
      </c>
      <c r="C750" s="20" t="s">
        <v>3489</v>
      </c>
      <c r="D750" s="21"/>
      <c r="E750" s="22" t="s">
        <v>3490</v>
      </c>
      <c r="H750" s="23" t="s">
        <v>1016</v>
      </c>
      <c r="I750" s="21"/>
      <c r="J750" s="25"/>
      <c r="K750" s="26" t="s">
        <v>44</v>
      </c>
      <c r="L750" s="16"/>
      <c r="M750" s="21"/>
    </row>
    <row r="751">
      <c r="A751" s="28">
        <v>46232.0</v>
      </c>
      <c r="B751" s="16" t="s">
        <v>3495</v>
      </c>
      <c r="C751" s="20" t="s">
        <v>3496</v>
      </c>
      <c r="D751" s="21"/>
      <c r="E751" s="22" t="s">
        <v>3497</v>
      </c>
      <c r="H751" s="23" t="s">
        <v>57</v>
      </c>
      <c r="I751" s="21"/>
      <c r="J751" s="25"/>
      <c r="K751" s="26" t="s">
        <v>44</v>
      </c>
      <c r="L751" s="16"/>
      <c r="M751" s="21"/>
    </row>
    <row r="752">
      <c r="A752" s="28">
        <v>46232.0</v>
      </c>
      <c r="B752" s="16" t="s">
        <v>3501</v>
      </c>
      <c r="C752" s="20" t="s">
        <v>3502</v>
      </c>
      <c r="D752" s="21"/>
      <c r="E752" s="22" t="s">
        <v>3504</v>
      </c>
      <c r="H752" s="23" t="s">
        <v>3508</v>
      </c>
      <c r="I752" s="21"/>
      <c r="J752" s="25"/>
      <c r="K752" s="26" t="s">
        <v>44</v>
      </c>
      <c r="L752" s="16"/>
      <c r="M752" s="21"/>
    </row>
    <row r="753">
      <c r="A753" s="28">
        <v>46232.0</v>
      </c>
      <c r="B753" s="16" t="s">
        <v>3512</v>
      </c>
      <c r="C753" s="20" t="s">
        <v>3513</v>
      </c>
      <c r="D753" s="21"/>
      <c r="E753" s="22" t="s">
        <v>3516</v>
      </c>
      <c r="H753" s="23" t="s">
        <v>2143</v>
      </c>
      <c r="I753" s="21"/>
      <c r="J753" s="25"/>
      <c r="K753" s="26" t="s">
        <v>44</v>
      </c>
      <c r="L753" s="16"/>
      <c r="M753" s="21"/>
    </row>
    <row r="754">
      <c r="A754" s="28">
        <v>46232.0</v>
      </c>
      <c r="B754" s="16" t="s">
        <v>3520</v>
      </c>
      <c r="C754" s="20" t="s">
        <v>3521</v>
      </c>
      <c r="D754" s="21"/>
      <c r="E754" s="22" t="s">
        <v>3522</v>
      </c>
      <c r="H754" s="23" t="s">
        <v>583</v>
      </c>
      <c r="I754" s="21"/>
      <c r="J754" s="25"/>
      <c r="K754" s="26" t="s">
        <v>44</v>
      </c>
      <c r="L754" s="16"/>
      <c r="M754" s="21"/>
    </row>
    <row r="755">
      <c r="A755" s="28">
        <v>46232.0</v>
      </c>
      <c r="B755" s="16" t="s">
        <v>3534</v>
      </c>
      <c r="C755" s="20" t="s">
        <v>3535</v>
      </c>
      <c r="D755" s="21"/>
      <c r="E755" s="22" t="s">
        <v>3537</v>
      </c>
      <c r="H755" s="23" t="s">
        <v>904</v>
      </c>
      <c r="I755" s="21"/>
      <c r="J755" s="25"/>
      <c r="K755" s="26" t="s">
        <v>44</v>
      </c>
      <c r="L755" s="16"/>
      <c r="M755" s="21"/>
    </row>
    <row r="756">
      <c r="A756" s="28">
        <v>46232.0</v>
      </c>
      <c r="B756" s="16" t="s">
        <v>3541</v>
      </c>
      <c r="C756" s="20" t="s">
        <v>3543</v>
      </c>
      <c r="D756" s="21"/>
      <c r="E756" s="22" t="s">
        <v>3545</v>
      </c>
      <c r="H756" s="23" t="s">
        <v>111</v>
      </c>
      <c r="I756" s="21"/>
      <c r="J756" s="25"/>
      <c r="K756" s="26" t="s">
        <v>44</v>
      </c>
      <c r="L756" s="16"/>
      <c r="M756" s="21"/>
    </row>
    <row r="757">
      <c r="A757" s="28">
        <v>46232.0</v>
      </c>
      <c r="B757" s="16" t="s">
        <v>3547</v>
      </c>
      <c r="C757" s="20" t="s">
        <v>3548</v>
      </c>
      <c r="D757" s="21"/>
      <c r="E757" s="22" t="s">
        <v>3549</v>
      </c>
      <c r="H757" s="23" t="s">
        <v>65</v>
      </c>
      <c r="I757" s="21"/>
      <c r="J757" s="25"/>
      <c r="K757" s="26" t="s">
        <v>44</v>
      </c>
      <c r="L757" s="16"/>
      <c r="M757" s="21"/>
    </row>
    <row r="758">
      <c r="A758" s="28">
        <v>46232.0</v>
      </c>
      <c r="B758" s="16" t="s">
        <v>3558</v>
      </c>
      <c r="C758" s="20" t="s">
        <v>3559</v>
      </c>
      <c r="D758" s="21"/>
      <c r="E758" s="22" t="s">
        <v>3560</v>
      </c>
      <c r="H758" s="23" t="s">
        <v>3561</v>
      </c>
      <c r="I758" s="21"/>
      <c r="J758" s="25"/>
      <c r="K758" s="26" t="s">
        <v>44</v>
      </c>
      <c r="L758" s="16"/>
      <c r="M758" s="21"/>
    </row>
    <row r="759">
      <c r="A759" s="28">
        <v>46232.0</v>
      </c>
      <c r="B759" s="16" t="s">
        <v>3565</v>
      </c>
      <c r="C759" s="20" t="s">
        <v>3566</v>
      </c>
      <c r="D759" s="21"/>
      <c r="E759" s="22" t="s">
        <v>3567</v>
      </c>
      <c r="H759" s="23" t="s">
        <v>1250</v>
      </c>
      <c r="I759" s="21"/>
      <c r="J759" s="25"/>
      <c r="K759" s="26" t="s">
        <v>44</v>
      </c>
      <c r="L759" s="16"/>
      <c r="M759" s="21"/>
    </row>
    <row r="760">
      <c r="A760" s="28">
        <v>46232.0</v>
      </c>
      <c r="B760" s="16" t="s">
        <v>3572</v>
      </c>
      <c r="C760" s="20" t="s">
        <v>3573</v>
      </c>
      <c r="D760" s="21"/>
      <c r="E760" s="22" t="s">
        <v>3574</v>
      </c>
      <c r="H760" s="23" t="s">
        <v>3581</v>
      </c>
      <c r="I760" s="21"/>
      <c r="J760" s="25"/>
      <c r="K760" s="26" t="s">
        <v>44</v>
      </c>
      <c r="L760" s="16"/>
      <c r="M760" s="21"/>
    </row>
    <row r="761">
      <c r="A761" s="28">
        <v>46232.0</v>
      </c>
      <c r="B761" s="16" t="s">
        <v>3582</v>
      </c>
      <c r="C761" s="20" t="s">
        <v>3583</v>
      </c>
      <c r="D761" s="21"/>
      <c r="E761" s="22" t="s">
        <v>3584</v>
      </c>
      <c r="H761" s="23" t="s">
        <v>3588</v>
      </c>
      <c r="I761" s="21"/>
      <c r="J761" s="25"/>
      <c r="K761" s="26" t="s">
        <v>44</v>
      </c>
      <c r="L761" s="16"/>
      <c r="M761" s="21"/>
    </row>
    <row r="762">
      <c r="A762" s="28">
        <v>46232.0</v>
      </c>
      <c r="B762" s="16" t="s">
        <v>3590</v>
      </c>
      <c r="C762" s="20" t="s">
        <v>3592</v>
      </c>
      <c r="D762" s="21"/>
      <c r="E762" s="22" t="s">
        <v>3594</v>
      </c>
      <c r="H762" s="23" t="s">
        <v>3595</v>
      </c>
      <c r="I762" s="21"/>
      <c r="J762" s="25"/>
      <c r="K762" s="26" t="s">
        <v>44</v>
      </c>
      <c r="L762" s="16"/>
      <c r="M762" s="21"/>
    </row>
    <row r="763">
      <c r="A763" s="28">
        <v>46232.0</v>
      </c>
      <c r="B763" s="16" t="s">
        <v>3599</v>
      </c>
      <c r="C763" s="20" t="s">
        <v>3600</v>
      </c>
      <c r="D763" s="21"/>
      <c r="E763" s="22" t="s">
        <v>3601</v>
      </c>
      <c r="H763" s="23" t="s">
        <v>1557</v>
      </c>
      <c r="I763" s="21"/>
      <c r="J763" s="25"/>
      <c r="K763" s="26" t="s">
        <v>44</v>
      </c>
      <c r="L763" s="16"/>
      <c r="M763" s="21"/>
    </row>
    <row r="764">
      <c r="A764" s="28">
        <v>46232.0</v>
      </c>
      <c r="B764" s="16" t="s">
        <v>3603</v>
      </c>
      <c r="C764" s="20" t="s">
        <v>3605</v>
      </c>
      <c r="D764" s="21"/>
      <c r="E764" s="22" t="s">
        <v>3607</v>
      </c>
      <c r="H764" s="23" t="s">
        <v>48</v>
      </c>
      <c r="I764" s="21"/>
      <c r="J764" s="25"/>
      <c r="K764" s="26" t="s">
        <v>44</v>
      </c>
      <c r="L764" s="16"/>
      <c r="M764" s="21"/>
    </row>
    <row r="765">
      <c r="A765" s="28">
        <v>46232.0</v>
      </c>
      <c r="B765" s="16" t="s">
        <v>3609</v>
      </c>
      <c r="C765" s="20" t="s">
        <v>3610</v>
      </c>
      <c r="D765" s="21"/>
      <c r="E765" s="22" t="s">
        <v>3612</v>
      </c>
      <c r="H765" s="23" t="s">
        <v>3618</v>
      </c>
      <c r="I765" s="21"/>
      <c r="J765" s="25"/>
      <c r="K765" s="26" t="s">
        <v>44</v>
      </c>
      <c r="L765" s="16"/>
      <c r="M765" s="21"/>
    </row>
    <row r="766">
      <c r="A766" s="28">
        <v>46232.0</v>
      </c>
      <c r="B766" s="16" t="s">
        <v>3619</v>
      </c>
      <c r="C766" s="20" t="s">
        <v>3620</v>
      </c>
      <c r="D766" s="21"/>
      <c r="E766" s="22" t="s">
        <v>3621</v>
      </c>
      <c r="H766" s="23" t="s">
        <v>404</v>
      </c>
      <c r="I766" s="21"/>
      <c r="J766" s="25"/>
      <c r="K766" s="26" t="s">
        <v>44</v>
      </c>
      <c r="L766" s="16"/>
      <c r="M766" s="21"/>
    </row>
    <row r="767">
      <c r="A767" s="28">
        <v>46232.0</v>
      </c>
      <c r="B767" s="16" t="s">
        <v>3625</v>
      </c>
      <c r="C767" s="20" t="s">
        <v>3626</v>
      </c>
      <c r="D767" s="21"/>
      <c r="E767" s="22" t="s">
        <v>3627</v>
      </c>
      <c r="H767" s="23" t="s">
        <v>1963</v>
      </c>
      <c r="I767" s="21"/>
      <c r="J767" s="25"/>
      <c r="K767" s="26" t="s">
        <v>44</v>
      </c>
      <c r="L767" s="16"/>
      <c r="M767" s="21"/>
    </row>
    <row r="768">
      <c r="A768" s="28">
        <v>46232.0</v>
      </c>
      <c r="B768" s="16" t="s">
        <v>3634</v>
      </c>
      <c r="C768" s="20" t="s">
        <v>3635</v>
      </c>
      <c r="D768" s="21"/>
      <c r="E768" s="22" t="s">
        <v>3636</v>
      </c>
      <c r="H768" s="23" t="s">
        <v>3640</v>
      </c>
      <c r="I768" s="21"/>
      <c r="J768" s="25"/>
      <c r="K768" s="26" t="s">
        <v>44</v>
      </c>
      <c r="L768" s="16"/>
      <c r="M768" s="21"/>
    </row>
    <row r="769">
      <c r="A769" s="28">
        <v>46232.0</v>
      </c>
      <c r="B769" s="16" t="s">
        <v>3641</v>
      </c>
      <c r="C769" s="20" t="s">
        <v>3642</v>
      </c>
      <c r="D769" s="21"/>
      <c r="E769" s="22" t="s">
        <v>3643</v>
      </c>
      <c r="H769" s="23" t="s">
        <v>412</v>
      </c>
      <c r="I769" s="21"/>
      <c r="J769" s="25"/>
      <c r="K769" s="26" t="s">
        <v>44</v>
      </c>
      <c r="L769" s="16"/>
      <c r="M769" s="21"/>
    </row>
    <row r="770">
      <c r="A770" s="28">
        <v>46232.0</v>
      </c>
      <c r="B770" s="16" t="s">
        <v>3647</v>
      </c>
      <c r="C770" s="20" t="s">
        <v>3648</v>
      </c>
      <c r="D770" s="21"/>
      <c r="E770" s="22" t="s">
        <v>3651</v>
      </c>
      <c r="H770" s="23" t="s">
        <v>1250</v>
      </c>
      <c r="I770" s="21"/>
      <c r="J770" s="25"/>
      <c r="K770" s="26" t="s">
        <v>44</v>
      </c>
      <c r="L770" s="16"/>
      <c r="M770" s="21"/>
    </row>
    <row r="771">
      <c r="A771" s="28">
        <v>46232.0</v>
      </c>
      <c r="B771" s="16" t="s">
        <v>3656</v>
      </c>
      <c r="C771" s="20" t="s">
        <v>3657</v>
      </c>
      <c r="D771" s="21"/>
      <c r="E771" s="22" t="s">
        <v>3658</v>
      </c>
      <c r="H771" s="23" t="s">
        <v>1941</v>
      </c>
      <c r="I771" s="21"/>
      <c r="J771" s="25"/>
      <c r="K771" s="26" t="s">
        <v>44</v>
      </c>
      <c r="L771" s="16"/>
      <c r="M771" s="21"/>
    </row>
    <row r="772">
      <c r="A772" s="28">
        <v>46232.0</v>
      </c>
      <c r="B772" s="16" t="s">
        <v>3662</v>
      </c>
      <c r="C772" s="46" t="s">
        <v>3663</v>
      </c>
      <c r="D772" s="21"/>
      <c r="E772" s="22" t="s">
        <v>3667</v>
      </c>
      <c r="H772" s="23" t="s">
        <v>48</v>
      </c>
      <c r="I772" s="21"/>
      <c r="J772" s="25"/>
      <c r="K772" s="26" t="s">
        <v>44</v>
      </c>
      <c r="L772" s="16"/>
      <c r="M772" s="21"/>
    </row>
    <row r="773">
      <c r="A773" s="28">
        <v>46232.0</v>
      </c>
      <c r="B773" s="16" t="s">
        <v>3671</v>
      </c>
      <c r="C773" s="20" t="s">
        <v>3672</v>
      </c>
      <c r="D773" s="21"/>
      <c r="E773" s="22" t="s">
        <v>3673</v>
      </c>
      <c r="H773" s="23" t="s">
        <v>80</v>
      </c>
      <c r="I773" s="21"/>
      <c r="J773" s="25"/>
      <c r="K773" s="26" t="s">
        <v>44</v>
      </c>
      <c r="L773" s="16"/>
      <c r="M773" s="21"/>
    </row>
    <row r="774">
      <c r="A774" s="28">
        <v>46232.0</v>
      </c>
      <c r="B774" s="16" t="s">
        <v>3680</v>
      </c>
      <c r="C774" s="20" t="s">
        <v>3681</v>
      </c>
      <c r="D774" s="21"/>
      <c r="E774" s="22" t="s">
        <v>3682</v>
      </c>
      <c r="H774" s="23" t="s">
        <v>3683</v>
      </c>
      <c r="I774" s="21"/>
      <c r="J774" s="25"/>
      <c r="K774" s="26" t="s">
        <v>44</v>
      </c>
      <c r="L774" s="16"/>
      <c r="M774" s="21"/>
    </row>
    <row r="775">
      <c r="A775" s="28">
        <v>46232.0</v>
      </c>
      <c r="B775" s="16" t="s">
        <v>3687</v>
      </c>
      <c r="C775" s="20" t="s">
        <v>3688</v>
      </c>
      <c r="D775" s="21"/>
      <c r="E775" s="22" t="s">
        <v>3689</v>
      </c>
      <c r="H775" s="23" t="s">
        <v>3693</v>
      </c>
      <c r="I775" s="21"/>
      <c r="J775" s="25"/>
      <c r="K775" s="26" t="s">
        <v>44</v>
      </c>
      <c r="L775" s="16"/>
      <c r="M775" s="21"/>
    </row>
    <row r="776">
      <c r="A776" s="28">
        <v>46232.0</v>
      </c>
      <c r="B776" s="16" t="s">
        <v>3694</v>
      </c>
      <c r="C776" s="20" t="s">
        <v>3695</v>
      </c>
      <c r="D776" s="21"/>
      <c r="E776" s="22" t="s">
        <v>3696</v>
      </c>
      <c r="H776" s="23" t="s">
        <v>1016</v>
      </c>
      <c r="I776" s="21"/>
      <c r="J776" s="25"/>
      <c r="K776" s="26" t="s">
        <v>44</v>
      </c>
      <c r="L776" s="16"/>
      <c r="M776" s="21"/>
    </row>
    <row r="777">
      <c r="A777" s="28">
        <v>46232.0</v>
      </c>
      <c r="B777" s="16" t="s">
        <v>3700</v>
      </c>
      <c r="C777" s="20" t="s">
        <v>3701</v>
      </c>
      <c r="D777" s="21"/>
      <c r="E777" s="22" t="s">
        <v>3702</v>
      </c>
      <c r="H777" s="23" t="s">
        <v>57</v>
      </c>
      <c r="I777" s="21"/>
      <c r="J777" s="25"/>
      <c r="K777" s="26" t="s">
        <v>44</v>
      </c>
      <c r="L777" s="16"/>
      <c r="M777" s="21"/>
    </row>
    <row r="778">
      <c r="A778" s="28">
        <v>46232.0</v>
      </c>
      <c r="B778" s="16" t="s">
        <v>3709</v>
      </c>
      <c r="C778" s="20" t="s">
        <v>3710</v>
      </c>
      <c r="D778" s="21"/>
      <c r="E778" s="22" t="s">
        <v>3711</v>
      </c>
      <c r="H778" s="23" t="s">
        <v>57</v>
      </c>
      <c r="I778" s="21"/>
      <c r="J778" s="25"/>
      <c r="K778" s="26" t="s">
        <v>44</v>
      </c>
      <c r="L778" s="16"/>
      <c r="M778" s="21"/>
    </row>
    <row r="779">
      <c r="A779" s="28">
        <v>46232.0</v>
      </c>
      <c r="B779" s="16" t="s">
        <v>3715</v>
      </c>
      <c r="C779" s="20" t="s">
        <v>3716</v>
      </c>
      <c r="D779" s="21"/>
      <c r="E779" s="22" t="s">
        <v>3717</v>
      </c>
      <c r="H779" s="23" t="s">
        <v>1239</v>
      </c>
      <c r="I779" s="21"/>
      <c r="J779" s="25"/>
      <c r="K779" s="26" t="s">
        <v>44</v>
      </c>
      <c r="L779" s="16"/>
      <c r="M779" s="21"/>
    </row>
    <row r="780">
      <c r="A780" s="28">
        <v>46232.0</v>
      </c>
      <c r="B780" s="16" t="s">
        <v>3725</v>
      </c>
      <c r="C780" s="20" t="s">
        <v>3726</v>
      </c>
      <c r="D780" s="21"/>
      <c r="E780" s="22" t="s">
        <v>3728</v>
      </c>
      <c r="H780" s="23" t="s">
        <v>713</v>
      </c>
      <c r="I780" s="21"/>
      <c r="J780" s="25"/>
      <c r="K780" s="26" t="s">
        <v>44</v>
      </c>
      <c r="L780" s="16"/>
      <c r="M780" s="21"/>
    </row>
    <row r="781">
      <c r="A781" s="28">
        <v>46232.0</v>
      </c>
      <c r="B781" s="16" t="s">
        <v>3736</v>
      </c>
      <c r="C781" s="20" t="s">
        <v>3737</v>
      </c>
      <c r="D781" s="21"/>
      <c r="E781" s="22" t="s">
        <v>3738</v>
      </c>
      <c r="H781" s="23" t="s">
        <v>713</v>
      </c>
      <c r="I781" s="21"/>
      <c r="J781" s="25"/>
      <c r="K781" s="26" t="s">
        <v>44</v>
      </c>
      <c r="L781" s="16"/>
      <c r="M781" s="21"/>
    </row>
    <row r="782">
      <c r="A782" s="28">
        <v>46232.0</v>
      </c>
      <c r="B782" s="16" t="s">
        <v>3744</v>
      </c>
      <c r="C782" s="20" t="s">
        <v>3745</v>
      </c>
      <c r="D782" s="21"/>
      <c r="E782" s="22" t="s">
        <v>3746</v>
      </c>
      <c r="H782" s="23" t="s">
        <v>76</v>
      </c>
      <c r="I782" s="21"/>
      <c r="J782" s="25"/>
      <c r="K782" s="26" t="s">
        <v>44</v>
      </c>
      <c r="L782" s="16"/>
      <c r="M782" s="21"/>
    </row>
    <row r="783">
      <c r="A783" s="28">
        <v>46232.0</v>
      </c>
      <c r="B783" s="16" t="s">
        <v>3754</v>
      </c>
      <c r="C783" s="20" t="s">
        <v>3755</v>
      </c>
      <c r="D783" s="21"/>
      <c r="E783" s="22" t="s">
        <v>3756</v>
      </c>
      <c r="H783" s="23" t="s">
        <v>751</v>
      </c>
      <c r="I783" s="21"/>
      <c r="J783" s="25"/>
      <c r="K783" s="26" t="s">
        <v>44</v>
      </c>
      <c r="L783" s="16"/>
      <c r="M783" s="21"/>
    </row>
    <row r="784">
      <c r="A784" s="28">
        <v>46232.0</v>
      </c>
      <c r="B784" s="16" t="s">
        <v>3766</v>
      </c>
      <c r="C784" s="20" t="s">
        <v>3768</v>
      </c>
      <c r="D784" s="21"/>
      <c r="E784" s="22" t="s">
        <v>3769</v>
      </c>
      <c r="H784" s="23" t="s">
        <v>111</v>
      </c>
      <c r="I784" s="21"/>
      <c r="J784" s="25"/>
      <c r="K784" s="26" t="s">
        <v>44</v>
      </c>
      <c r="L784" s="16"/>
      <c r="M784" s="21"/>
    </row>
    <row r="785">
      <c r="A785" s="28">
        <v>46232.0</v>
      </c>
      <c r="B785" s="16" t="s">
        <v>3775</v>
      </c>
      <c r="C785" s="20" t="s">
        <v>3776</v>
      </c>
      <c r="D785" s="21"/>
      <c r="E785" s="22" t="s">
        <v>3778</v>
      </c>
      <c r="H785" s="23" t="s">
        <v>713</v>
      </c>
      <c r="I785" s="21"/>
      <c r="J785" s="25"/>
      <c r="K785" s="26" t="s">
        <v>44</v>
      </c>
      <c r="L785" s="16"/>
      <c r="M785" s="21"/>
    </row>
    <row r="786">
      <c r="A786" s="28">
        <v>46232.0</v>
      </c>
      <c r="B786" s="16" t="s">
        <v>3784</v>
      </c>
      <c r="C786" s="20" t="s">
        <v>3786</v>
      </c>
      <c r="D786" s="21"/>
      <c r="E786" s="22" t="s">
        <v>3789</v>
      </c>
      <c r="H786" s="23" t="s">
        <v>404</v>
      </c>
      <c r="I786" s="21"/>
      <c r="J786" s="25"/>
      <c r="K786" s="26" t="s">
        <v>44</v>
      </c>
      <c r="L786" s="16"/>
      <c r="M786" s="21"/>
    </row>
    <row r="787">
      <c r="A787" s="28">
        <v>46232.0</v>
      </c>
      <c r="B787" s="16" t="s">
        <v>3796</v>
      </c>
      <c r="C787" s="20" t="s">
        <v>3797</v>
      </c>
      <c r="D787" s="21"/>
      <c r="E787" s="22" t="s">
        <v>3798</v>
      </c>
      <c r="H787" s="23" t="s">
        <v>48</v>
      </c>
      <c r="I787" s="21"/>
      <c r="J787" s="25"/>
      <c r="K787" s="26" t="s">
        <v>44</v>
      </c>
      <c r="L787" s="16"/>
      <c r="M787" s="21"/>
    </row>
    <row r="788">
      <c r="A788" s="28">
        <v>46232.0</v>
      </c>
      <c r="B788" s="16" t="s">
        <v>3806</v>
      </c>
      <c r="C788" s="20" t="s">
        <v>3807</v>
      </c>
      <c r="D788" s="21"/>
      <c r="E788" s="22" t="s">
        <v>3808</v>
      </c>
      <c r="H788" s="23" t="s">
        <v>299</v>
      </c>
      <c r="I788" s="21"/>
      <c r="J788" s="25"/>
      <c r="K788" s="26" t="s">
        <v>44</v>
      </c>
      <c r="L788" s="16"/>
      <c r="M788" s="21"/>
    </row>
    <row r="789">
      <c r="A789" s="28">
        <v>46232.0</v>
      </c>
      <c r="B789" s="16" t="s">
        <v>3816</v>
      </c>
      <c r="C789" s="20" t="s">
        <v>3818</v>
      </c>
      <c r="D789" s="21"/>
      <c r="E789" s="22" t="s">
        <v>3822</v>
      </c>
      <c r="H789" s="23" t="s">
        <v>3828</v>
      </c>
      <c r="I789" s="21"/>
      <c r="J789" s="25"/>
      <c r="K789" s="26" t="s">
        <v>44</v>
      </c>
      <c r="L789" s="16"/>
      <c r="M789" s="21"/>
    </row>
    <row r="790">
      <c r="A790" s="28">
        <v>46232.0</v>
      </c>
      <c r="B790" s="16" t="s">
        <v>3833</v>
      </c>
      <c r="C790" s="20" t="s">
        <v>3834</v>
      </c>
      <c r="D790" s="21"/>
      <c r="E790" s="22" t="s">
        <v>3835</v>
      </c>
      <c r="H790" s="23" t="s">
        <v>57</v>
      </c>
      <c r="I790" s="21"/>
      <c r="J790" s="25"/>
      <c r="K790" s="26" t="s">
        <v>44</v>
      </c>
      <c r="L790" s="16"/>
      <c r="M790" s="21"/>
    </row>
    <row r="791">
      <c r="A791" s="28">
        <v>46232.0</v>
      </c>
      <c r="B791" s="16" t="s">
        <v>3842</v>
      </c>
      <c r="C791" s="20" t="s">
        <v>3844</v>
      </c>
      <c r="D791" s="21"/>
      <c r="E791" s="22" t="s">
        <v>3848</v>
      </c>
      <c r="H791" s="23" t="s">
        <v>1422</v>
      </c>
      <c r="I791" s="21"/>
      <c r="J791" s="25"/>
      <c r="K791" s="26" t="s">
        <v>44</v>
      </c>
      <c r="L791" s="16"/>
      <c r="M791" s="21"/>
    </row>
    <row r="792">
      <c r="A792" s="28">
        <v>46232.0</v>
      </c>
      <c r="B792" s="16" t="s">
        <v>3855</v>
      </c>
      <c r="C792" s="20" t="s">
        <v>3857</v>
      </c>
      <c r="D792" s="21"/>
      <c r="E792" s="22" t="s">
        <v>3858</v>
      </c>
      <c r="H792" s="23" t="s">
        <v>3864</v>
      </c>
      <c r="I792" s="21"/>
      <c r="J792" s="25"/>
      <c r="K792" s="26" t="s">
        <v>44</v>
      </c>
      <c r="L792" s="16"/>
      <c r="M792" s="21"/>
    </row>
    <row r="793">
      <c r="A793" s="28">
        <v>46232.0</v>
      </c>
      <c r="B793" s="16" t="s">
        <v>3869</v>
      </c>
      <c r="C793" s="20" t="s">
        <v>3870</v>
      </c>
      <c r="D793" s="21"/>
      <c r="E793" s="22" t="s">
        <v>3871</v>
      </c>
      <c r="H793" s="23" t="s">
        <v>69</v>
      </c>
      <c r="I793" s="21"/>
      <c r="J793" s="25"/>
      <c r="K793" s="26" t="s">
        <v>44</v>
      </c>
      <c r="L793" s="16"/>
      <c r="M793" s="21"/>
    </row>
    <row r="794">
      <c r="A794" s="28">
        <v>46232.0</v>
      </c>
      <c r="B794" s="16" t="s">
        <v>3878</v>
      </c>
      <c r="C794" s="20" t="s">
        <v>3879</v>
      </c>
      <c r="D794" s="21"/>
      <c r="E794" s="22" t="s">
        <v>3881</v>
      </c>
      <c r="H794" s="23" t="s">
        <v>856</v>
      </c>
      <c r="I794" s="21"/>
      <c r="J794" s="25"/>
      <c r="K794" s="26" t="s">
        <v>44</v>
      </c>
      <c r="L794" s="16"/>
      <c r="M794" s="21"/>
    </row>
    <row r="795">
      <c r="A795" s="28">
        <v>46232.0</v>
      </c>
      <c r="B795" s="16" t="s">
        <v>3887</v>
      </c>
      <c r="C795" s="20" t="s">
        <v>3889</v>
      </c>
      <c r="D795" s="21"/>
      <c r="E795" s="22" t="s">
        <v>3891</v>
      </c>
      <c r="H795" s="23" t="s">
        <v>3894</v>
      </c>
      <c r="I795" s="21"/>
      <c r="J795" s="25"/>
      <c r="K795" s="26" t="s">
        <v>44</v>
      </c>
      <c r="L795" s="16"/>
      <c r="M795" s="21"/>
    </row>
    <row r="796">
      <c r="A796" s="28">
        <v>46232.0</v>
      </c>
      <c r="B796" s="16" t="s">
        <v>3899</v>
      </c>
      <c r="C796" s="20" t="s">
        <v>3900</v>
      </c>
      <c r="D796" s="21"/>
      <c r="E796" s="22" t="s">
        <v>3901</v>
      </c>
      <c r="H796" s="23" t="s">
        <v>2143</v>
      </c>
      <c r="I796" s="21"/>
      <c r="J796" s="25"/>
      <c r="K796" s="26" t="s">
        <v>44</v>
      </c>
      <c r="L796" s="16"/>
      <c r="M796" s="21"/>
    </row>
    <row r="797">
      <c r="A797" s="28">
        <v>46232.0</v>
      </c>
      <c r="B797" s="16" t="s">
        <v>3908</v>
      </c>
      <c r="C797" s="20" t="s">
        <v>3909</v>
      </c>
      <c r="D797" s="21"/>
      <c r="E797" s="22" t="s">
        <v>3910</v>
      </c>
      <c r="H797" s="23" t="s">
        <v>57</v>
      </c>
      <c r="I797" s="21"/>
      <c r="J797" s="25"/>
      <c r="K797" s="26" t="s">
        <v>44</v>
      </c>
      <c r="L797" s="16"/>
      <c r="M797" s="21"/>
    </row>
    <row r="798">
      <c r="A798" s="28">
        <v>46232.0</v>
      </c>
      <c r="B798" s="16" t="s">
        <v>3916</v>
      </c>
      <c r="C798" s="20" t="s">
        <v>3917</v>
      </c>
      <c r="D798" s="21"/>
      <c r="E798" s="22" t="s">
        <v>3920</v>
      </c>
      <c r="H798" s="23" t="s">
        <v>3927</v>
      </c>
      <c r="I798" s="21"/>
      <c r="J798" s="25"/>
      <c r="K798" s="26" t="s">
        <v>44</v>
      </c>
      <c r="L798" s="16"/>
      <c r="M798" s="21"/>
    </row>
    <row r="799">
      <c r="A799" s="28">
        <v>46232.0</v>
      </c>
      <c r="B799" s="16" t="s">
        <v>3930</v>
      </c>
      <c r="C799" s="20" t="s">
        <v>3931</v>
      </c>
      <c r="D799" s="21"/>
      <c r="E799" s="22" t="s">
        <v>3932</v>
      </c>
      <c r="H799" s="23" t="s">
        <v>1250</v>
      </c>
      <c r="I799" s="21"/>
      <c r="J799" s="25"/>
      <c r="K799" s="26" t="s">
        <v>44</v>
      </c>
      <c r="L799" s="16"/>
      <c r="M799" s="21"/>
    </row>
    <row r="800">
      <c r="A800" s="28">
        <v>46232.0</v>
      </c>
      <c r="B800" s="16" t="s">
        <v>3940</v>
      </c>
      <c r="C800" s="46" t="s">
        <v>3942</v>
      </c>
      <c r="D800" s="21"/>
      <c r="E800" s="22" t="s">
        <v>3946</v>
      </c>
      <c r="H800" s="23" t="s">
        <v>3952</v>
      </c>
      <c r="I800" s="21"/>
      <c r="J800" s="25"/>
      <c r="K800" s="26" t="s">
        <v>44</v>
      </c>
      <c r="L800" s="16"/>
      <c r="M800" s="21"/>
    </row>
    <row r="801">
      <c r="A801" s="28">
        <v>46232.0</v>
      </c>
      <c r="B801" s="16" t="s">
        <v>3956</v>
      </c>
      <c r="C801" s="20" t="s">
        <v>3957</v>
      </c>
      <c r="D801" s="21"/>
      <c r="E801" s="22" t="s">
        <v>3958</v>
      </c>
      <c r="H801" s="23" t="s">
        <v>751</v>
      </c>
      <c r="I801" s="21"/>
      <c r="J801" s="25"/>
      <c r="K801" s="26" t="s">
        <v>44</v>
      </c>
      <c r="L801" s="16"/>
      <c r="M801" s="21"/>
    </row>
    <row r="802">
      <c r="A802" s="28">
        <v>46232.0</v>
      </c>
      <c r="B802" s="16" t="s">
        <v>3965</v>
      </c>
      <c r="C802" s="20" t="s">
        <v>3966</v>
      </c>
      <c r="D802" s="21"/>
      <c r="E802" s="22" t="s">
        <v>3968</v>
      </c>
      <c r="H802" s="23" t="s">
        <v>604</v>
      </c>
      <c r="I802" s="21"/>
      <c r="J802" s="25"/>
      <c r="K802" s="26" t="s">
        <v>44</v>
      </c>
      <c r="L802" s="16"/>
      <c r="M802" s="21"/>
    </row>
    <row r="803">
      <c r="A803" s="28">
        <v>46232.0</v>
      </c>
      <c r="B803" s="16" t="s">
        <v>3976</v>
      </c>
      <c r="C803" s="20" t="s">
        <v>3977</v>
      </c>
      <c r="D803" s="21"/>
      <c r="E803" s="22" t="s">
        <v>3978</v>
      </c>
      <c r="H803" s="23" t="s">
        <v>299</v>
      </c>
      <c r="I803" s="21"/>
      <c r="J803" s="25"/>
      <c r="K803" s="26" t="s">
        <v>44</v>
      </c>
      <c r="L803" s="16"/>
      <c r="M803" s="21"/>
    </row>
    <row r="804">
      <c r="A804" s="28">
        <v>46232.0</v>
      </c>
      <c r="B804" s="16" t="s">
        <v>3983</v>
      </c>
      <c r="C804" s="20" t="s">
        <v>3985</v>
      </c>
      <c r="D804" s="21"/>
      <c r="E804" s="22" t="s">
        <v>3986</v>
      </c>
      <c r="H804" s="23" t="s">
        <v>42</v>
      </c>
      <c r="I804" s="21"/>
      <c r="J804" s="25"/>
      <c r="K804" s="26" t="s">
        <v>44</v>
      </c>
      <c r="L804" s="16"/>
      <c r="M804" s="21"/>
    </row>
    <row r="805">
      <c r="A805" s="28">
        <v>46232.0</v>
      </c>
      <c r="B805" s="16" t="s">
        <v>3996</v>
      </c>
      <c r="C805" s="20" t="s">
        <v>3997</v>
      </c>
      <c r="D805" s="21"/>
      <c r="E805" s="22" t="s">
        <v>3998</v>
      </c>
      <c r="H805" s="23" t="s">
        <v>4003</v>
      </c>
      <c r="I805" s="21"/>
      <c r="J805" s="25"/>
      <c r="K805" s="26" t="s">
        <v>44</v>
      </c>
      <c r="L805" s="16"/>
      <c r="M805" s="21"/>
    </row>
    <row r="806">
      <c r="A806" s="28">
        <v>46232.0</v>
      </c>
      <c r="B806" s="16" t="s">
        <v>4006</v>
      </c>
      <c r="C806" s="20" t="s">
        <v>4007</v>
      </c>
      <c r="D806" s="21"/>
      <c r="E806" s="22" t="s">
        <v>4008</v>
      </c>
      <c r="H806" s="23" t="s">
        <v>2867</v>
      </c>
      <c r="I806" s="21"/>
      <c r="J806" s="25"/>
      <c r="K806" s="26" t="s">
        <v>44</v>
      </c>
      <c r="L806" s="16"/>
      <c r="M806" s="21"/>
    </row>
    <row r="807">
      <c r="A807" s="28">
        <v>46232.0</v>
      </c>
      <c r="B807" s="16" t="s">
        <v>4016</v>
      </c>
      <c r="C807" s="20" t="s">
        <v>4018</v>
      </c>
      <c r="D807" s="21"/>
      <c r="E807" s="22" t="s">
        <v>4020</v>
      </c>
      <c r="H807" s="23" t="s">
        <v>42</v>
      </c>
      <c r="I807" s="21"/>
      <c r="J807" s="25"/>
      <c r="K807" s="26" t="s">
        <v>44</v>
      </c>
      <c r="L807" s="16"/>
      <c r="M807" s="21"/>
    </row>
    <row r="808">
      <c r="A808" s="28">
        <v>46232.0</v>
      </c>
      <c r="B808" s="16" t="s">
        <v>4029</v>
      </c>
      <c r="C808" s="20" t="s">
        <v>4030</v>
      </c>
      <c r="D808" s="21"/>
      <c r="E808" s="22" t="s">
        <v>4031</v>
      </c>
      <c r="H808" s="23" t="s">
        <v>57</v>
      </c>
      <c r="I808" s="21"/>
      <c r="J808" s="25"/>
      <c r="K808" s="26" t="s">
        <v>44</v>
      </c>
      <c r="L808" s="16"/>
      <c r="M808" s="21"/>
    </row>
    <row r="809">
      <c r="A809" s="28">
        <v>46232.0</v>
      </c>
      <c r="B809" s="16" t="s">
        <v>4042</v>
      </c>
      <c r="C809" s="20" t="s">
        <v>4043</v>
      </c>
      <c r="D809" s="21"/>
      <c r="E809" s="22" t="s">
        <v>4044</v>
      </c>
      <c r="H809" s="23" t="s">
        <v>800</v>
      </c>
      <c r="I809" s="21"/>
      <c r="J809" s="25"/>
      <c r="K809" s="26" t="s">
        <v>44</v>
      </c>
      <c r="L809" s="16"/>
      <c r="M809" s="21"/>
    </row>
    <row r="810">
      <c r="A810" s="28">
        <v>46232.0</v>
      </c>
      <c r="B810" s="16" t="s">
        <v>4052</v>
      </c>
      <c r="C810" s="20" t="s">
        <v>4053</v>
      </c>
      <c r="D810" s="21"/>
      <c r="E810" s="22" t="s">
        <v>4055</v>
      </c>
      <c r="H810" s="23" t="s">
        <v>614</v>
      </c>
      <c r="I810" s="21"/>
      <c r="J810" s="25"/>
      <c r="K810" s="26" t="s">
        <v>44</v>
      </c>
      <c r="L810" s="16"/>
      <c r="M810" s="21"/>
    </row>
    <row r="811">
      <c r="A811" s="28">
        <v>46232.0</v>
      </c>
      <c r="B811" s="16" t="s">
        <v>4064</v>
      </c>
      <c r="C811" s="20" t="s">
        <v>4065</v>
      </c>
      <c r="D811" s="21"/>
      <c r="E811" s="22" t="s">
        <v>4066</v>
      </c>
      <c r="H811" s="23" t="s">
        <v>1422</v>
      </c>
      <c r="I811" s="21"/>
      <c r="J811" s="25"/>
      <c r="K811" s="26" t="s">
        <v>44</v>
      </c>
      <c r="L811" s="16"/>
      <c r="M811" s="21"/>
    </row>
    <row r="812">
      <c r="A812" s="28">
        <v>46232.0</v>
      </c>
      <c r="B812" s="16" t="s">
        <v>4072</v>
      </c>
      <c r="C812" s="20" t="s">
        <v>4073</v>
      </c>
      <c r="D812" s="21"/>
      <c r="E812" s="22" t="s">
        <v>4074</v>
      </c>
      <c r="H812" s="23" t="s">
        <v>48</v>
      </c>
      <c r="I812" s="21"/>
      <c r="J812" s="25"/>
      <c r="K812" s="26" t="s">
        <v>44</v>
      </c>
      <c r="L812" s="16"/>
      <c r="M812" s="21"/>
    </row>
    <row r="813">
      <c r="A813" s="28">
        <v>46232.0</v>
      </c>
      <c r="B813" s="16" t="s">
        <v>4082</v>
      </c>
      <c r="C813" s="20" t="s">
        <v>4083</v>
      </c>
      <c r="D813" s="21"/>
      <c r="E813" s="22" t="s">
        <v>4084</v>
      </c>
      <c r="H813" s="23" t="s">
        <v>2606</v>
      </c>
      <c r="I813" s="21"/>
      <c r="J813" s="25"/>
      <c r="K813" s="26" t="s">
        <v>44</v>
      </c>
      <c r="L813" s="16"/>
      <c r="M813" s="21"/>
    </row>
    <row r="814">
      <c r="A814" s="28">
        <v>46232.0</v>
      </c>
      <c r="B814" s="16" t="s">
        <v>4090</v>
      </c>
      <c r="C814" s="20" t="s">
        <v>4091</v>
      </c>
      <c r="D814" s="21"/>
      <c r="E814" s="22" t="s">
        <v>4092</v>
      </c>
      <c r="H814" s="23" t="s">
        <v>1941</v>
      </c>
      <c r="I814" s="21"/>
      <c r="J814" s="25"/>
      <c r="K814" s="26" t="s">
        <v>44</v>
      </c>
      <c r="L814" s="16"/>
      <c r="M814" s="21"/>
    </row>
    <row r="815">
      <c r="A815" s="28">
        <v>46232.0</v>
      </c>
      <c r="B815" s="16" t="s">
        <v>4098</v>
      </c>
      <c r="C815" s="20" t="s">
        <v>4099</v>
      </c>
      <c r="D815" s="21"/>
      <c r="E815" s="22" t="s">
        <v>4101</v>
      </c>
      <c r="H815" s="23" t="s">
        <v>148</v>
      </c>
      <c r="I815" s="21"/>
      <c r="J815" s="25"/>
      <c r="K815" s="26" t="s">
        <v>44</v>
      </c>
      <c r="L815" s="16"/>
      <c r="M815" s="21"/>
    </row>
    <row r="816">
      <c r="A816" s="28">
        <v>46232.0</v>
      </c>
      <c r="B816" s="16" t="s">
        <v>4107</v>
      </c>
      <c r="C816" s="20" t="s">
        <v>4108</v>
      </c>
      <c r="D816" s="21"/>
      <c r="E816" s="22" t="s">
        <v>4109</v>
      </c>
      <c r="H816" s="23" t="s">
        <v>4114</v>
      </c>
      <c r="I816" s="21"/>
      <c r="J816" s="25"/>
      <c r="K816" s="26" t="s">
        <v>44</v>
      </c>
      <c r="L816" s="16"/>
      <c r="M816" s="21"/>
    </row>
    <row r="817">
      <c r="A817" s="28">
        <v>46232.0</v>
      </c>
      <c r="B817" s="16" t="s">
        <v>4116</v>
      </c>
      <c r="C817" s="20" t="s">
        <v>4117</v>
      </c>
      <c r="D817" s="21"/>
      <c r="E817" s="22" t="s">
        <v>4118</v>
      </c>
      <c r="H817" s="23" t="s">
        <v>1557</v>
      </c>
      <c r="I817" s="21"/>
      <c r="J817" s="25"/>
      <c r="K817" s="26" t="s">
        <v>44</v>
      </c>
      <c r="L817" s="16"/>
      <c r="M817" s="21"/>
    </row>
    <row r="818">
      <c r="A818" s="28">
        <v>46232.0</v>
      </c>
      <c r="B818" s="16" t="s">
        <v>4128</v>
      </c>
      <c r="C818" s="20" t="s">
        <v>4129</v>
      </c>
      <c r="D818" s="21"/>
      <c r="E818" s="22" t="s">
        <v>4130</v>
      </c>
      <c r="H818" s="23" t="s">
        <v>57</v>
      </c>
      <c r="I818" s="21"/>
      <c r="J818" s="25"/>
      <c r="K818" s="26" t="s">
        <v>44</v>
      </c>
      <c r="L818" s="16"/>
      <c r="M818" s="21"/>
    </row>
    <row r="819">
      <c r="A819" s="28">
        <v>46232.0</v>
      </c>
      <c r="B819" s="16" t="s">
        <v>4138</v>
      </c>
      <c r="C819" s="20" t="s">
        <v>4139</v>
      </c>
      <c r="D819" s="21"/>
      <c r="E819" s="22" t="s">
        <v>4143</v>
      </c>
      <c r="H819" s="23" t="s">
        <v>127</v>
      </c>
      <c r="I819" s="21"/>
      <c r="J819" s="25"/>
      <c r="K819" s="26" t="s">
        <v>44</v>
      </c>
      <c r="L819" s="16"/>
      <c r="M819" s="21"/>
    </row>
    <row r="820">
      <c r="A820" s="28">
        <v>46232.0</v>
      </c>
      <c r="B820" s="16" t="s">
        <v>4149</v>
      </c>
      <c r="C820" s="20" t="s">
        <v>4150</v>
      </c>
      <c r="D820" s="21"/>
      <c r="E820" s="22" t="s">
        <v>4152</v>
      </c>
      <c r="H820" s="23" t="s">
        <v>80</v>
      </c>
      <c r="I820" s="21"/>
      <c r="J820" s="25"/>
      <c r="K820" s="26" t="s">
        <v>44</v>
      </c>
      <c r="L820" s="16"/>
      <c r="M820" s="21"/>
    </row>
    <row r="821">
      <c r="A821" s="28">
        <v>46232.0</v>
      </c>
      <c r="B821" s="16" t="s">
        <v>4159</v>
      </c>
      <c r="C821" s="20" t="s">
        <v>4160</v>
      </c>
      <c r="D821" s="21"/>
      <c r="E821" s="22" t="s">
        <v>4162</v>
      </c>
      <c r="H821" s="23" t="s">
        <v>4167</v>
      </c>
      <c r="I821" s="21"/>
      <c r="J821" s="25"/>
      <c r="K821" s="26" t="s">
        <v>44</v>
      </c>
      <c r="L821" s="16"/>
      <c r="M821" s="21"/>
    </row>
    <row r="822">
      <c r="A822" s="28">
        <v>46232.0</v>
      </c>
      <c r="B822" s="16" t="s">
        <v>4171</v>
      </c>
      <c r="C822" s="20" t="s">
        <v>4172</v>
      </c>
      <c r="D822" s="21"/>
      <c r="E822" s="22" t="s">
        <v>4173</v>
      </c>
      <c r="H822" s="23" t="s">
        <v>1819</v>
      </c>
      <c r="I822" s="21"/>
      <c r="J822" s="25"/>
      <c r="K822" s="26" t="s">
        <v>44</v>
      </c>
      <c r="L822" s="16"/>
      <c r="M822" s="21"/>
    </row>
    <row r="823">
      <c r="A823" s="28">
        <v>46232.0</v>
      </c>
      <c r="B823" s="16" t="s">
        <v>4181</v>
      </c>
      <c r="C823" s="20" t="s">
        <v>4183</v>
      </c>
      <c r="D823" s="21"/>
      <c r="E823" s="22" t="s">
        <v>4184</v>
      </c>
      <c r="H823" s="23" t="s">
        <v>1020</v>
      </c>
      <c r="I823" s="21"/>
      <c r="J823" s="25"/>
      <c r="K823" s="26" t="s">
        <v>44</v>
      </c>
      <c r="L823" s="16"/>
      <c r="M823" s="21"/>
    </row>
    <row r="824">
      <c r="A824" s="28">
        <v>46232.0</v>
      </c>
      <c r="B824" s="16" t="s">
        <v>4191</v>
      </c>
      <c r="C824" s="20" t="s">
        <v>4192</v>
      </c>
      <c r="D824" s="21"/>
      <c r="E824" s="22" t="s">
        <v>4193</v>
      </c>
      <c r="H824" s="23" t="s">
        <v>57</v>
      </c>
      <c r="I824" s="21"/>
      <c r="J824" s="25"/>
      <c r="K824" s="26" t="s">
        <v>44</v>
      </c>
      <c r="L824" s="16"/>
      <c r="M824" s="21"/>
    </row>
    <row r="825">
      <c r="A825" s="28">
        <v>46232.0</v>
      </c>
      <c r="B825" s="16" t="s">
        <v>4201</v>
      </c>
      <c r="C825" s="20" t="s">
        <v>4202</v>
      </c>
      <c r="D825" s="21"/>
      <c r="E825" s="22" t="s">
        <v>4204</v>
      </c>
      <c r="H825" s="23" t="s">
        <v>1483</v>
      </c>
      <c r="I825" s="21"/>
      <c r="J825" s="25"/>
      <c r="K825" s="26" t="s">
        <v>44</v>
      </c>
      <c r="L825" s="16"/>
      <c r="M825" s="21"/>
    </row>
    <row r="826">
      <c r="A826" s="28">
        <v>46232.0</v>
      </c>
      <c r="B826" s="16" t="s">
        <v>4210</v>
      </c>
      <c r="C826" s="20" t="s">
        <v>4211</v>
      </c>
      <c r="D826" s="21"/>
      <c r="E826" s="22" t="s">
        <v>4213</v>
      </c>
      <c r="H826" s="23" t="s">
        <v>69</v>
      </c>
      <c r="I826" s="21"/>
      <c r="J826" s="25"/>
      <c r="K826" s="26" t="s">
        <v>44</v>
      </c>
      <c r="L826" s="16"/>
      <c r="M826" s="21"/>
    </row>
    <row r="827">
      <c r="A827" s="28">
        <v>46232.0</v>
      </c>
      <c r="B827" s="16" t="s">
        <v>4221</v>
      </c>
      <c r="C827" s="20" t="s">
        <v>4222</v>
      </c>
      <c r="D827" s="21"/>
      <c r="E827" s="22" t="s">
        <v>4223</v>
      </c>
      <c r="H827" s="23" t="s">
        <v>751</v>
      </c>
      <c r="I827" s="21"/>
      <c r="J827" s="25"/>
      <c r="K827" s="26" t="s">
        <v>44</v>
      </c>
      <c r="L827" s="16"/>
      <c r="M827" s="21"/>
    </row>
    <row r="828">
      <c r="A828" s="28">
        <v>46232.0</v>
      </c>
      <c r="B828" s="16" t="s">
        <v>4228</v>
      </c>
      <c r="C828" s="20" t="s">
        <v>4230</v>
      </c>
      <c r="D828" s="21"/>
      <c r="E828" s="22" t="s">
        <v>4231</v>
      </c>
      <c r="H828" s="23" t="s">
        <v>1708</v>
      </c>
      <c r="I828" s="21"/>
      <c r="J828" s="25"/>
      <c r="K828" s="26" t="s">
        <v>44</v>
      </c>
      <c r="L828" s="16"/>
      <c r="M828" s="21"/>
    </row>
    <row r="829">
      <c r="A829" s="28">
        <v>46232.0</v>
      </c>
      <c r="B829" s="16" t="s">
        <v>4237</v>
      </c>
      <c r="C829" s="20" t="s">
        <v>4238</v>
      </c>
      <c r="D829" s="21"/>
      <c r="E829" s="22" t="s">
        <v>4240</v>
      </c>
      <c r="H829" s="23" t="s">
        <v>111</v>
      </c>
      <c r="I829" s="21"/>
      <c r="J829" s="25"/>
      <c r="K829" s="26" t="s">
        <v>44</v>
      </c>
      <c r="L829" s="16"/>
      <c r="M829" s="21"/>
    </row>
    <row r="830">
      <c r="A830" s="28">
        <v>46232.0</v>
      </c>
      <c r="B830" s="16" t="s">
        <v>4249</v>
      </c>
      <c r="C830" s="20" t="s">
        <v>4250</v>
      </c>
      <c r="D830" s="21"/>
      <c r="E830" s="22" t="s">
        <v>4251</v>
      </c>
      <c r="H830" s="23" t="s">
        <v>2353</v>
      </c>
      <c r="I830" s="21"/>
      <c r="J830" s="25"/>
      <c r="K830" s="26" t="s">
        <v>44</v>
      </c>
      <c r="L830" s="16"/>
      <c r="M830" s="21"/>
    </row>
    <row r="831">
      <c r="A831" s="28">
        <v>46232.0</v>
      </c>
      <c r="B831" s="16" t="s">
        <v>4262</v>
      </c>
      <c r="C831" s="20" t="s">
        <v>4263</v>
      </c>
      <c r="D831" s="21"/>
      <c r="E831" s="22" t="s">
        <v>4264</v>
      </c>
      <c r="H831" s="23" t="s">
        <v>713</v>
      </c>
      <c r="I831" s="21"/>
      <c r="J831" s="25"/>
      <c r="K831" s="26" t="s">
        <v>44</v>
      </c>
      <c r="L831" s="16"/>
      <c r="M831" s="21"/>
    </row>
    <row r="832">
      <c r="A832" s="28">
        <v>46232.0</v>
      </c>
      <c r="B832" s="16" t="s">
        <v>4270</v>
      </c>
      <c r="C832" s="20" t="s">
        <v>4271</v>
      </c>
      <c r="D832" s="21"/>
      <c r="E832" s="22" t="s">
        <v>4272</v>
      </c>
      <c r="H832" s="23" t="s">
        <v>1727</v>
      </c>
      <c r="I832" s="21"/>
      <c r="J832" s="25"/>
      <c r="K832" s="26" t="s">
        <v>44</v>
      </c>
      <c r="L832" s="16"/>
      <c r="M832" s="21"/>
    </row>
    <row r="833">
      <c r="A833" s="28">
        <v>46232.0</v>
      </c>
      <c r="B833" s="16" t="s">
        <v>4278</v>
      </c>
      <c r="C833" s="20" t="s">
        <v>4279</v>
      </c>
      <c r="D833" s="21"/>
      <c r="E833" s="22" t="s">
        <v>4280</v>
      </c>
      <c r="H833" s="23" t="s">
        <v>713</v>
      </c>
      <c r="I833" s="21"/>
      <c r="J833" s="25"/>
      <c r="K833" s="26" t="s">
        <v>44</v>
      </c>
      <c r="L833" s="16"/>
      <c r="M833" s="21"/>
    </row>
    <row r="834">
      <c r="A834" s="28">
        <v>46232.0</v>
      </c>
      <c r="B834" s="16" t="s">
        <v>4286</v>
      </c>
      <c r="C834" s="20" t="s">
        <v>4287</v>
      </c>
      <c r="D834" s="21"/>
      <c r="E834" s="22" t="s">
        <v>4288</v>
      </c>
      <c r="H834" s="23" t="s">
        <v>4295</v>
      </c>
      <c r="I834" s="21"/>
      <c r="J834" s="25"/>
      <c r="K834" s="26" t="s">
        <v>44</v>
      </c>
      <c r="L834" s="16"/>
      <c r="M834" s="21"/>
    </row>
    <row r="835">
      <c r="A835" s="28">
        <v>46232.0</v>
      </c>
      <c r="B835" s="16" t="s">
        <v>4299</v>
      </c>
      <c r="C835" s="20" t="s">
        <v>4300</v>
      </c>
      <c r="D835" s="21"/>
      <c r="E835" s="22" t="s">
        <v>4301</v>
      </c>
      <c r="H835" s="23" t="s">
        <v>1016</v>
      </c>
      <c r="I835" s="21"/>
      <c r="J835" s="25"/>
      <c r="K835" s="26" t="s">
        <v>44</v>
      </c>
      <c r="L835" s="16"/>
      <c r="M835" s="21"/>
    </row>
    <row r="836">
      <c r="A836" s="28">
        <v>46232.0</v>
      </c>
      <c r="B836" s="16" t="s">
        <v>4308</v>
      </c>
      <c r="C836" s="20" t="s">
        <v>4309</v>
      </c>
      <c r="D836" s="21"/>
      <c r="E836" s="22" t="s">
        <v>4310</v>
      </c>
      <c r="H836" s="23" t="s">
        <v>2157</v>
      </c>
      <c r="I836" s="21"/>
      <c r="J836" s="25"/>
      <c r="K836" s="26" t="s">
        <v>44</v>
      </c>
      <c r="L836" s="16"/>
      <c r="M836" s="21"/>
    </row>
    <row r="837">
      <c r="A837" s="28">
        <v>46232.0</v>
      </c>
      <c r="B837" s="16" t="s">
        <v>4318</v>
      </c>
      <c r="C837" s="20" t="s">
        <v>4319</v>
      </c>
      <c r="D837" s="21"/>
      <c r="E837" s="22" t="s">
        <v>4321</v>
      </c>
      <c r="H837" s="23" t="s">
        <v>69</v>
      </c>
      <c r="I837" s="21"/>
      <c r="J837" s="25"/>
      <c r="K837" s="26" t="s">
        <v>44</v>
      </c>
      <c r="L837" s="16"/>
      <c r="M837" s="21"/>
    </row>
    <row r="838">
      <c r="A838" s="28">
        <v>46232.0</v>
      </c>
      <c r="B838" s="16" t="s">
        <v>4327</v>
      </c>
      <c r="C838" s="20" t="s">
        <v>4329</v>
      </c>
      <c r="D838" s="21"/>
      <c r="E838" s="22" t="s">
        <v>4330</v>
      </c>
      <c r="H838" s="23" t="s">
        <v>4336</v>
      </c>
      <c r="I838" s="21"/>
      <c r="J838" s="25"/>
      <c r="K838" s="26" t="s">
        <v>44</v>
      </c>
      <c r="L838" s="16"/>
      <c r="M838" s="21"/>
    </row>
    <row r="839">
      <c r="A839" s="28">
        <v>46232.0</v>
      </c>
      <c r="B839" s="16" t="s">
        <v>4338</v>
      </c>
      <c r="C839" s="20" t="s">
        <v>4339</v>
      </c>
      <c r="D839" s="21"/>
      <c r="E839" s="22" t="s">
        <v>4340</v>
      </c>
      <c r="H839" s="23" t="s">
        <v>57</v>
      </c>
      <c r="I839" s="21"/>
      <c r="J839" s="25"/>
      <c r="K839" s="26" t="s">
        <v>44</v>
      </c>
      <c r="L839" s="16"/>
      <c r="M839" s="21"/>
    </row>
    <row r="840">
      <c r="A840" s="28">
        <v>46232.0</v>
      </c>
      <c r="B840" s="16" t="s">
        <v>4347</v>
      </c>
      <c r="C840" s="20" t="s">
        <v>4349</v>
      </c>
      <c r="D840" s="21"/>
      <c r="E840" s="22" t="s">
        <v>4351</v>
      </c>
      <c r="H840" s="23" t="s">
        <v>604</v>
      </c>
      <c r="I840" s="21"/>
      <c r="J840" s="25"/>
      <c r="K840" s="26" t="s">
        <v>44</v>
      </c>
      <c r="L840" s="16"/>
      <c r="M840" s="21"/>
    </row>
    <row r="841">
      <c r="A841" s="28">
        <v>46232.0</v>
      </c>
      <c r="B841" s="16" t="s">
        <v>4356</v>
      </c>
      <c r="C841" s="20" t="s">
        <v>4357</v>
      </c>
      <c r="D841" s="21"/>
      <c r="E841" s="22" t="s">
        <v>4359</v>
      </c>
      <c r="H841" s="23" t="s">
        <v>1141</v>
      </c>
      <c r="I841" s="21"/>
      <c r="J841" s="25"/>
      <c r="K841" s="26" t="s">
        <v>44</v>
      </c>
      <c r="L841" s="16"/>
      <c r="M841" s="21"/>
    </row>
    <row r="842">
      <c r="A842" s="28">
        <v>46232.0</v>
      </c>
      <c r="B842" s="16" t="s">
        <v>4365</v>
      </c>
      <c r="C842" s="20" t="s">
        <v>4366</v>
      </c>
      <c r="D842" s="21"/>
      <c r="E842" s="22" t="s">
        <v>4368</v>
      </c>
      <c r="H842" s="23" t="s">
        <v>2867</v>
      </c>
      <c r="I842" s="21"/>
      <c r="J842" s="25"/>
      <c r="K842" s="26" t="s">
        <v>44</v>
      </c>
      <c r="L842" s="16"/>
      <c r="M842" s="21"/>
    </row>
    <row r="843">
      <c r="A843" s="28">
        <v>46232.0</v>
      </c>
      <c r="B843" s="16" t="s">
        <v>4376</v>
      </c>
      <c r="C843" s="20" t="s">
        <v>4377</v>
      </c>
      <c r="D843" s="21"/>
      <c r="E843" s="22" t="s">
        <v>4379</v>
      </c>
      <c r="H843" s="23" t="s">
        <v>4384</v>
      </c>
      <c r="I843" s="21"/>
      <c r="J843" s="25"/>
      <c r="K843" s="26" t="s">
        <v>44</v>
      </c>
      <c r="L843" s="16"/>
      <c r="M843" s="21"/>
    </row>
    <row r="844">
      <c r="A844" s="28">
        <v>46232.0</v>
      </c>
      <c r="B844" s="16" t="s">
        <v>4386</v>
      </c>
      <c r="C844" s="20" t="s">
        <v>4387</v>
      </c>
      <c r="D844" s="21"/>
      <c r="E844" s="22" t="s">
        <v>4388</v>
      </c>
      <c r="H844" s="23" t="s">
        <v>2672</v>
      </c>
      <c r="I844" s="21"/>
      <c r="J844" s="25"/>
      <c r="K844" s="26" t="s">
        <v>44</v>
      </c>
      <c r="L844" s="16"/>
      <c r="M844" s="21"/>
    </row>
    <row r="845">
      <c r="A845" s="28">
        <v>46232.0</v>
      </c>
      <c r="B845" s="16" t="s">
        <v>4396</v>
      </c>
      <c r="C845" s="20" t="s">
        <v>4397</v>
      </c>
      <c r="D845" s="21"/>
      <c r="E845" s="22" t="s">
        <v>4398</v>
      </c>
      <c r="H845" s="23" t="s">
        <v>4400</v>
      </c>
      <c r="I845" s="21"/>
      <c r="J845" s="25"/>
      <c r="K845" s="26" t="s">
        <v>44</v>
      </c>
      <c r="L845" s="16"/>
      <c r="M845" s="21"/>
    </row>
    <row r="846">
      <c r="A846" s="28">
        <v>46232.0</v>
      </c>
      <c r="B846" s="16" t="s">
        <v>4405</v>
      </c>
      <c r="C846" s="20" t="s">
        <v>4406</v>
      </c>
      <c r="D846" s="21"/>
      <c r="E846" s="22" t="s">
        <v>4407</v>
      </c>
      <c r="H846" s="23" t="s">
        <v>111</v>
      </c>
      <c r="I846" s="21"/>
      <c r="J846" s="25"/>
      <c r="K846" s="26" t="s">
        <v>44</v>
      </c>
      <c r="L846" s="16"/>
      <c r="M846" s="21"/>
    </row>
    <row r="847">
      <c r="A847" s="28">
        <v>46232.0</v>
      </c>
      <c r="B847" s="16" t="s">
        <v>4414</v>
      </c>
      <c r="C847" s="20" t="s">
        <v>4415</v>
      </c>
      <c r="D847" s="21"/>
      <c r="E847" s="22" t="s">
        <v>4416</v>
      </c>
      <c r="H847" s="23" t="s">
        <v>4421</v>
      </c>
      <c r="I847" s="21"/>
      <c r="J847" s="25"/>
      <c r="K847" s="26" t="s">
        <v>44</v>
      </c>
      <c r="L847" s="16"/>
      <c r="M847" s="21"/>
    </row>
    <row r="848">
      <c r="A848" s="28">
        <v>46232.0</v>
      </c>
      <c r="B848" s="16" t="s">
        <v>4423</v>
      </c>
      <c r="C848" s="20" t="s">
        <v>4424</v>
      </c>
      <c r="D848" s="21"/>
      <c r="E848" s="22" t="s">
        <v>4426</v>
      </c>
      <c r="H848" s="23" t="s">
        <v>279</v>
      </c>
      <c r="I848" s="21"/>
      <c r="J848" s="25"/>
      <c r="K848" s="26" t="s">
        <v>44</v>
      </c>
      <c r="L848" s="16"/>
      <c r="M848" s="21"/>
    </row>
    <row r="849">
      <c r="A849" s="28">
        <v>46232.0</v>
      </c>
      <c r="B849" s="16" t="s">
        <v>4433</v>
      </c>
      <c r="C849" s="20" t="s">
        <v>4434</v>
      </c>
      <c r="D849" s="21"/>
      <c r="E849" s="22" t="s">
        <v>4435</v>
      </c>
      <c r="H849" s="23" t="s">
        <v>299</v>
      </c>
      <c r="I849" s="21"/>
      <c r="J849" s="25"/>
      <c r="K849" s="26" t="s">
        <v>44</v>
      </c>
      <c r="L849" s="16"/>
      <c r="M849" s="21"/>
    </row>
    <row r="850">
      <c r="A850" s="28">
        <v>46232.0</v>
      </c>
      <c r="B850" s="16" t="s">
        <v>4441</v>
      </c>
      <c r="C850" s="20" t="s">
        <v>4442</v>
      </c>
      <c r="D850" s="21"/>
      <c r="E850" s="22" t="s">
        <v>4443</v>
      </c>
      <c r="H850" s="23" t="s">
        <v>57</v>
      </c>
      <c r="I850" s="21"/>
      <c r="J850" s="25"/>
      <c r="K850" s="26" t="s">
        <v>44</v>
      </c>
      <c r="L850" s="16"/>
      <c r="M850" s="21"/>
    </row>
    <row r="851">
      <c r="A851" s="28">
        <v>46232.0</v>
      </c>
      <c r="B851" s="16" t="s">
        <v>4450</v>
      </c>
      <c r="C851" s="20" t="s">
        <v>4451</v>
      </c>
      <c r="D851" s="21"/>
      <c r="E851" s="22" t="s">
        <v>4453</v>
      </c>
      <c r="H851" s="23" t="s">
        <v>4455</v>
      </c>
      <c r="I851" s="21"/>
      <c r="J851" s="25"/>
      <c r="K851" s="26" t="s">
        <v>44</v>
      </c>
      <c r="L851" s="16"/>
      <c r="M851" s="21"/>
    </row>
    <row r="852">
      <c r="A852" s="28">
        <v>46232.0</v>
      </c>
      <c r="B852" s="16" t="s">
        <v>4460</v>
      </c>
      <c r="C852" s="20" t="s">
        <v>4461</v>
      </c>
      <c r="D852" s="21"/>
      <c r="E852" s="22" t="s">
        <v>4462</v>
      </c>
      <c r="H852" s="23" t="s">
        <v>4467</v>
      </c>
      <c r="I852" s="21"/>
      <c r="J852" s="25"/>
      <c r="K852" s="26" t="s">
        <v>44</v>
      </c>
      <c r="L852" s="16"/>
      <c r="M852" s="21"/>
    </row>
    <row r="853">
      <c r="A853" s="28">
        <v>46232.0</v>
      </c>
      <c r="B853" s="16" t="s">
        <v>4469</v>
      </c>
      <c r="C853" s="20" t="s">
        <v>4470</v>
      </c>
      <c r="D853" s="21"/>
      <c r="E853" s="22" t="s">
        <v>4471</v>
      </c>
      <c r="H853" s="23" t="s">
        <v>48</v>
      </c>
      <c r="I853" s="21"/>
      <c r="J853" s="25"/>
      <c r="K853" s="26" t="s">
        <v>44</v>
      </c>
      <c r="L853" s="16"/>
      <c r="M853" s="21"/>
    </row>
    <row r="854">
      <c r="A854" s="28">
        <v>46232.0</v>
      </c>
      <c r="B854" s="16" t="s">
        <v>4480</v>
      </c>
      <c r="C854" s="20" t="s">
        <v>4482</v>
      </c>
      <c r="D854" s="21"/>
      <c r="E854" s="22" t="s">
        <v>4483</v>
      </c>
      <c r="H854" s="23" t="s">
        <v>1967</v>
      </c>
      <c r="I854" s="21"/>
      <c r="J854" s="25"/>
      <c r="K854" s="26" t="s">
        <v>44</v>
      </c>
      <c r="L854" s="16"/>
      <c r="M854" s="21"/>
    </row>
    <row r="855">
      <c r="A855" s="28">
        <v>46232.0</v>
      </c>
      <c r="B855" s="16" t="s">
        <v>4489</v>
      </c>
      <c r="C855" s="20" t="s">
        <v>4490</v>
      </c>
      <c r="D855" s="21"/>
      <c r="E855" s="22" t="s">
        <v>4491</v>
      </c>
      <c r="H855" s="23" t="s">
        <v>1422</v>
      </c>
      <c r="I855" s="21"/>
      <c r="J855" s="25"/>
      <c r="K855" s="26" t="s">
        <v>44</v>
      </c>
      <c r="L855" s="16"/>
      <c r="M855" s="21"/>
    </row>
    <row r="856">
      <c r="A856" s="28">
        <v>46232.0</v>
      </c>
      <c r="B856" s="16" t="s">
        <v>4498</v>
      </c>
      <c r="C856" s="20" t="s">
        <v>4499</v>
      </c>
      <c r="D856" s="21"/>
      <c r="E856" s="22" t="s">
        <v>4500</v>
      </c>
      <c r="H856" s="23" t="s">
        <v>4506</v>
      </c>
      <c r="I856" s="21"/>
      <c r="J856" s="25"/>
      <c r="K856" s="26" t="s">
        <v>44</v>
      </c>
      <c r="L856" s="16"/>
      <c r="M856" s="21"/>
    </row>
    <row r="857">
      <c r="A857" s="28">
        <v>46232.0</v>
      </c>
      <c r="B857" s="16" t="s">
        <v>4511</v>
      </c>
      <c r="C857" s="20" t="s">
        <v>4512</v>
      </c>
      <c r="D857" s="21"/>
      <c r="E857" s="22" t="s">
        <v>4513</v>
      </c>
      <c r="H857" s="23" t="s">
        <v>1534</v>
      </c>
      <c r="I857" s="21"/>
      <c r="J857" s="25"/>
      <c r="K857" s="26" t="s">
        <v>44</v>
      </c>
      <c r="L857" s="16"/>
      <c r="M857" s="21"/>
    </row>
    <row r="858">
      <c r="A858" s="28">
        <v>46232.0</v>
      </c>
      <c r="B858" s="16" t="s">
        <v>4519</v>
      </c>
      <c r="C858" s="20" t="s">
        <v>4520</v>
      </c>
      <c r="D858" s="21"/>
      <c r="E858" s="22" t="s">
        <v>4521</v>
      </c>
      <c r="H858" s="23" t="s">
        <v>1530</v>
      </c>
      <c r="I858" s="21"/>
      <c r="J858" s="25"/>
      <c r="K858" s="26" t="s">
        <v>44</v>
      </c>
      <c r="L858" s="16"/>
      <c r="M858" s="21"/>
    </row>
    <row r="859">
      <c r="A859" s="28">
        <v>46232.0</v>
      </c>
      <c r="B859" s="16" t="s">
        <v>4529</v>
      </c>
      <c r="C859" s="20" t="s">
        <v>4530</v>
      </c>
      <c r="D859" s="21"/>
      <c r="E859" s="22" t="s">
        <v>4532</v>
      </c>
      <c r="H859" s="23" t="s">
        <v>127</v>
      </c>
      <c r="I859" s="21"/>
      <c r="J859" s="25"/>
      <c r="K859" s="26" t="s">
        <v>44</v>
      </c>
      <c r="L859" s="16"/>
      <c r="M859" s="21"/>
    </row>
    <row r="860">
      <c r="A860" s="28">
        <v>46232.0</v>
      </c>
      <c r="B860" s="16" t="s">
        <v>4538</v>
      </c>
      <c r="C860" s="20" t="s">
        <v>4539</v>
      </c>
      <c r="D860" s="21"/>
      <c r="E860" s="22" t="s">
        <v>4540</v>
      </c>
      <c r="H860" s="23" t="s">
        <v>42</v>
      </c>
      <c r="I860" s="21"/>
      <c r="J860" s="25"/>
      <c r="K860" s="26" t="s">
        <v>44</v>
      </c>
      <c r="L860" s="16"/>
      <c r="M860" s="21"/>
    </row>
    <row r="861">
      <c r="A861" s="28">
        <v>46232.0</v>
      </c>
      <c r="B861" s="16" t="s">
        <v>4543</v>
      </c>
      <c r="C861" s="20" t="s">
        <v>4544</v>
      </c>
      <c r="D861" s="21"/>
      <c r="E861" s="22" t="s">
        <v>4546</v>
      </c>
      <c r="H861" s="23" t="s">
        <v>1020</v>
      </c>
      <c r="I861" s="21"/>
      <c r="J861" s="25"/>
      <c r="K861" s="26" t="s">
        <v>44</v>
      </c>
      <c r="L861" s="16"/>
      <c r="M861" s="21"/>
    </row>
    <row r="862">
      <c r="A862" s="28">
        <v>46232.0</v>
      </c>
      <c r="B862" s="16" t="s">
        <v>4551</v>
      </c>
      <c r="C862" s="20" t="s">
        <v>4552</v>
      </c>
      <c r="D862" s="21"/>
      <c r="E862" s="22" t="s">
        <v>4553</v>
      </c>
      <c r="H862" s="23" t="s">
        <v>1534</v>
      </c>
      <c r="I862" s="21"/>
      <c r="J862" s="25"/>
      <c r="K862" s="26" t="s">
        <v>44</v>
      </c>
      <c r="L862" s="16"/>
      <c r="M862" s="21"/>
    </row>
    <row r="863">
      <c r="A863" s="28">
        <v>46232.0</v>
      </c>
      <c r="B863" s="16" t="s">
        <v>4557</v>
      </c>
      <c r="C863" s="20" t="s">
        <v>4558</v>
      </c>
      <c r="D863" s="21"/>
      <c r="E863" s="22" t="s">
        <v>4559</v>
      </c>
      <c r="H863" s="23" t="s">
        <v>1024</v>
      </c>
      <c r="I863" s="21"/>
      <c r="J863" s="25"/>
      <c r="K863" s="26" t="s">
        <v>44</v>
      </c>
      <c r="L863" s="16"/>
      <c r="M863" s="21"/>
    </row>
    <row r="864">
      <c r="A864" s="28">
        <v>46232.0</v>
      </c>
      <c r="B864" s="16" t="s">
        <v>4568</v>
      </c>
      <c r="C864" s="20" t="s">
        <v>4569</v>
      </c>
      <c r="D864" s="21"/>
      <c r="E864" s="22" t="s">
        <v>4570</v>
      </c>
      <c r="H864" s="23" t="s">
        <v>4575</v>
      </c>
      <c r="I864" s="21"/>
      <c r="J864" s="25"/>
      <c r="K864" s="26" t="s">
        <v>44</v>
      </c>
      <c r="L864" s="16"/>
      <c r="M864" s="21"/>
    </row>
    <row r="865">
      <c r="A865" s="28">
        <v>46232.0</v>
      </c>
      <c r="B865" s="16" t="s">
        <v>4576</v>
      </c>
      <c r="C865" s="20" t="s">
        <v>4577</v>
      </c>
      <c r="D865" s="21"/>
      <c r="E865" s="22" t="s">
        <v>4579</v>
      </c>
      <c r="H865" s="23" t="s">
        <v>4581</v>
      </c>
      <c r="I865" s="21"/>
      <c r="J865" s="25"/>
      <c r="K865" s="26" t="s">
        <v>44</v>
      </c>
      <c r="L865" s="16"/>
      <c r="M865" s="21"/>
    </row>
    <row r="866">
      <c r="A866" s="28">
        <v>46232.0</v>
      </c>
      <c r="B866" s="16" t="s">
        <v>4584</v>
      </c>
      <c r="C866" s="20" t="s">
        <v>4586</v>
      </c>
      <c r="D866" s="21"/>
      <c r="E866" s="22" t="s">
        <v>4587</v>
      </c>
      <c r="H866" s="23" t="s">
        <v>47</v>
      </c>
      <c r="I866" s="21"/>
      <c r="J866" s="25"/>
      <c r="K866" s="26" t="s">
        <v>44</v>
      </c>
      <c r="L866" s="16"/>
      <c r="M866" s="21"/>
    </row>
    <row r="867">
      <c r="A867" s="28">
        <v>46232.0</v>
      </c>
      <c r="B867" s="16" t="s">
        <v>4593</v>
      </c>
      <c r="C867" s="20" t="s">
        <v>4595</v>
      </c>
      <c r="D867" s="21"/>
      <c r="E867" s="22" t="s">
        <v>4597</v>
      </c>
      <c r="H867" s="23" t="s">
        <v>2740</v>
      </c>
      <c r="I867" s="21"/>
      <c r="J867" s="25"/>
      <c r="K867" s="26" t="s">
        <v>44</v>
      </c>
      <c r="L867" s="16"/>
      <c r="M867" s="21"/>
    </row>
    <row r="868">
      <c r="A868" s="28">
        <v>46232.0</v>
      </c>
      <c r="B868" s="16" t="s">
        <v>4601</v>
      </c>
      <c r="C868" s="20" t="s">
        <v>4602</v>
      </c>
      <c r="D868" s="21"/>
      <c r="E868" s="22" t="s">
        <v>4603</v>
      </c>
      <c r="H868" s="23" t="s">
        <v>370</v>
      </c>
      <c r="I868" s="21"/>
      <c r="J868" s="25"/>
      <c r="K868" s="26" t="s">
        <v>44</v>
      </c>
      <c r="L868" s="16"/>
      <c r="M868" s="21"/>
    </row>
    <row r="869">
      <c r="A869" s="28">
        <v>46232.0</v>
      </c>
      <c r="B869" s="16" t="s">
        <v>4607</v>
      </c>
      <c r="C869" s="20" t="s">
        <v>4609</v>
      </c>
      <c r="D869" s="21"/>
      <c r="E869" s="22" t="s">
        <v>4610</v>
      </c>
      <c r="H869" s="23" t="s">
        <v>4611</v>
      </c>
      <c r="I869" s="21"/>
      <c r="J869" s="25"/>
      <c r="K869" s="26" t="s">
        <v>44</v>
      </c>
      <c r="L869" s="16"/>
      <c r="M869" s="21"/>
    </row>
    <row r="870">
      <c r="A870" s="28">
        <v>46232.0</v>
      </c>
      <c r="B870" s="16" t="s">
        <v>4616</v>
      </c>
      <c r="C870" s="20" t="s">
        <v>4617</v>
      </c>
      <c r="D870" s="21"/>
      <c r="E870" s="22" t="s">
        <v>4618</v>
      </c>
      <c r="H870" s="23" t="s">
        <v>404</v>
      </c>
      <c r="I870" s="21"/>
      <c r="J870" s="25"/>
      <c r="K870" s="26" t="s">
        <v>44</v>
      </c>
      <c r="L870" s="16"/>
      <c r="M870" s="21"/>
    </row>
    <row r="871">
      <c r="A871" s="28">
        <v>46232.0</v>
      </c>
      <c r="B871" s="16" t="s">
        <v>4625</v>
      </c>
      <c r="C871" s="20" t="s">
        <v>4626</v>
      </c>
      <c r="D871" s="21"/>
      <c r="E871" s="22" t="s">
        <v>4627</v>
      </c>
      <c r="H871" s="23" t="s">
        <v>1137</v>
      </c>
      <c r="I871" s="21"/>
      <c r="J871" s="25"/>
      <c r="K871" s="26" t="s">
        <v>44</v>
      </c>
      <c r="L871" s="16"/>
      <c r="M871" s="21"/>
    </row>
    <row r="872">
      <c r="A872" s="28">
        <v>46232.0</v>
      </c>
      <c r="B872" s="16" t="s">
        <v>4633</v>
      </c>
      <c r="C872" s="20" t="s">
        <v>4634</v>
      </c>
      <c r="D872" s="21"/>
      <c r="E872" s="22" t="s">
        <v>4636</v>
      </c>
      <c r="H872" s="23" t="s">
        <v>487</v>
      </c>
      <c r="I872" s="21"/>
      <c r="J872" s="25"/>
      <c r="K872" s="26" t="s">
        <v>44</v>
      </c>
      <c r="L872" s="16"/>
      <c r="M872" s="21"/>
    </row>
    <row r="873">
      <c r="A873" s="28">
        <v>46232.0</v>
      </c>
      <c r="B873" s="16" t="s">
        <v>4643</v>
      </c>
      <c r="C873" s="20" t="s">
        <v>4644</v>
      </c>
      <c r="D873" s="21"/>
      <c r="E873" s="22" t="s">
        <v>4645</v>
      </c>
      <c r="H873" s="23" t="s">
        <v>48</v>
      </c>
      <c r="I873" s="21"/>
      <c r="J873" s="25"/>
      <c r="K873" s="26" t="s">
        <v>44</v>
      </c>
      <c r="L873" s="16"/>
      <c r="M873" s="21"/>
    </row>
    <row r="874">
      <c r="A874" s="28">
        <v>46232.0</v>
      </c>
      <c r="B874" s="16" t="s">
        <v>4646</v>
      </c>
      <c r="C874" s="20" t="s">
        <v>4647</v>
      </c>
      <c r="D874" s="21"/>
      <c r="E874" s="22" t="s">
        <v>4648</v>
      </c>
      <c r="H874" s="23" t="s">
        <v>614</v>
      </c>
      <c r="I874" s="21"/>
      <c r="J874" s="25"/>
      <c r="K874" s="26" t="s">
        <v>44</v>
      </c>
      <c r="L874" s="16"/>
      <c r="M874" s="21"/>
    </row>
    <row r="875">
      <c r="A875" s="28">
        <v>46232.0</v>
      </c>
      <c r="B875" s="16" t="s">
        <v>4649</v>
      </c>
      <c r="C875" s="20" t="s">
        <v>4650</v>
      </c>
      <c r="D875" s="21"/>
      <c r="E875" s="22" t="s">
        <v>4651</v>
      </c>
      <c r="H875" s="23" t="s">
        <v>127</v>
      </c>
      <c r="I875" s="21"/>
      <c r="J875" s="25"/>
      <c r="K875" s="26" t="s">
        <v>44</v>
      </c>
      <c r="L875" s="16"/>
      <c r="M875" s="21"/>
    </row>
    <row r="876">
      <c r="A876" s="28">
        <v>46232.0</v>
      </c>
      <c r="B876" s="16" t="s">
        <v>4652</v>
      </c>
      <c r="C876" s="20" t="s">
        <v>4653</v>
      </c>
      <c r="D876" s="21"/>
      <c r="E876" s="22" t="s">
        <v>4654</v>
      </c>
      <c r="H876" s="23" t="s">
        <v>4655</v>
      </c>
      <c r="I876" s="21"/>
      <c r="J876" s="25"/>
      <c r="K876" s="26" t="s">
        <v>44</v>
      </c>
      <c r="L876" s="16"/>
      <c r="M876" s="21"/>
    </row>
    <row r="877">
      <c r="A877" s="28">
        <v>46232.0</v>
      </c>
      <c r="B877" s="16" t="s">
        <v>4656</v>
      </c>
      <c r="C877" s="20" t="s">
        <v>4657</v>
      </c>
      <c r="D877" s="21"/>
      <c r="E877" s="22" t="s">
        <v>4658</v>
      </c>
      <c r="H877" s="23" t="s">
        <v>1819</v>
      </c>
      <c r="I877" s="21"/>
      <c r="J877" s="25"/>
      <c r="K877" s="26" t="s">
        <v>44</v>
      </c>
      <c r="L877" s="16"/>
      <c r="M877" s="21"/>
    </row>
    <row r="878">
      <c r="A878" s="28">
        <v>46232.0</v>
      </c>
      <c r="B878" s="16" t="s">
        <v>4659</v>
      </c>
      <c r="C878" s="20" t="s">
        <v>4660</v>
      </c>
      <c r="D878" s="21"/>
      <c r="E878" s="22" t="s">
        <v>4661</v>
      </c>
      <c r="H878" s="23" t="s">
        <v>4662</v>
      </c>
      <c r="I878" s="21"/>
      <c r="J878" s="25"/>
      <c r="K878" s="26" t="s">
        <v>44</v>
      </c>
      <c r="L878" s="16"/>
      <c r="M878" s="21"/>
    </row>
    <row r="879">
      <c r="A879" s="28">
        <v>46232.0</v>
      </c>
      <c r="B879" s="16" t="s">
        <v>4663</v>
      </c>
      <c r="C879" s="20" t="s">
        <v>4664</v>
      </c>
      <c r="D879" s="21"/>
      <c r="E879" s="22" t="s">
        <v>4665</v>
      </c>
      <c r="H879" s="23" t="s">
        <v>4666</v>
      </c>
      <c r="I879" s="21"/>
      <c r="J879" s="25"/>
      <c r="K879" s="26" t="s">
        <v>44</v>
      </c>
      <c r="L879" s="16"/>
      <c r="M879" s="21"/>
    </row>
    <row r="880">
      <c r="A880" s="28">
        <v>46232.0</v>
      </c>
      <c r="B880" s="16" t="s">
        <v>4667</v>
      </c>
      <c r="C880" s="20" t="s">
        <v>4668</v>
      </c>
      <c r="D880" s="21"/>
      <c r="E880" s="22" t="s">
        <v>4669</v>
      </c>
      <c r="H880" s="23" t="s">
        <v>2007</v>
      </c>
      <c r="I880" s="21"/>
      <c r="J880" s="25"/>
      <c r="K880" s="26" t="s">
        <v>44</v>
      </c>
      <c r="L880" s="16"/>
      <c r="M880" s="21"/>
    </row>
    <row r="881">
      <c r="A881" s="28">
        <v>46232.0</v>
      </c>
      <c r="B881" s="16" t="s">
        <v>4670</v>
      </c>
      <c r="C881" s="20" t="s">
        <v>4671</v>
      </c>
      <c r="D881" s="21"/>
      <c r="E881" s="22" t="s">
        <v>4672</v>
      </c>
      <c r="H881" s="23" t="s">
        <v>57</v>
      </c>
      <c r="I881" s="21"/>
      <c r="J881" s="25"/>
      <c r="K881" s="26" t="s">
        <v>44</v>
      </c>
      <c r="L881" s="16"/>
      <c r="M881" s="21"/>
    </row>
    <row r="882">
      <c r="A882" s="28">
        <v>46232.0</v>
      </c>
      <c r="B882" s="16" t="s">
        <v>4673</v>
      </c>
      <c r="C882" s="20" t="s">
        <v>4674</v>
      </c>
      <c r="D882" s="21"/>
      <c r="E882" s="22" t="s">
        <v>4675</v>
      </c>
      <c r="H882" s="23" t="s">
        <v>4676</v>
      </c>
      <c r="I882" s="21"/>
      <c r="J882" s="25"/>
      <c r="K882" s="26" t="s">
        <v>44</v>
      </c>
      <c r="L882" s="16"/>
      <c r="M882" s="21"/>
    </row>
    <row r="883">
      <c r="A883" s="28">
        <v>46232.0</v>
      </c>
      <c r="B883" s="16" t="s">
        <v>4677</v>
      </c>
      <c r="C883" s="20" t="s">
        <v>4678</v>
      </c>
      <c r="D883" s="21"/>
      <c r="E883" s="22" t="s">
        <v>4679</v>
      </c>
      <c r="H883" s="23" t="s">
        <v>4681</v>
      </c>
      <c r="I883" s="21"/>
      <c r="J883" s="25"/>
      <c r="K883" s="26" t="s">
        <v>44</v>
      </c>
      <c r="L883" s="16"/>
      <c r="M883" s="21"/>
    </row>
    <row r="884">
      <c r="A884" s="28">
        <v>46232.0</v>
      </c>
      <c r="B884" s="16" t="s">
        <v>4682</v>
      </c>
      <c r="C884" s="20" t="s">
        <v>4684</v>
      </c>
      <c r="D884" s="21"/>
      <c r="E884" s="22" t="s">
        <v>4685</v>
      </c>
      <c r="H884" s="23" t="s">
        <v>4687</v>
      </c>
      <c r="I884" s="21"/>
      <c r="J884" s="25"/>
      <c r="K884" s="26" t="s">
        <v>44</v>
      </c>
      <c r="L884" s="16"/>
      <c r="M884" s="21"/>
    </row>
    <row r="885">
      <c r="A885" s="28">
        <v>46232.0</v>
      </c>
      <c r="B885" s="16" t="s">
        <v>4689</v>
      </c>
      <c r="C885" s="20" t="s">
        <v>4690</v>
      </c>
      <c r="D885" s="21"/>
      <c r="E885" s="22" t="s">
        <v>4691</v>
      </c>
      <c r="H885" s="23" t="s">
        <v>65</v>
      </c>
      <c r="I885" s="21"/>
      <c r="J885" s="25"/>
      <c r="K885" s="26" t="s">
        <v>44</v>
      </c>
      <c r="L885" s="16"/>
      <c r="M885" s="21"/>
    </row>
    <row r="886">
      <c r="A886" s="28">
        <v>46232.0</v>
      </c>
      <c r="B886" s="16" t="s">
        <v>4695</v>
      </c>
      <c r="C886" s="20" t="s">
        <v>4696</v>
      </c>
      <c r="D886" s="21"/>
      <c r="E886" s="22" t="s">
        <v>4697</v>
      </c>
      <c r="H886" s="23" t="s">
        <v>832</v>
      </c>
      <c r="I886" s="21"/>
      <c r="J886" s="25"/>
      <c r="K886" s="26" t="s">
        <v>44</v>
      </c>
      <c r="L886" s="16"/>
      <c r="M886" s="21"/>
    </row>
    <row r="887">
      <c r="A887" s="28">
        <v>46232.0</v>
      </c>
      <c r="B887" s="16" t="s">
        <v>4701</v>
      </c>
      <c r="C887" s="20" t="s">
        <v>4702</v>
      </c>
      <c r="D887" s="21"/>
      <c r="E887" s="22" t="s">
        <v>4704</v>
      </c>
      <c r="H887" s="23" t="s">
        <v>4706</v>
      </c>
      <c r="I887" s="21"/>
      <c r="J887" s="25"/>
      <c r="K887" s="26" t="s">
        <v>44</v>
      </c>
      <c r="L887" s="16"/>
      <c r="M887" s="21"/>
    </row>
    <row r="888">
      <c r="A888" s="28">
        <v>46232.0</v>
      </c>
      <c r="B888" s="16" t="s">
        <v>4708</v>
      </c>
      <c r="C888" s="20" t="s">
        <v>4709</v>
      </c>
      <c r="D888" s="21"/>
      <c r="E888" s="22" t="s">
        <v>4710</v>
      </c>
      <c r="H888" s="23" t="s">
        <v>4711</v>
      </c>
      <c r="I888" s="21"/>
      <c r="J888" s="25"/>
      <c r="K888" s="26" t="s">
        <v>44</v>
      </c>
      <c r="L888" s="16"/>
      <c r="M888" s="21"/>
    </row>
    <row r="889">
      <c r="A889" s="28">
        <v>46232.0</v>
      </c>
      <c r="B889" s="16" t="s">
        <v>4712</v>
      </c>
      <c r="C889" s="20" t="s">
        <v>4713</v>
      </c>
      <c r="D889" s="21"/>
      <c r="E889" s="22" t="s">
        <v>4714</v>
      </c>
      <c r="H889" s="23" t="s">
        <v>487</v>
      </c>
      <c r="I889" s="21"/>
      <c r="J889" s="25"/>
      <c r="K889" s="26" t="s">
        <v>44</v>
      </c>
      <c r="L889" s="16"/>
      <c r="M889" s="21"/>
    </row>
    <row r="890">
      <c r="A890" s="28">
        <v>46232.0</v>
      </c>
      <c r="B890" s="16" t="s">
        <v>4715</v>
      </c>
      <c r="C890" s="20" t="s">
        <v>4716</v>
      </c>
      <c r="D890" s="21"/>
      <c r="E890" s="22" t="s">
        <v>4717</v>
      </c>
      <c r="H890" s="23" t="s">
        <v>4718</v>
      </c>
      <c r="I890" s="21"/>
      <c r="J890" s="25"/>
      <c r="K890" s="26" t="s">
        <v>44</v>
      </c>
      <c r="L890" s="16"/>
      <c r="M890" s="21"/>
    </row>
    <row r="891">
      <c r="A891" s="28">
        <v>46232.0</v>
      </c>
      <c r="B891" s="16" t="s">
        <v>4719</v>
      </c>
      <c r="C891" s="20" t="s">
        <v>4720</v>
      </c>
      <c r="D891" s="21"/>
      <c r="E891" s="22" t="s">
        <v>4721</v>
      </c>
      <c r="H891" s="23" t="s">
        <v>4722</v>
      </c>
      <c r="I891" s="21"/>
      <c r="J891" s="25"/>
      <c r="K891" s="26" t="s">
        <v>44</v>
      </c>
      <c r="L891" s="16"/>
      <c r="M891" s="21"/>
    </row>
    <row r="892">
      <c r="A892" s="28">
        <v>46232.0</v>
      </c>
      <c r="B892" s="16" t="s">
        <v>4723</v>
      </c>
      <c r="C892" s="20" t="s">
        <v>4724</v>
      </c>
      <c r="D892" s="21"/>
      <c r="E892" s="22" t="s">
        <v>4725</v>
      </c>
      <c r="H892" s="23" t="s">
        <v>1016</v>
      </c>
      <c r="I892" s="21"/>
      <c r="J892" s="25"/>
      <c r="K892" s="26" t="s">
        <v>44</v>
      </c>
      <c r="L892" s="16"/>
      <c r="M892" s="21"/>
    </row>
    <row r="893">
      <c r="A893" s="28">
        <v>46232.0</v>
      </c>
      <c r="B893" s="16" t="s">
        <v>4726</v>
      </c>
      <c r="C893" s="20" t="s">
        <v>4727</v>
      </c>
      <c r="D893" s="21"/>
      <c r="E893" s="22" t="s">
        <v>4728</v>
      </c>
      <c r="H893" s="23" t="s">
        <v>4729</v>
      </c>
      <c r="I893" s="21"/>
      <c r="J893" s="25"/>
      <c r="K893" s="26" t="s">
        <v>44</v>
      </c>
      <c r="L893" s="16"/>
      <c r="M893" s="21"/>
    </row>
    <row r="894">
      <c r="A894" s="28">
        <v>46232.0</v>
      </c>
      <c r="B894" s="16" t="s">
        <v>4730</v>
      </c>
      <c r="C894" s="20" t="s">
        <v>4731</v>
      </c>
      <c r="D894" s="21"/>
      <c r="E894" s="22" t="s">
        <v>4732</v>
      </c>
      <c r="H894" s="23" t="s">
        <v>4733</v>
      </c>
      <c r="I894" s="21"/>
      <c r="J894" s="25"/>
      <c r="K894" s="26" t="s">
        <v>44</v>
      </c>
      <c r="L894" s="16"/>
      <c r="M894" s="21"/>
    </row>
    <row r="895">
      <c r="A895" s="28">
        <v>46232.0</v>
      </c>
      <c r="B895" s="16" t="s">
        <v>4734</v>
      </c>
      <c r="C895" s="20" t="s">
        <v>4735</v>
      </c>
      <c r="D895" s="21"/>
      <c r="E895" s="22" t="s">
        <v>4736</v>
      </c>
      <c r="H895" s="23" t="s">
        <v>4737</v>
      </c>
      <c r="I895" s="21"/>
      <c r="J895" s="25"/>
      <c r="K895" s="26" t="s">
        <v>44</v>
      </c>
      <c r="L895" s="16"/>
      <c r="M895" s="21"/>
    </row>
    <row r="896">
      <c r="A896" s="28">
        <v>46232.0</v>
      </c>
      <c r="B896" s="16" t="s">
        <v>4738</v>
      </c>
      <c r="C896" s="20" t="s">
        <v>4739</v>
      </c>
      <c r="D896" s="21"/>
      <c r="E896" s="22" t="s">
        <v>4740</v>
      </c>
      <c r="H896" s="23" t="s">
        <v>3595</v>
      </c>
      <c r="I896" s="21"/>
      <c r="J896" s="25"/>
      <c r="K896" s="26" t="s">
        <v>44</v>
      </c>
      <c r="L896" s="16"/>
      <c r="M896" s="21"/>
    </row>
    <row r="897">
      <c r="A897" s="28">
        <v>46232.0</v>
      </c>
      <c r="B897" s="16" t="s">
        <v>4741</v>
      </c>
      <c r="C897" s="20" t="s">
        <v>4742</v>
      </c>
      <c r="D897" s="21"/>
      <c r="E897" s="22" t="s">
        <v>4743</v>
      </c>
      <c r="H897" s="23" t="s">
        <v>4744</v>
      </c>
      <c r="I897" s="21"/>
      <c r="J897" s="25"/>
      <c r="K897" s="26" t="s">
        <v>44</v>
      </c>
      <c r="L897" s="16"/>
      <c r="M897" s="21"/>
    </row>
    <row r="898">
      <c r="A898" s="28">
        <v>46232.0</v>
      </c>
      <c r="B898" s="16" t="s">
        <v>4745</v>
      </c>
      <c r="C898" s="20" t="s">
        <v>4746</v>
      </c>
      <c r="D898" s="21"/>
      <c r="E898" s="22" t="s">
        <v>4747</v>
      </c>
      <c r="H898" s="23" t="s">
        <v>1738</v>
      </c>
      <c r="I898" s="21"/>
      <c r="J898" s="25"/>
      <c r="K898" s="26" t="s">
        <v>44</v>
      </c>
      <c r="L898" s="16"/>
      <c r="M898" s="21"/>
    </row>
    <row r="899">
      <c r="A899" s="28">
        <v>46232.0</v>
      </c>
      <c r="B899" s="16" t="s">
        <v>4748</v>
      </c>
      <c r="C899" s="20" t="s">
        <v>4749</v>
      </c>
      <c r="D899" s="21"/>
      <c r="E899" s="22" t="s">
        <v>4750</v>
      </c>
      <c r="H899" s="23" t="s">
        <v>1619</v>
      </c>
      <c r="I899" s="21"/>
      <c r="J899" s="25"/>
      <c r="K899" s="26" t="s">
        <v>44</v>
      </c>
      <c r="L899" s="16"/>
      <c r="M899" s="21"/>
    </row>
    <row r="900">
      <c r="A900" s="28">
        <v>46232.0</v>
      </c>
      <c r="B900" s="16" t="s">
        <v>4751</v>
      </c>
      <c r="C900" s="46" t="s">
        <v>4752</v>
      </c>
      <c r="D900" s="21"/>
      <c r="E900" s="22" t="s">
        <v>4753</v>
      </c>
      <c r="H900" s="23" t="s">
        <v>4759</v>
      </c>
      <c r="I900" s="21"/>
      <c r="J900" s="25"/>
      <c r="K900" s="26" t="s">
        <v>44</v>
      </c>
      <c r="L900" s="16"/>
      <c r="M900" s="21"/>
    </row>
    <row r="901">
      <c r="A901" s="28">
        <v>46232.0</v>
      </c>
      <c r="B901" s="16" t="s">
        <v>4762</v>
      </c>
      <c r="C901" s="20" t="s">
        <v>4763</v>
      </c>
      <c r="D901" s="21"/>
      <c r="E901" s="22" t="s">
        <v>4765</v>
      </c>
      <c r="H901" s="23" t="s">
        <v>4768</v>
      </c>
      <c r="I901" s="21"/>
      <c r="J901" s="25"/>
      <c r="K901" s="26" t="s">
        <v>44</v>
      </c>
      <c r="L901" s="16"/>
      <c r="M901" s="21"/>
    </row>
    <row r="902">
      <c r="A902" s="28">
        <v>46232.0</v>
      </c>
      <c r="B902" s="16" t="s">
        <v>4773</v>
      </c>
      <c r="C902" s="20" t="s">
        <v>4774</v>
      </c>
      <c r="D902" s="21"/>
      <c r="E902" s="22" t="s">
        <v>4775</v>
      </c>
      <c r="H902" s="23" t="s">
        <v>1016</v>
      </c>
      <c r="I902" s="21"/>
      <c r="J902" s="25"/>
      <c r="K902" s="26" t="s">
        <v>44</v>
      </c>
      <c r="L902" s="16"/>
      <c r="M902" s="21"/>
    </row>
    <row r="903">
      <c r="A903" s="28">
        <v>46232.0</v>
      </c>
      <c r="B903" s="16" t="s">
        <v>4787</v>
      </c>
      <c r="C903" s="20" t="s">
        <v>4788</v>
      </c>
      <c r="D903" s="21"/>
      <c r="E903" s="22" t="s">
        <v>4790</v>
      </c>
      <c r="H903" s="23" t="s">
        <v>48</v>
      </c>
      <c r="I903" s="21"/>
      <c r="J903" s="25"/>
      <c r="K903" s="26" t="s">
        <v>44</v>
      </c>
      <c r="L903" s="16"/>
      <c r="M903" s="21"/>
    </row>
    <row r="904">
      <c r="A904" s="28">
        <v>46232.0</v>
      </c>
      <c r="B904" s="16" t="s">
        <v>4795</v>
      </c>
      <c r="C904" s="20" t="s">
        <v>4796</v>
      </c>
      <c r="D904" s="21"/>
      <c r="E904" s="22" t="s">
        <v>4797</v>
      </c>
      <c r="H904" s="23" t="s">
        <v>4798</v>
      </c>
      <c r="I904" s="21"/>
      <c r="J904" s="25"/>
      <c r="K904" s="26" t="s">
        <v>44</v>
      </c>
      <c r="L904" s="16"/>
      <c r="M904" s="21"/>
    </row>
    <row r="905">
      <c r="A905" s="28">
        <v>46232.0</v>
      </c>
      <c r="B905" s="16" t="s">
        <v>4799</v>
      </c>
      <c r="C905" s="20" t="s">
        <v>4800</v>
      </c>
      <c r="D905" s="21"/>
      <c r="E905" s="22" t="s">
        <v>4801</v>
      </c>
      <c r="H905" s="23" t="s">
        <v>127</v>
      </c>
      <c r="I905" s="21"/>
      <c r="J905" s="25"/>
      <c r="K905" s="26" t="s">
        <v>44</v>
      </c>
      <c r="L905" s="16"/>
      <c r="M905" s="21"/>
    </row>
    <row r="906">
      <c r="A906" s="28">
        <v>46232.0</v>
      </c>
      <c r="B906" s="16" t="s">
        <v>4802</v>
      </c>
      <c r="C906" s="20" t="s">
        <v>4803</v>
      </c>
      <c r="D906" s="21"/>
      <c r="E906" s="22" t="s">
        <v>4804</v>
      </c>
      <c r="H906" s="23" t="s">
        <v>614</v>
      </c>
      <c r="I906" s="21"/>
      <c r="J906" s="25"/>
      <c r="K906" s="26" t="s">
        <v>44</v>
      </c>
      <c r="L906" s="16"/>
      <c r="M906" s="21"/>
    </row>
    <row r="907">
      <c r="A907" s="28">
        <v>46232.0</v>
      </c>
      <c r="B907" s="16" t="s">
        <v>4805</v>
      </c>
      <c r="C907" s="20" t="s">
        <v>4806</v>
      </c>
      <c r="D907" s="21"/>
      <c r="E907" s="22" t="s">
        <v>4807</v>
      </c>
      <c r="H907" s="23" t="s">
        <v>4808</v>
      </c>
      <c r="I907" s="21"/>
      <c r="J907" s="25"/>
      <c r="K907" s="26" t="s">
        <v>44</v>
      </c>
      <c r="L907" s="16"/>
      <c r="M907" s="21"/>
    </row>
    <row r="908">
      <c r="A908" s="28">
        <v>46232.0</v>
      </c>
      <c r="B908" s="16" t="s">
        <v>4809</v>
      </c>
      <c r="C908" s="20" t="s">
        <v>4810</v>
      </c>
      <c r="D908" s="21"/>
      <c r="E908" s="22" t="s">
        <v>4811</v>
      </c>
      <c r="H908" s="23" t="s">
        <v>4812</v>
      </c>
      <c r="I908" s="21"/>
      <c r="J908" s="25"/>
      <c r="K908" s="26" t="s">
        <v>44</v>
      </c>
      <c r="L908" s="16"/>
      <c r="M908" s="21"/>
    </row>
    <row r="909">
      <c r="A909" s="28">
        <v>46232.0</v>
      </c>
      <c r="B909" s="16" t="s">
        <v>4813</v>
      </c>
      <c r="C909" s="20" t="s">
        <v>4814</v>
      </c>
      <c r="D909" s="21"/>
      <c r="E909" s="22" t="s">
        <v>4815</v>
      </c>
      <c r="H909" s="23" t="s">
        <v>57</v>
      </c>
      <c r="I909" s="21"/>
      <c r="J909" s="25"/>
      <c r="K909" s="26" t="s">
        <v>44</v>
      </c>
      <c r="L909" s="16"/>
      <c r="M909" s="21"/>
    </row>
    <row r="910">
      <c r="A910" s="28">
        <v>46232.0</v>
      </c>
      <c r="B910" s="16" t="s">
        <v>4816</v>
      </c>
      <c r="C910" s="20" t="s">
        <v>4817</v>
      </c>
      <c r="D910" s="21"/>
      <c r="E910" s="22" t="s">
        <v>4818</v>
      </c>
      <c r="H910" s="23" t="s">
        <v>1331</v>
      </c>
      <c r="I910" s="21"/>
      <c r="J910" s="25"/>
      <c r="K910" s="26" t="s">
        <v>44</v>
      </c>
      <c r="L910" s="16"/>
      <c r="M910" s="21"/>
    </row>
    <row r="911">
      <c r="A911" s="28">
        <v>46232.0</v>
      </c>
      <c r="B911" s="16" t="s">
        <v>4819</v>
      </c>
      <c r="C911" s="20" t="s">
        <v>4820</v>
      </c>
      <c r="D911" s="21"/>
      <c r="E911" s="22" t="s">
        <v>4821</v>
      </c>
      <c r="H911" s="23" t="s">
        <v>4822</v>
      </c>
      <c r="I911" s="21"/>
      <c r="J911" s="25"/>
      <c r="K911" s="26" t="s">
        <v>44</v>
      </c>
      <c r="L911" s="16"/>
      <c r="M911" s="21"/>
    </row>
    <row r="912">
      <c r="A912" s="28">
        <v>46232.0</v>
      </c>
      <c r="B912" s="16" t="s">
        <v>4823</v>
      </c>
      <c r="C912" s="20" t="s">
        <v>4824</v>
      </c>
      <c r="D912" s="21"/>
      <c r="E912" s="22" t="s">
        <v>4825</v>
      </c>
      <c r="H912" s="23" t="s">
        <v>4826</v>
      </c>
      <c r="I912" s="21"/>
      <c r="J912" s="25"/>
      <c r="K912" s="26" t="s">
        <v>44</v>
      </c>
      <c r="L912" s="16"/>
      <c r="M912" s="21"/>
    </row>
    <row r="913">
      <c r="A913" s="28">
        <v>46232.0</v>
      </c>
      <c r="B913" s="16" t="s">
        <v>4827</v>
      </c>
      <c r="C913" s="20" t="s">
        <v>4828</v>
      </c>
      <c r="D913" s="21"/>
      <c r="E913" s="22" t="s">
        <v>4829</v>
      </c>
      <c r="H913" s="23" t="s">
        <v>1016</v>
      </c>
      <c r="I913" s="21"/>
      <c r="J913" s="25"/>
      <c r="K913" s="26" t="s">
        <v>44</v>
      </c>
      <c r="L913" s="16"/>
      <c r="M913" s="21"/>
    </row>
    <row r="914">
      <c r="A914" s="28">
        <v>46232.0</v>
      </c>
      <c r="B914" s="16" t="s">
        <v>4830</v>
      </c>
      <c r="C914" s="20" t="s">
        <v>4831</v>
      </c>
      <c r="D914" s="21"/>
      <c r="E914" s="22" t="s">
        <v>4832</v>
      </c>
      <c r="H914" s="23" t="s">
        <v>1422</v>
      </c>
      <c r="I914" s="21"/>
      <c r="J914" s="25"/>
      <c r="K914" s="26" t="s">
        <v>44</v>
      </c>
      <c r="L914" s="16"/>
      <c r="M914" s="21"/>
    </row>
    <row r="915">
      <c r="A915" s="28">
        <v>46232.0</v>
      </c>
      <c r="B915" s="16" t="s">
        <v>4833</v>
      </c>
      <c r="C915" s="20" t="s">
        <v>4834</v>
      </c>
      <c r="D915" s="21"/>
      <c r="E915" s="22" t="s">
        <v>4835</v>
      </c>
      <c r="H915" s="23" t="s">
        <v>2113</v>
      </c>
      <c r="I915" s="21"/>
      <c r="J915" s="25"/>
      <c r="K915" s="26" t="s">
        <v>44</v>
      </c>
      <c r="L915" s="16"/>
      <c r="M915" s="21"/>
    </row>
    <row r="916">
      <c r="A916" s="28">
        <v>46232.0</v>
      </c>
      <c r="B916" s="16" t="s">
        <v>4836</v>
      </c>
      <c r="C916" s="20" t="s">
        <v>4837</v>
      </c>
      <c r="D916" s="21"/>
      <c r="E916" s="22" t="s">
        <v>4838</v>
      </c>
      <c r="H916" s="23" t="s">
        <v>4722</v>
      </c>
      <c r="I916" s="21"/>
      <c r="J916" s="25"/>
      <c r="K916" s="26" t="s">
        <v>44</v>
      </c>
      <c r="L916" s="16"/>
      <c r="M916" s="21"/>
    </row>
    <row r="917">
      <c r="A917" s="28">
        <v>46232.0</v>
      </c>
      <c r="B917" s="16" t="s">
        <v>4839</v>
      </c>
      <c r="C917" s="46" t="s">
        <v>4840</v>
      </c>
      <c r="D917" s="21"/>
      <c r="E917" s="22" t="s">
        <v>4841</v>
      </c>
      <c r="H917" s="23" t="s">
        <v>2268</v>
      </c>
      <c r="I917" s="21"/>
      <c r="J917" s="25"/>
      <c r="K917" s="26" t="s">
        <v>44</v>
      </c>
      <c r="L917" s="16"/>
      <c r="M917" s="21"/>
    </row>
    <row r="918">
      <c r="A918" s="28">
        <v>46232.0</v>
      </c>
      <c r="B918" s="16" t="s">
        <v>4842</v>
      </c>
      <c r="C918" s="20" t="s">
        <v>4843</v>
      </c>
      <c r="D918" s="21"/>
      <c r="E918" s="22" t="s">
        <v>4844</v>
      </c>
      <c r="H918" s="23" t="s">
        <v>2349</v>
      </c>
      <c r="I918" s="21"/>
      <c r="J918" s="25"/>
      <c r="K918" s="26" t="s">
        <v>44</v>
      </c>
      <c r="L918" s="16"/>
      <c r="M918" s="21"/>
    </row>
    <row r="919">
      <c r="A919" s="28">
        <v>46232.0</v>
      </c>
      <c r="B919" s="16" t="s">
        <v>4845</v>
      </c>
      <c r="C919" s="20" t="s">
        <v>4846</v>
      </c>
      <c r="D919" s="21"/>
      <c r="E919" s="22" t="s">
        <v>4847</v>
      </c>
      <c r="H919" s="23" t="s">
        <v>713</v>
      </c>
      <c r="I919" s="21"/>
      <c r="J919" s="25"/>
      <c r="K919" s="26" t="s">
        <v>44</v>
      </c>
      <c r="L919" s="16"/>
      <c r="M919" s="21"/>
    </row>
    <row r="920">
      <c r="A920" s="28">
        <v>46232.0</v>
      </c>
      <c r="B920" s="16" t="s">
        <v>4848</v>
      </c>
      <c r="C920" s="20" t="s">
        <v>4849</v>
      </c>
      <c r="D920" s="21"/>
      <c r="E920" s="22" t="s">
        <v>4850</v>
      </c>
      <c r="H920" s="23" t="s">
        <v>2842</v>
      </c>
      <c r="I920" s="21"/>
      <c r="J920" s="25"/>
      <c r="K920" s="26" t="s">
        <v>44</v>
      </c>
      <c r="L920" s="16"/>
      <c r="M920" s="21"/>
    </row>
    <row r="921">
      <c r="A921" s="28">
        <v>46232.0</v>
      </c>
      <c r="B921" s="16" t="s">
        <v>4851</v>
      </c>
      <c r="C921" s="20" t="s">
        <v>4852</v>
      </c>
      <c r="D921" s="21"/>
      <c r="E921" s="22" t="s">
        <v>4853</v>
      </c>
      <c r="H921" s="23" t="s">
        <v>652</v>
      </c>
      <c r="I921" s="21"/>
      <c r="J921" s="25"/>
      <c r="K921" s="26" t="s">
        <v>44</v>
      </c>
      <c r="L921" s="16"/>
      <c r="M921" s="21"/>
    </row>
    <row r="922">
      <c r="A922" s="28">
        <v>46232.0</v>
      </c>
      <c r="B922" s="16" t="s">
        <v>4854</v>
      </c>
      <c r="C922" s="20" t="s">
        <v>4855</v>
      </c>
      <c r="D922" s="21"/>
      <c r="E922" s="22" t="s">
        <v>4856</v>
      </c>
      <c r="H922" s="23" t="s">
        <v>4857</v>
      </c>
      <c r="I922" s="21"/>
      <c r="J922" s="25"/>
      <c r="K922" s="26" t="s">
        <v>44</v>
      </c>
      <c r="L922" s="16"/>
      <c r="M922" s="21"/>
    </row>
    <row r="923">
      <c r="A923" s="28">
        <v>46232.0</v>
      </c>
      <c r="B923" s="16" t="s">
        <v>4858</v>
      </c>
      <c r="C923" s="20" t="s">
        <v>4859</v>
      </c>
      <c r="D923" s="21"/>
      <c r="E923" s="22" t="s">
        <v>4860</v>
      </c>
      <c r="H923" s="23" t="s">
        <v>4861</v>
      </c>
      <c r="I923" s="21"/>
      <c r="J923" s="25"/>
      <c r="K923" s="26" t="s">
        <v>44</v>
      </c>
      <c r="L923" s="16"/>
      <c r="M923" s="21"/>
    </row>
    <row r="924">
      <c r="A924" s="28">
        <v>46232.0</v>
      </c>
      <c r="B924" s="16" t="s">
        <v>4862</v>
      </c>
      <c r="C924" s="20" t="s">
        <v>4863</v>
      </c>
      <c r="D924" s="21"/>
      <c r="E924" s="22" t="s">
        <v>4864</v>
      </c>
      <c r="H924" s="23" t="s">
        <v>4865</v>
      </c>
      <c r="I924" s="21"/>
      <c r="J924" s="25"/>
      <c r="K924" s="26" t="s">
        <v>44</v>
      </c>
      <c r="L924" s="16"/>
      <c r="M924" s="21"/>
    </row>
    <row r="925">
      <c r="A925" s="28">
        <v>46232.0</v>
      </c>
      <c r="B925" s="16" t="s">
        <v>4866</v>
      </c>
      <c r="C925" s="20" t="s">
        <v>4867</v>
      </c>
      <c r="D925" s="21"/>
      <c r="E925" s="22" t="s">
        <v>4868</v>
      </c>
      <c r="H925" s="23" t="s">
        <v>622</v>
      </c>
      <c r="I925" s="21"/>
      <c r="J925" s="25"/>
      <c r="K925" s="26" t="s">
        <v>44</v>
      </c>
      <c r="L925" s="16"/>
      <c r="M925" s="21"/>
    </row>
    <row r="926">
      <c r="A926" s="28">
        <v>46232.0</v>
      </c>
      <c r="B926" s="16" t="s">
        <v>4869</v>
      </c>
      <c r="C926" s="20" t="s">
        <v>4870</v>
      </c>
      <c r="D926" s="21"/>
      <c r="E926" s="22" t="s">
        <v>4871</v>
      </c>
      <c r="H926" s="23" t="s">
        <v>4872</v>
      </c>
      <c r="I926" s="21"/>
      <c r="J926" s="25"/>
      <c r="K926" s="26" t="s">
        <v>44</v>
      </c>
      <c r="L926" s="16"/>
      <c r="M926" s="21"/>
    </row>
    <row r="927">
      <c r="A927" s="28">
        <v>46232.0</v>
      </c>
      <c r="B927" s="16" t="s">
        <v>4873</v>
      </c>
      <c r="C927" s="20" t="s">
        <v>4874</v>
      </c>
      <c r="D927" s="21"/>
      <c r="E927" s="22" t="s">
        <v>4875</v>
      </c>
      <c r="H927" s="23" t="s">
        <v>1941</v>
      </c>
      <c r="I927" s="21"/>
      <c r="J927" s="25"/>
      <c r="K927" s="26" t="s">
        <v>44</v>
      </c>
      <c r="L927" s="16"/>
      <c r="M927" s="21"/>
    </row>
    <row r="928">
      <c r="A928" s="28">
        <v>46232.0</v>
      </c>
      <c r="B928" s="16" t="s">
        <v>4876</v>
      </c>
      <c r="C928" s="20" t="s">
        <v>4877</v>
      </c>
      <c r="D928" s="21"/>
      <c r="E928" s="22" t="s">
        <v>4878</v>
      </c>
      <c r="H928" s="23" t="s">
        <v>856</v>
      </c>
      <c r="I928" s="21"/>
      <c r="J928" s="25"/>
      <c r="K928" s="26" t="s">
        <v>44</v>
      </c>
      <c r="L928" s="16"/>
      <c r="M928" s="21"/>
    </row>
    <row r="929">
      <c r="A929" s="28">
        <v>46232.0</v>
      </c>
      <c r="B929" s="16" t="s">
        <v>4879</v>
      </c>
      <c r="C929" s="20" t="s">
        <v>4880</v>
      </c>
      <c r="D929" s="21"/>
      <c r="E929" s="22" t="s">
        <v>4881</v>
      </c>
      <c r="H929" s="23" t="s">
        <v>4882</v>
      </c>
      <c r="I929" s="21"/>
      <c r="J929" s="25"/>
      <c r="K929" s="26" t="s">
        <v>44</v>
      </c>
      <c r="L929" s="16"/>
      <c r="M929" s="21"/>
    </row>
    <row r="930">
      <c r="A930" s="28">
        <v>46232.0</v>
      </c>
      <c r="B930" s="16" t="s">
        <v>4883</v>
      </c>
      <c r="C930" s="20" t="s">
        <v>4884</v>
      </c>
      <c r="D930" s="21"/>
      <c r="E930" s="22" t="s">
        <v>4885</v>
      </c>
      <c r="H930" s="23" t="s">
        <v>1612</v>
      </c>
      <c r="I930" s="21"/>
      <c r="J930" s="25"/>
      <c r="K930" s="26" t="s">
        <v>44</v>
      </c>
      <c r="L930" s="16"/>
      <c r="M930" s="21"/>
    </row>
    <row r="931">
      <c r="A931" s="28">
        <v>46232.0</v>
      </c>
      <c r="B931" s="16" t="s">
        <v>4886</v>
      </c>
      <c r="C931" s="20" t="s">
        <v>4887</v>
      </c>
      <c r="D931" s="21"/>
      <c r="E931" s="22" t="s">
        <v>4888</v>
      </c>
      <c r="H931" s="23" t="s">
        <v>4889</v>
      </c>
      <c r="I931" s="21"/>
      <c r="J931" s="25"/>
      <c r="K931" s="26" t="s">
        <v>44</v>
      </c>
      <c r="L931" s="16"/>
      <c r="M931" s="21"/>
    </row>
    <row r="932">
      <c r="A932" s="28">
        <v>46232.0</v>
      </c>
      <c r="B932" s="16" t="s">
        <v>4890</v>
      </c>
      <c r="C932" s="20" t="s">
        <v>4891</v>
      </c>
      <c r="D932" s="21"/>
      <c r="E932" s="22" t="s">
        <v>4892</v>
      </c>
      <c r="H932" s="23" t="s">
        <v>4893</v>
      </c>
      <c r="I932" s="21"/>
      <c r="J932" s="25"/>
      <c r="K932" s="26" t="s">
        <v>44</v>
      </c>
      <c r="L932" s="16"/>
      <c r="M932" s="21"/>
    </row>
    <row r="933">
      <c r="A933" s="28">
        <v>46232.0</v>
      </c>
      <c r="B933" s="16" t="s">
        <v>4894</v>
      </c>
      <c r="C933" s="20" t="s">
        <v>4895</v>
      </c>
      <c r="D933" s="21"/>
      <c r="E933" s="22" t="s">
        <v>4896</v>
      </c>
      <c r="H933" s="23" t="s">
        <v>1137</v>
      </c>
      <c r="I933" s="21"/>
      <c r="J933" s="25"/>
      <c r="K933" s="26" t="s">
        <v>44</v>
      </c>
      <c r="L933" s="16"/>
      <c r="M933" s="21"/>
    </row>
    <row r="934">
      <c r="A934" s="28">
        <v>46232.0</v>
      </c>
      <c r="B934" s="16" t="s">
        <v>4897</v>
      </c>
      <c r="C934" s="20" t="s">
        <v>4898</v>
      </c>
      <c r="D934" s="21"/>
      <c r="E934" s="22" t="s">
        <v>4899</v>
      </c>
      <c r="H934" s="23" t="s">
        <v>57</v>
      </c>
      <c r="I934" s="21"/>
      <c r="J934" s="25"/>
      <c r="K934" s="26" t="s">
        <v>44</v>
      </c>
      <c r="L934" s="16"/>
      <c r="M934" s="21"/>
    </row>
    <row r="935">
      <c r="A935" s="28">
        <v>46232.0</v>
      </c>
      <c r="B935" s="16" t="s">
        <v>4900</v>
      </c>
      <c r="C935" s="20" t="s">
        <v>4901</v>
      </c>
      <c r="D935" s="21"/>
      <c r="E935" s="22" t="s">
        <v>4902</v>
      </c>
      <c r="H935" s="23" t="s">
        <v>4506</v>
      </c>
      <c r="I935" s="21"/>
      <c r="J935" s="25"/>
      <c r="K935" s="26" t="s">
        <v>44</v>
      </c>
      <c r="L935" s="16"/>
      <c r="M935" s="21"/>
    </row>
    <row r="936">
      <c r="A936" s="28">
        <v>46232.0</v>
      </c>
      <c r="B936" s="16" t="s">
        <v>4903</v>
      </c>
      <c r="C936" s="20" t="s">
        <v>4904</v>
      </c>
      <c r="D936" s="21"/>
      <c r="E936" s="22" t="s">
        <v>4905</v>
      </c>
      <c r="H936" s="23" t="s">
        <v>4906</v>
      </c>
      <c r="I936" s="21"/>
      <c r="J936" s="25"/>
      <c r="K936" s="26" t="s">
        <v>44</v>
      </c>
      <c r="L936" s="16"/>
      <c r="M936" s="21"/>
    </row>
    <row r="937">
      <c r="A937" s="28">
        <v>46232.0</v>
      </c>
      <c r="B937" s="16" t="s">
        <v>4907</v>
      </c>
      <c r="C937" s="20" t="s">
        <v>4908</v>
      </c>
      <c r="D937" s="21"/>
      <c r="E937" s="22" t="s">
        <v>4909</v>
      </c>
      <c r="H937" s="23" t="s">
        <v>4910</v>
      </c>
      <c r="I937" s="21"/>
      <c r="J937" s="25"/>
      <c r="K937" s="26" t="s">
        <v>44</v>
      </c>
      <c r="L937" s="16"/>
      <c r="M937" s="21"/>
    </row>
    <row r="938">
      <c r="A938" s="28">
        <v>46232.0</v>
      </c>
      <c r="B938" s="16" t="s">
        <v>4911</v>
      </c>
      <c r="C938" s="20" t="s">
        <v>4912</v>
      </c>
      <c r="D938" s="21"/>
      <c r="E938" s="22" t="s">
        <v>4913</v>
      </c>
      <c r="H938" s="23" t="s">
        <v>1530</v>
      </c>
      <c r="I938" s="21"/>
      <c r="J938" s="25"/>
      <c r="K938" s="26" t="s">
        <v>44</v>
      </c>
      <c r="L938" s="16"/>
      <c r="M938" s="21"/>
    </row>
    <row r="939">
      <c r="A939" s="28">
        <v>46232.0</v>
      </c>
      <c r="B939" s="16" t="s">
        <v>4914</v>
      </c>
      <c r="C939" s="20" t="s">
        <v>4915</v>
      </c>
      <c r="D939" s="21"/>
      <c r="E939" s="22" t="s">
        <v>4916</v>
      </c>
      <c r="H939" s="23" t="s">
        <v>4917</v>
      </c>
      <c r="I939" s="21"/>
      <c r="J939" s="25"/>
      <c r="K939" s="26" t="s">
        <v>44</v>
      </c>
      <c r="L939" s="16"/>
      <c r="M939" s="21"/>
    </row>
    <row r="940">
      <c r="A940" s="28">
        <v>46232.0</v>
      </c>
      <c r="B940" s="16" t="s">
        <v>4918</v>
      </c>
      <c r="C940" s="20" t="s">
        <v>4919</v>
      </c>
      <c r="D940" s="21"/>
      <c r="E940" s="22" t="s">
        <v>4920</v>
      </c>
      <c r="H940" s="23" t="s">
        <v>111</v>
      </c>
      <c r="I940" s="21"/>
      <c r="J940" s="25"/>
      <c r="K940" s="26" t="s">
        <v>44</v>
      </c>
      <c r="L940" s="16"/>
      <c r="M940" s="21"/>
    </row>
    <row r="941">
      <c r="A941" s="28">
        <v>46232.0</v>
      </c>
      <c r="B941" s="16" t="s">
        <v>4921</v>
      </c>
      <c r="C941" s="20" t="s">
        <v>4922</v>
      </c>
      <c r="D941" s="21"/>
      <c r="E941" s="22" t="s">
        <v>4923</v>
      </c>
      <c r="H941" s="23" t="s">
        <v>412</v>
      </c>
      <c r="I941" s="21"/>
      <c r="J941" s="25"/>
      <c r="K941" s="26" t="s">
        <v>44</v>
      </c>
      <c r="L941" s="16"/>
      <c r="M941" s="21"/>
    </row>
    <row r="942">
      <c r="A942" s="28">
        <v>46232.0</v>
      </c>
      <c r="B942" s="16" t="s">
        <v>4924</v>
      </c>
      <c r="C942" s="20" t="s">
        <v>4925</v>
      </c>
      <c r="D942" s="21"/>
      <c r="E942" s="22" t="s">
        <v>4926</v>
      </c>
      <c r="H942" s="23" t="s">
        <v>48</v>
      </c>
      <c r="I942" s="21"/>
      <c r="J942" s="25"/>
      <c r="K942" s="26" t="s">
        <v>44</v>
      </c>
      <c r="L942" s="16"/>
      <c r="M942" s="21"/>
    </row>
    <row r="943">
      <c r="A943" s="28">
        <v>46232.0</v>
      </c>
      <c r="B943" s="16" t="s">
        <v>4927</v>
      </c>
      <c r="C943" s="20" t="s">
        <v>4928</v>
      </c>
      <c r="D943" s="21"/>
      <c r="E943" s="22" t="s">
        <v>4929</v>
      </c>
      <c r="H943" s="23" t="s">
        <v>69</v>
      </c>
      <c r="I943" s="21"/>
      <c r="J943" s="25"/>
      <c r="K943" s="26" t="s">
        <v>44</v>
      </c>
      <c r="L943" s="16"/>
      <c r="M943" s="21"/>
    </row>
    <row r="944">
      <c r="A944" s="28">
        <v>46232.0</v>
      </c>
      <c r="B944" s="16" t="s">
        <v>4930</v>
      </c>
      <c r="C944" s="20" t="s">
        <v>4931</v>
      </c>
      <c r="D944" s="21"/>
      <c r="E944" s="22" t="s">
        <v>4932</v>
      </c>
      <c r="H944" s="23" t="s">
        <v>800</v>
      </c>
      <c r="I944" s="21"/>
      <c r="J944" s="25"/>
      <c r="K944" s="26" t="s">
        <v>44</v>
      </c>
      <c r="L944" s="16"/>
      <c r="M944" s="21"/>
    </row>
    <row r="945">
      <c r="A945" s="28">
        <v>46232.0</v>
      </c>
      <c r="B945" s="16" t="s">
        <v>4933</v>
      </c>
      <c r="C945" s="20" t="s">
        <v>4934</v>
      </c>
      <c r="D945" s="21"/>
      <c r="E945" s="22" t="s">
        <v>4935</v>
      </c>
      <c r="H945" s="23" t="s">
        <v>614</v>
      </c>
      <c r="I945" s="21"/>
      <c r="J945" s="25"/>
      <c r="K945" s="26" t="s">
        <v>44</v>
      </c>
      <c r="L945" s="16"/>
      <c r="M945" s="21"/>
    </row>
    <row r="946">
      <c r="A946" s="28">
        <v>46232.0</v>
      </c>
      <c r="B946" s="16" t="s">
        <v>4936</v>
      </c>
      <c r="C946" s="20" t="s">
        <v>4937</v>
      </c>
      <c r="D946" s="21"/>
      <c r="E946" s="22" t="s">
        <v>4938</v>
      </c>
      <c r="H946" s="23" t="s">
        <v>1963</v>
      </c>
      <c r="I946" s="21"/>
      <c r="J946" s="25"/>
      <c r="K946" s="26" t="s">
        <v>44</v>
      </c>
      <c r="L946" s="16"/>
      <c r="M946" s="21"/>
    </row>
    <row r="947">
      <c r="A947" s="28">
        <v>46232.0</v>
      </c>
      <c r="B947" s="16" t="s">
        <v>4939</v>
      </c>
      <c r="C947" s="20" t="s">
        <v>4940</v>
      </c>
      <c r="D947" s="21"/>
      <c r="E947" s="22" t="s">
        <v>4941</v>
      </c>
      <c r="H947" s="23" t="s">
        <v>1024</v>
      </c>
      <c r="I947" s="21"/>
      <c r="J947" s="25"/>
      <c r="K947" s="26" t="s">
        <v>44</v>
      </c>
      <c r="L947" s="16"/>
      <c r="M947" s="21"/>
    </row>
    <row r="948">
      <c r="A948" s="28">
        <v>46232.0</v>
      </c>
      <c r="B948" s="16" t="s">
        <v>4942</v>
      </c>
      <c r="C948" s="20" t="s">
        <v>4943</v>
      </c>
      <c r="D948" s="21"/>
      <c r="E948" s="22" t="s">
        <v>4944</v>
      </c>
      <c r="H948" s="23" t="s">
        <v>69</v>
      </c>
      <c r="I948" s="21"/>
      <c r="J948" s="25"/>
      <c r="K948" s="26" t="s">
        <v>44</v>
      </c>
      <c r="L948" s="16"/>
      <c r="M948" s="21"/>
    </row>
    <row r="949">
      <c r="A949" s="28">
        <v>46232.0</v>
      </c>
      <c r="B949" s="16" t="s">
        <v>4945</v>
      </c>
      <c r="C949" s="20" t="s">
        <v>4946</v>
      </c>
      <c r="D949" s="21"/>
      <c r="E949" s="22" t="s">
        <v>4947</v>
      </c>
      <c r="H949" s="23" t="s">
        <v>48</v>
      </c>
      <c r="I949" s="21"/>
      <c r="J949" s="25"/>
      <c r="K949" s="26" t="s">
        <v>44</v>
      </c>
      <c r="L949" s="16"/>
      <c r="M949" s="21"/>
    </row>
    <row r="950">
      <c r="A950" s="28">
        <v>46232.0</v>
      </c>
      <c r="B950" s="16" t="s">
        <v>4948</v>
      </c>
      <c r="C950" s="20" t="s">
        <v>4949</v>
      </c>
      <c r="D950" s="21"/>
      <c r="E950" s="22" t="s">
        <v>4950</v>
      </c>
      <c r="H950" s="23" t="s">
        <v>2606</v>
      </c>
      <c r="I950" s="21"/>
      <c r="J950" s="25"/>
      <c r="K950" s="26" t="s">
        <v>44</v>
      </c>
      <c r="L950" s="16"/>
      <c r="M950" s="21"/>
    </row>
    <row r="951">
      <c r="A951" s="28">
        <v>46232.0</v>
      </c>
      <c r="B951" s="16" t="s">
        <v>4951</v>
      </c>
      <c r="C951" s="20" t="s">
        <v>4952</v>
      </c>
      <c r="D951" s="21"/>
      <c r="E951" s="22" t="s">
        <v>4953</v>
      </c>
      <c r="H951" s="23" t="s">
        <v>404</v>
      </c>
      <c r="I951" s="21"/>
      <c r="J951" s="25"/>
      <c r="K951" s="26" t="s">
        <v>44</v>
      </c>
      <c r="L951" s="16"/>
      <c r="M951" s="21"/>
    </row>
    <row r="952">
      <c r="A952" s="28">
        <v>46232.0</v>
      </c>
      <c r="B952" s="16" t="s">
        <v>4954</v>
      </c>
      <c r="C952" s="20" t="s">
        <v>4955</v>
      </c>
      <c r="D952" s="21"/>
      <c r="E952" s="22" t="s">
        <v>4956</v>
      </c>
      <c r="H952" s="23" t="s">
        <v>65</v>
      </c>
      <c r="I952" s="21"/>
      <c r="J952" s="25"/>
      <c r="K952" s="26" t="s">
        <v>44</v>
      </c>
      <c r="L952" s="16"/>
      <c r="M952" s="21"/>
    </row>
    <row r="953">
      <c r="A953" s="28">
        <v>46232.0</v>
      </c>
      <c r="B953" s="16" t="s">
        <v>4957</v>
      </c>
      <c r="C953" s="20" t="s">
        <v>4958</v>
      </c>
      <c r="D953" s="21"/>
      <c r="E953" s="22" t="s">
        <v>4959</v>
      </c>
      <c r="H953" s="23" t="s">
        <v>69</v>
      </c>
      <c r="I953" s="21"/>
      <c r="J953" s="25"/>
      <c r="K953" s="26" t="s">
        <v>44</v>
      </c>
      <c r="L953" s="16"/>
      <c r="M953" s="21"/>
    </row>
    <row r="954">
      <c r="A954" s="28">
        <v>46232.0</v>
      </c>
      <c r="B954" s="16" t="s">
        <v>4960</v>
      </c>
      <c r="C954" s="20" t="s">
        <v>4961</v>
      </c>
      <c r="D954" s="21"/>
      <c r="E954" s="22" t="s">
        <v>4962</v>
      </c>
      <c r="H954" s="23" t="s">
        <v>80</v>
      </c>
      <c r="I954" s="21"/>
      <c r="J954" s="25"/>
      <c r="K954" s="26" t="s">
        <v>44</v>
      </c>
      <c r="L954" s="16"/>
      <c r="M954" s="21"/>
    </row>
    <row r="955">
      <c r="A955" s="28">
        <v>46232.0</v>
      </c>
      <c r="B955" s="16" t="s">
        <v>4963</v>
      </c>
      <c r="C955" s="20" t="s">
        <v>4964</v>
      </c>
      <c r="D955" s="21"/>
      <c r="E955" s="22" t="s">
        <v>4965</v>
      </c>
      <c r="H955" s="23" t="s">
        <v>69</v>
      </c>
      <c r="I955" s="21"/>
      <c r="J955" s="25"/>
      <c r="K955" s="26" t="s">
        <v>44</v>
      </c>
      <c r="L955" s="16"/>
      <c r="M955" s="21"/>
    </row>
    <row r="956">
      <c r="A956" s="28">
        <v>46232.0</v>
      </c>
      <c r="B956" s="16" t="s">
        <v>4966</v>
      </c>
      <c r="C956" s="20" t="s">
        <v>4967</v>
      </c>
      <c r="D956" s="21"/>
      <c r="E956" s="22" t="s">
        <v>4968</v>
      </c>
      <c r="H956" s="23" t="s">
        <v>2549</v>
      </c>
      <c r="I956" s="21"/>
      <c r="J956" s="25"/>
      <c r="K956" s="26" t="s">
        <v>44</v>
      </c>
      <c r="L956" s="16"/>
      <c r="M956" s="21"/>
    </row>
    <row r="957">
      <c r="A957" s="28">
        <v>46232.0</v>
      </c>
      <c r="B957" s="16" t="s">
        <v>4969</v>
      </c>
      <c r="C957" s="20" t="s">
        <v>4970</v>
      </c>
      <c r="D957" s="21"/>
      <c r="E957" s="22" t="s">
        <v>4971</v>
      </c>
      <c r="H957" s="23" t="s">
        <v>4972</v>
      </c>
      <c r="I957" s="21"/>
      <c r="J957" s="25"/>
      <c r="K957" s="26" t="s">
        <v>44</v>
      </c>
      <c r="L957" s="16"/>
      <c r="M957" s="21"/>
    </row>
    <row r="958">
      <c r="A958" s="28">
        <v>46232.0</v>
      </c>
      <c r="B958" s="16" t="s">
        <v>4973</v>
      </c>
      <c r="C958" s="46" t="s">
        <v>4974</v>
      </c>
      <c r="D958" s="21"/>
      <c r="E958" s="22" t="s">
        <v>4975</v>
      </c>
      <c r="H958" s="23" t="s">
        <v>69</v>
      </c>
      <c r="I958" s="21"/>
      <c r="J958" s="25"/>
      <c r="K958" s="26" t="s">
        <v>44</v>
      </c>
      <c r="L958" s="16"/>
      <c r="M958" s="21"/>
    </row>
    <row r="959">
      <c r="A959" s="28">
        <v>46232.0</v>
      </c>
      <c r="B959" s="16" t="s">
        <v>4976</v>
      </c>
      <c r="C959" s="20" t="s">
        <v>4977</v>
      </c>
      <c r="D959" s="21"/>
      <c r="E959" s="22" t="s">
        <v>4978</v>
      </c>
      <c r="H959" s="23" t="s">
        <v>4979</v>
      </c>
      <c r="I959" s="21"/>
      <c r="J959" s="25"/>
      <c r="K959" s="26" t="s">
        <v>44</v>
      </c>
      <c r="L959" s="16"/>
      <c r="M959" s="21"/>
    </row>
    <row r="960">
      <c r="A960" s="28">
        <v>46232.0</v>
      </c>
      <c r="B960" s="16" t="s">
        <v>4980</v>
      </c>
      <c r="C960" s="20" t="s">
        <v>4981</v>
      </c>
      <c r="D960" s="21"/>
      <c r="E960" s="22" t="s">
        <v>4982</v>
      </c>
      <c r="H960" s="23" t="s">
        <v>4906</v>
      </c>
      <c r="I960" s="21"/>
      <c r="J960" s="25"/>
      <c r="K960" s="26" t="s">
        <v>44</v>
      </c>
      <c r="L960" s="16"/>
      <c r="M960" s="21"/>
    </row>
    <row r="961">
      <c r="A961" s="28">
        <v>46232.0</v>
      </c>
      <c r="B961" s="16" t="s">
        <v>4983</v>
      </c>
      <c r="C961" s="20" t="s">
        <v>4984</v>
      </c>
      <c r="D961" s="21"/>
      <c r="E961" s="22" t="s">
        <v>4985</v>
      </c>
      <c r="H961" s="23" t="s">
        <v>4986</v>
      </c>
      <c r="I961" s="21"/>
      <c r="J961" s="25"/>
      <c r="K961" s="26" t="s">
        <v>44</v>
      </c>
      <c r="L961" s="16"/>
      <c r="M961" s="21"/>
    </row>
    <row r="962">
      <c r="A962" s="28">
        <v>46232.0</v>
      </c>
      <c r="B962" s="16" t="s">
        <v>4987</v>
      </c>
      <c r="C962" s="20" t="s">
        <v>4988</v>
      </c>
      <c r="D962" s="21"/>
      <c r="E962" s="22" t="s">
        <v>4989</v>
      </c>
      <c r="H962" s="23" t="s">
        <v>4990</v>
      </c>
      <c r="I962" s="21"/>
      <c r="J962" s="25"/>
      <c r="K962" s="26" t="s">
        <v>44</v>
      </c>
      <c r="L962" s="16"/>
      <c r="M962" s="21"/>
    </row>
    <row r="963">
      <c r="A963" s="28">
        <v>46232.0</v>
      </c>
      <c r="B963" s="16" t="s">
        <v>4991</v>
      </c>
      <c r="C963" s="46" t="s">
        <v>4992</v>
      </c>
      <c r="D963" s="21"/>
      <c r="E963" s="22" t="s">
        <v>4993</v>
      </c>
      <c r="H963" s="23" t="s">
        <v>2606</v>
      </c>
      <c r="I963" s="21"/>
      <c r="J963" s="25"/>
      <c r="K963" s="26" t="s">
        <v>44</v>
      </c>
      <c r="L963" s="16"/>
      <c r="M963" s="21"/>
    </row>
    <row r="964">
      <c r="A964" s="28">
        <v>46232.0</v>
      </c>
      <c r="B964" s="16" t="s">
        <v>4994</v>
      </c>
      <c r="C964" s="20" t="s">
        <v>4995</v>
      </c>
      <c r="D964" s="21"/>
      <c r="E964" s="22" t="s">
        <v>4996</v>
      </c>
      <c r="H964" s="23" t="s">
        <v>2867</v>
      </c>
      <c r="I964" s="21"/>
      <c r="J964" s="25"/>
      <c r="K964" s="26" t="s">
        <v>44</v>
      </c>
      <c r="L964" s="16"/>
      <c r="M964" s="21"/>
    </row>
    <row r="965">
      <c r="A965" s="28">
        <v>46232.0</v>
      </c>
      <c r="B965" s="16" t="s">
        <v>4997</v>
      </c>
      <c r="C965" s="20" t="s">
        <v>4998</v>
      </c>
      <c r="D965" s="21"/>
      <c r="E965" s="22" t="s">
        <v>4999</v>
      </c>
      <c r="H965" s="23" t="s">
        <v>5000</v>
      </c>
      <c r="I965" s="21"/>
      <c r="J965" s="25"/>
      <c r="K965" s="26" t="s">
        <v>44</v>
      </c>
      <c r="L965" s="16"/>
      <c r="M965" s="21"/>
    </row>
    <row r="966">
      <c r="A966" s="28">
        <v>46232.0</v>
      </c>
      <c r="B966" s="16" t="s">
        <v>5001</v>
      </c>
      <c r="C966" s="20" t="s">
        <v>5002</v>
      </c>
      <c r="D966" s="21"/>
      <c r="E966" s="22" t="s">
        <v>5003</v>
      </c>
      <c r="H966" s="23" t="s">
        <v>69</v>
      </c>
      <c r="I966" s="21"/>
      <c r="J966" s="25"/>
      <c r="K966" s="26" t="s">
        <v>44</v>
      </c>
      <c r="L966" s="16"/>
      <c r="M966" s="21"/>
    </row>
    <row r="967">
      <c r="A967" s="28">
        <v>46232.0</v>
      </c>
      <c r="B967" s="16" t="s">
        <v>5004</v>
      </c>
      <c r="C967" s="20" t="s">
        <v>5005</v>
      </c>
      <c r="D967" s="21"/>
      <c r="E967" s="22" t="s">
        <v>5006</v>
      </c>
      <c r="H967" s="23" t="s">
        <v>2089</v>
      </c>
      <c r="I967" s="21"/>
      <c r="J967" s="25"/>
      <c r="K967" s="26" t="s">
        <v>44</v>
      </c>
      <c r="L967" s="16"/>
      <c r="M967" s="21"/>
    </row>
    <row r="968">
      <c r="A968" s="28">
        <v>46232.0</v>
      </c>
      <c r="B968" s="16" t="s">
        <v>5007</v>
      </c>
      <c r="C968" s="20" t="s">
        <v>5008</v>
      </c>
      <c r="D968" s="21"/>
      <c r="E968" s="22" t="s">
        <v>5009</v>
      </c>
      <c r="H968" s="23" t="s">
        <v>1510</v>
      </c>
      <c r="I968" s="21"/>
      <c r="J968" s="25"/>
      <c r="K968" s="26" t="s">
        <v>44</v>
      </c>
      <c r="L968" s="16"/>
      <c r="M968" s="21"/>
    </row>
    <row r="969">
      <c r="A969" s="28">
        <v>46232.0</v>
      </c>
      <c r="B969" s="16" t="s">
        <v>5010</v>
      </c>
      <c r="C969" s="20" t="s">
        <v>5011</v>
      </c>
      <c r="D969" s="21"/>
      <c r="E969" s="22" t="s">
        <v>5012</v>
      </c>
      <c r="H969" s="23" t="s">
        <v>5013</v>
      </c>
      <c r="I969" s="21"/>
      <c r="J969" s="25"/>
      <c r="K969" s="26" t="s">
        <v>44</v>
      </c>
      <c r="L969" s="16"/>
      <c r="M969" s="21"/>
    </row>
    <row r="970">
      <c r="A970" s="28">
        <v>46232.0</v>
      </c>
      <c r="B970" s="16" t="s">
        <v>5014</v>
      </c>
      <c r="C970" s="20" t="s">
        <v>5015</v>
      </c>
      <c r="D970" s="21"/>
      <c r="E970" s="22" t="s">
        <v>5016</v>
      </c>
      <c r="H970" s="23" t="s">
        <v>69</v>
      </c>
      <c r="I970" s="21"/>
      <c r="J970" s="25"/>
      <c r="K970" s="26" t="s">
        <v>44</v>
      </c>
      <c r="L970" s="16"/>
      <c r="M970" s="21"/>
    </row>
    <row r="971">
      <c r="A971" s="28">
        <v>46232.0</v>
      </c>
      <c r="B971" s="16" t="s">
        <v>5017</v>
      </c>
      <c r="C971" s="20" t="s">
        <v>5018</v>
      </c>
      <c r="D971" s="21"/>
      <c r="E971" s="22" t="s">
        <v>5019</v>
      </c>
      <c r="H971" s="23" t="s">
        <v>69</v>
      </c>
      <c r="I971" s="21"/>
      <c r="J971" s="25"/>
      <c r="K971" s="26" t="s">
        <v>44</v>
      </c>
      <c r="L971" s="16"/>
      <c r="M971" s="21"/>
    </row>
    <row r="972">
      <c r="A972" s="28">
        <v>46232.0</v>
      </c>
      <c r="B972" s="16" t="s">
        <v>5020</v>
      </c>
      <c r="C972" s="20" t="s">
        <v>5021</v>
      </c>
      <c r="D972" s="21"/>
      <c r="E972" s="22" t="s">
        <v>5022</v>
      </c>
      <c r="H972" s="23" t="s">
        <v>65</v>
      </c>
      <c r="I972" s="21"/>
      <c r="J972" s="25"/>
      <c r="K972" s="26" t="s">
        <v>44</v>
      </c>
      <c r="L972" s="16"/>
      <c r="M972" s="21"/>
    </row>
    <row r="973">
      <c r="A973" s="28">
        <v>46232.0</v>
      </c>
      <c r="B973" s="16" t="s">
        <v>5023</v>
      </c>
      <c r="C973" s="20" t="s">
        <v>5024</v>
      </c>
      <c r="D973" s="21"/>
      <c r="E973" s="22" t="s">
        <v>5025</v>
      </c>
      <c r="H973" s="23" t="s">
        <v>2606</v>
      </c>
      <c r="I973" s="21"/>
      <c r="J973" s="25"/>
      <c r="K973" s="26" t="s">
        <v>44</v>
      </c>
      <c r="L973" s="16"/>
      <c r="M973" s="21"/>
    </row>
    <row r="974">
      <c r="A974" s="28">
        <v>46232.0</v>
      </c>
      <c r="B974" s="16" t="s">
        <v>5026</v>
      </c>
      <c r="C974" s="20" t="s">
        <v>5027</v>
      </c>
      <c r="D974" s="21"/>
      <c r="E974" s="22" t="s">
        <v>5028</v>
      </c>
      <c r="H974" s="23" t="s">
        <v>1422</v>
      </c>
      <c r="I974" s="21"/>
      <c r="J974" s="25"/>
      <c r="K974" s="26" t="s">
        <v>44</v>
      </c>
      <c r="L974" s="16"/>
      <c r="M974" s="21"/>
    </row>
    <row r="975">
      <c r="A975" s="28">
        <v>46232.0</v>
      </c>
      <c r="B975" s="16" t="s">
        <v>5029</v>
      </c>
      <c r="C975" s="20" t="s">
        <v>5030</v>
      </c>
      <c r="D975" s="21"/>
      <c r="E975" s="22" t="s">
        <v>5031</v>
      </c>
      <c r="H975" s="23" t="s">
        <v>1415</v>
      </c>
      <c r="I975" s="21"/>
      <c r="J975" s="25"/>
      <c r="K975" s="26" t="s">
        <v>44</v>
      </c>
      <c r="L975" s="16"/>
      <c r="M975" s="21"/>
    </row>
    <row r="976">
      <c r="A976" s="28">
        <v>46232.0</v>
      </c>
      <c r="B976" s="16" t="s">
        <v>5032</v>
      </c>
      <c r="C976" s="20" t="s">
        <v>5033</v>
      </c>
      <c r="D976" s="21"/>
      <c r="E976" s="22" t="s">
        <v>5034</v>
      </c>
      <c r="H976" s="23" t="s">
        <v>127</v>
      </c>
      <c r="I976" s="21"/>
      <c r="J976" s="25"/>
      <c r="K976" s="26" t="s">
        <v>44</v>
      </c>
      <c r="L976" s="16"/>
      <c r="M976" s="21"/>
    </row>
    <row r="977">
      <c r="A977" s="28">
        <v>46232.0</v>
      </c>
      <c r="B977" s="16" t="s">
        <v>5035</v>
      </c>
      <c r="C977" s="20" t="s">
        <v>5036</v>
      </c>
      <c r="D977" s="21"/>
      <c r="E977" s="22" t="s">
        <v>5037</v>
      </c>
      <c r="H977" s="23" t="s">
        <v>4681</v>
      </c>
      <c r="I977" s="21"/>
      <c r="J977" s="25"/>
      <c r="K977" s="26" t="s">
        <v>44</v>
      </c>
      <c r="L977" s="16"/>
      <c r="M977" s="21"/>
    </row>
    <row r="978">
      <c r="A978" s="28">
        <v>46232.0</v>
      </c>
      <c r="B978" s="16" t="s">
        <v>5038</v>
      </c>
      <c r="C978" s="20" t="s">
        <v>5039</v>
      </c>
      <c r="D978" s="21"/>
      <c r="E978" s="22" t="s">
        <v>5040</v>
      </c>
      <c r="H978" s="23" t="s">
        <v>1963</v>
      </c>
      <c r="I978" s="21"/>
      <c r="J978" s="25"/>
      <c r="K978" s="26" t="s">
        <v>44</v>
      </c>
      <c r="L978" s="16"/>
      <c r="M978" s="21"/>
    </row>
    <row r="979">
      <c r="A979" s="28">
        <v>46232.0</v>
      </c>
      <c r="B979" s="16" t="s">
        <v>5041</v>
      </c>
      <c r="C979" s="20" t="s">
        <v>5042</v>
      </c>
      <c r="D979" s="21"/>
      <c r="E979" s="22" t="s">
        <v>5043</v>
      </c>
      <c r="H979" s="23" t="s">
        <v>69</v>
      </c>
      <c r="I979" s="21"/>
      <c r="J979" s="25"/>
      <c r="K979" s="26" t="s">
        <v>44</v>
      </c>
      <c r="L979" s="16"/>
      <c r="M979" s="21"/>
    </row>
    <row r="980">
      <c r="A980" s="28">
        <v>46232.0</v>
      </c>
      <c r="B980" s="16" t="s">
        <v>5044</v>
      </c>
      <c r="C980" s="20" t="s">
        <v>5045</v>
      </c>
      <c r="D980" s="21"/>
      <c r="E980" s="22" t="s">
        <v>5046</v>
      </c>
      <c r="H980" s="23" t="s">
        <v>5047</v>
      </c>
      <c r="I980" s="21"/>
      <c r="J980" s="25"/>
      <c r="K980" s="26" t="s">
        <v>44</v>
      </c>
      <c r="L980" s="16"/>
      <c r="M980" s="21"/>
    </row>
    <row r="981">
      <c r="A981" s="28">
        <v>46232.0</v>
      </c>
      <c r="B981" s="16" t="s">
        <v>5048</v>
      </c>
      <c r="C981" s="20" t="s">
        <v>5049</v>
      </c>
      <c r="D981" s="21"/>
      <c r="E981" s="22" t="s">
        <v>5050</v>
      </c>
      <c r="H981" s="23" t="s">
        <v>57</v>
      </c>
      <c r="I981" s="21"/>
      <c r="J981" s="25"/>
      <c r="K981" s="26" t="s">
        <v>44</v>
      </c>
      <c r="L981" s="16"/>
      <c r="M981" s="21"/>
    </row>
    <row r="982">
      <c r="A982" s="28">
        <v>46232.0</v>
      </c>
      <c r="B982" s="16" t="s">
        <v>5051</v>
      </c>
      <c r="C982" s="20" t="s">
        <v>5052</v>
      </c>
      <c r="D982" s="21"/>
      <c r="E982" s="22" t="s">
        <v>5053</v>
      </c>
      <c r="H982" s="23" t="s">
        <v>2078</v>
      </c>
      <c r="I982" s="21"/>
      <c r="J982" s="25"/>
      <c r="K982" s="26" t="s">
        <v>44</v>
      </c>
      <c r="L982" s="16"/>
      <c r="M982" s="21"/>
    </row>
    <row r="983">
      <c r="A983" s="28">
        <v>46232.0</v>
      </c>
      <c r="B983" s="16" t="s">
        <v>5054</v>
      </c>
      <c r="C983" s="20" t="s">
        <v>5055</v>
      </c>
      <c r="D983" s="21"/>
      <c r="E983" s="22" t="s">
        <v>5056</v>
      </c>
      <c r="H983" s="23" t="s">
        <v>2668</v>
      </c>
      <c r="I983" s="21"/>
      <c r="J983" s="25"/>
      <c r="K983" s="26" t="s">
        <v>44</v>
      </c>
      <c r="L983" s="16"/>
      <c r="M983" s="21"/>
    </row>
    <row r="984">
      <c r="A984" s="28">
        <v>46232.0</v>
      </c>
      <c r="B984" s="16" t="s">
        <v>5057</v>
      </c>
      <c r="C984" s="20" t="s">
        <v>5058</v>
      </c>
      <c r="D984" s="21"/>
      <c r="E984" s="22" t="s">
        <v>5059</v>
      </c>
      <c r="H984" s="23" t="s">
        <v>5060</v>
      </c>
      <c r="I984" s="21"/>
      <c r="J984" s="25"/>
      <c r="K984" s="26" t="s">
        <v>44</v>
      </c>
      <c r="L984" s="16"/>
      <c r="M984" s="21"/>
    </row>
    <row r="985">
      <c r="A985" s="28">
        <v>46232.0</v>
      </c>
      <c r="B985" s="16" t="s">
        <v>5061</v>
      </c>
      <c r="C985" s="20" t="s">
        <v>5062</v>
      </c>
      <c r="D985" s="21"/>
      <c r="E985" s="22" t="s">
        <v>5063</v>
      </c>
      <c r="H985" s="23" t="s">
        <v>48</v>
      </c>
      <c r="I985" s="21"/>
      <c r="J985" s="25"/>
      <c r="K985" s="26" t="s">
        <v>44</v>
      </c>
      <c r="L985" s="16"/>
      <c r="M985" s="21"/>
    </row>
    <row r="986">
      <c r="A986" s="28">
        <v>46232.0</v>
      </c>
      <c r="B986" s="16" t="s">
        <v>5064</v>
      </c>
      <c r="C986" s="20" t="s">
        <v>5065</v>
      </c>
      <c r="D986" s="21"/>
      <c r="E986" s="22" t="s">
        <v>5066</v>
      </c>
      <c r="H986" s="23" t="s">
        <v>5067</v>
      </c>
      <c r="I986" s="21"/>
      <c r="J986" s="25"/>
      <c r="K986" s="26" t="s">
        <v>44</v>
      </c>
      <c r="L986" s="16"/>
      <c r="M986" s="21"/>
    </row>
    <row r="987">
      <c r="A987" s="28">
        <v>46232.0</v>
      </c>
      <c r="B987" s="16" t="s">
        <v>5068</v>
      </c>
      <c r="C987" s="20" t="s">
        <v>5069</v>
      </c>
      <c r="D987" s="21"/>
      <c r="E987" s="22" t="s">
        <v>5070</v>
      </c>
      <c r="H987" s="23" t="s">
        <v>5071</v>
      </c>
      <c r="I987" s="21"/>
      <c r="J987" s="25"/>
      <c r="K987" s="26" t="s">
        <v>44</v>
      </c>
      <c r="L987" s="16"/>
      <c r="M987" s="21"/>
    </row>
    <row r="988">
      <c r="A988" s="28">
        <v>46232.0</v>
      </c>
      <c r="B988" s="16" t="s">
        <v>5072</v>
      </c>
      <c r="C988" s="20" t="s">
        <v>5073</v>
      </c>
      <c r="D988" s="21"/>
      <c r="E988" s="22" t="s">
        <v>5074</v>
      </c>
      <c r="H988" s="23" t="s">
        <v>5075</v>
      </c>
      <c r="I988" s="21"/>
      <c r="J988" s="25"/>
      <c r="K988" s="26" t="s">
        <v>44</v>
      </c>
      <c r="L988" s="16"/>
      <c r="M988" s="21"/>
    </row>
    <row r="989">
      <c r="A989" s="28">
        <v>46232.0</v>
      </c>
      <c r="B989" s="16" t="s">
        <v>5076</v>
      </c>
      <c r="C989" s="20" t="s">
        <v>5077</v>
      </c>
      <c r="D989" s="21"/>
      <c r="E989" s="22" t="s">
        <v>5078</v>
      </c>
      <c r="H989" s="23" t="s">
        <v>5079</v>
      </c>
      <c r="I989" s="21"/>
      <c r="J989" s="25"/>
      <c r="K989" s="26" t="s">
        <v>44</v>
      </c>
      <c r="L989" s="16"/>
      <c r="M989" s="21"/>
    </row>
    <row r="990">
      <c r="A990" s="28">
        <v>46232.0</v>
      </c>
      <c r="B990" s="16" t="s">
        <v>5080</v>
      </c>
      <c r="C990" s="20" t="s">
        <v>5081</v>
      </c>
      <c r="D990" s="21"/>
      <c r="E990" s="22" t="s">
        <v>5082</v>
      </c>
      <c r="H990" s="23" t="s">
        <v>614</v>
      </c>
      <c r="I990" s="21"/>
      <c r="J990" s="25"/>
      <c r="K990" s="26" t="s">
        <v>44</v>
      </c>
      <c r="L990" s="16"/>
      <c r="M990" s="21"/>
    </row>
    <row r="991">
      <c r="A991" s="28">
        <v>46232.0</v>
      </c>
      <c r="B991" s="16" t="s">
        <v>5083</v>
      </c>
      <c r="C991" s="20" t="s">
        <v>5084</v>
      </c>
      <c r="D991" s="21"/>
      <c r="E991" s="22" t="s">
        <v>5085</v>
      </c>
      <c r="H991" s="23" t="s">
        <v>80</v>
      </c>
      <c r="I991" s="21"/>
      <c r="J991" s="25"/>
      <c r="K991" s="26" t="s">
        <v>44</v>
      </c>
      <c r="L991" s="16"/>
      <c r="M991" s="21"/>
    </row>
    <row r="992">
      <c r="A992" s="28">
        <v>46232.0</v>
      </c>
      <c r="B992" s="16" t="s">
        <v>5086</v>
      </c>
      <c r="C992" s="20" t="s">
        <v>5087</v>
      </c>
      <c r="D992" s="21"/>
      <c r="E992" s="22" t="s">
        <v>5088</v>
      </c>
      <c r="H992" s="23" t="s">
        <v>404</v>
      </c>
      <c r="I992" s="21"/>
      <c r="J992" s="25"/>
      <c r="K992" s="26" t="s">
        <v>44</v>
      </c>
      <c r="L992" s="16"/>
      <c r="M992" s="21"/>
    </row>
    <row r="993">
      <c r="A993" s="28">
        <v>46232.0</v>
      </c>
      <c r="B993" s="16" t="s">
        <v>5089</v>
      </c>
      <c r="C993" s="20" t="s">
        <v>5090</v>
      </c>
      <c r="D993" s="21"/>
      <c r="E993" s="22" t="s">
        <v>5091</v>
      </c>
      <c r="H993" s="23" t="s">
        <v>5092</v>
      </c>
      <c r="I993" s="21"/>
      <c r="J993" s="25"/>
      <c r="K993" s="26" t="s">
        <v>44</v>
      </c>
      <c r="L993" s="16"/>
      <c r="M993" s="21"/>
    </row>
    <row r="994">
      <c r="A994" s="28">
        <v>46232.0</v>
      </c>
      <c r="B994" s="16" t="s">
        <v>5093</v>
      </c>
      <c r="C994" s="20" t="s">
        <v>5094</v>
      </c>
      <c r="D994" s="21"/>
      <c r="E994" s="22" t="s">
        <v>5095</v>
      </c>
      <c r="H994" s="23" t="s">
        <v>5096</v>
      </c>
      <c r="I994" s="21"/>
      <c r="J994" s="25"/>
      <c r="K994" s="26" t="s">
        <v>44</v>
      </c>
      <c r="L994" s="16"/>
      <c r="M994" s="21"/>
    </row>
    <row r="995">
      <c r="A995" s="28">
        <v>46232.0</v>
      </c>
      <c r="B995" s="16" t="s">
        <v>5097</v>
      </c>
      <c r="C995" s="20" t="s">
        <v>5098</v>
      </c>
      <c r="D995" s="21"/>
      <c r="E995" s="22" t="s">
        <v>5099</v>
      </c>
      <c r="H995" s="23" t="s">
        <v>5100</v>
      </c>
      <c r="I995" s="21"/>
      <c r="J995" s="25"/>
      <c r="K995" s="26" t="s">
        <v>44</v>
      </c>
      <c r="L995" s="16"/>
      <c r="M995" s="21"/>
    </row>
    <row r="996">
      <c r="A996" s="28">
        <v>46232.0</v>
      </c>
      <c r="B996" s="16" t="s">
        <v>5101</v>
      </c>
      <c r="C996" s="20" t="s">
        <v>5102</v>
      </c>
      <c r="D996" s="21"/>
      <c r="E996" s="22" t="s">
        <v>5103</v>
      </c>
      <c r="H996" s="23" t="s">
        <v>1534</v>
      </c>
      <c r="I996" s="21"/>
      <c r="J996" s="25"/>
      <c r="K996" s="26" t="s">
        <v>44</v>
      </c>
      <c r="L996" s="16"/>
      <c r="M996" s="21"/>
    </row>
    <row r="997">
      <c r="A997" s="28">
        <v>46232.0</v>
      </c>
      <c r="B997" s="16" t="s">
        <v>5104</v>
      </c>
      <c r="C997" s="20" t="s">
        <v>5105</v>
      </c>
      <c r="D997" s="21"/>
      <c r="E997" s="22" t="s">
        <v>5106</v>
      </c>
      <c r="H997" s="23" t="s">
        <v>5107</v>
      </c>
      <c r="I997" s="21"/>
      <c r="J997" s="25"/>
      <c r="K997" s="26" t="s">
        <v>44</v>
      </c>
      <c r="L997" s="16"/>
      <c r="M997" s="21"/>
    </row>
    <row r="998">
      <c r="A998" s="28">
        <v>46232.0</v>
      </c>
      <c r="B998" s="16" t="s">
        <v>5108</v>
      </c>
      <c r="C998" s="20" t="s">
        <v>5109</v>
      </c>
      <c r="D998" s="21"/>
      <c r="E998" s="22" t="s">
        <v>5110</v>
      </c>
      <c r="H998" s="23" t="s">
        <v>65</v>
      </c>
      <c r="I998" s="21"/>
      <c r="J998" s="25"/>
      <c r="K998" s="26" t="s">
        <v>44</v>
      </c>
      <c r="L998" s="16"/>
      <c r="M998" s="21"/>
    </row>
    <row r="999">
      <c r="A999" s="28">
        <v>46232.0</v>
      </c>
      <c r="B999" s="16" t="s">
        <v>5111</v>
      </c>
      <c r="C999" s="20" t="s">
        <v>5112</v>
      </c>
      <c r="D999" s="21"/>
      <c r="E999" s="22" t="s">
        <v>5113</v>
      </c>
      <c r="H999" s="23" t="s">
        <v>1250</v>
      </c>
      <c r="I999" s="21"/>
      <c r="J999" s="25"/>
      <c r="K999" s="26" t="s">
        <v>44</v>
      </c>
      <c r="L999" s="16"/>
      <c r="M999" s="21"/>
    </row>
    <row r="1000">
      <c r="A1000" s="28">
        <v>46232.0</v>
      </c>
      <c r="B1000" s="16" t="s">
        <v>5114</v>
      </c>
      <c r="C1000" s="20" t="s">
        <v>5115</v>
      </c>
      <c r="D1000" s="21"/>
      <c r="E1000" s="22" t="s">
        <v>5116</v>
      </c>
      <c r="H1000" s="23" t="s">
        <v>5117</v>
      </c>
      <c r="I1000" s="21"/>
      <c r="J1000" s="25"/>
      <c r="K1000" s="26" t="s">
        <v>44</v>
      </c>
      <c r="L1000" s="16"/>
      <c r="M1000" s="21"/>
    </row>
    <row r="1001">
      <c r="A1001" s="28">
        <v>46232.0</v>
      </c>
      <c r="B1001" s="16" t="s">
        <v>5118</v>
      </c>
      <c r="C1001" s="20" t="s">
        <v>5119</v>
      </c>
      <c r="D1001" s="21"/>
      <c r="E1001" s="22" t="s">
        <v>5120</v>
      </c>
      <c r="H1001" s="23" t="s">
        <v>5121</v>
      </c>
      <c r="I1001" s="21"/>
      <c r="J1001" s="25"/>
      <c r="K1001" s="26" t="s">
        <v>44</v>
      </c>
      <c r="L1001" s="16"/>
      <c r="M1001" s="21"/>
    </row>
    <row r="1002">
      <c r="A1002" s="28">
        <v>46232.0</v>
      </c>
      <c r="B1002" s="16" t="s">
        <v>5122</v>
      </c>
      <c r="C1002" s="20" t="s">
        <v>5123</v>
      </c>
      <c r="D1002" s="21"/>
      <c r="E1002" s="22" t="s">
        <v>5124</v>
      </c>
      <c r="H1002" s="23" t="s">
        <v>1881</v>
      </c>
      <c r="I1002" s="21"/>
      <c r="J1002" s="25"/>
      <c r="K1002" s="26" t="s">
        <v>44</v>
      </c>
      <c r="L1002" s="16"/>
      <c r="M1002" s="21"/>
    </row>
    <row r="1003">
      <c r="A1003" s="28">
        <v>46232.0</v>
      </c>
      <c r="B1003" s="16" t="s">
        <v>5126</v>
      </c>
      <c r="C1003" s="20" t="s">
        <v>5127</v>
      </c>
      <c r="D1003" s="21"/>
      <c r="E1003" s="22" t="s">
        <v>5128</v>
      </c>
      <c r="H1003" s="23" t="s">
        <v>84</v>
      </c>
      <c r="I1003" s="21"/>
      <c r="J1003" s="25"/>
      <c r="K1003" s="26" t="s">
        <v>44</v>
      </c>
      <c r="L1003" s="16"/>
      <c r="M1003" s="21"/>
    </row>
    <row r="1004">
      <c r="A1004" s="28">
        <v>46232.0</v>
      </c>
      <c r="B1004" s="16" t="s">
        <v>5129</v>
      </c>
      <c r="C1004" s="20" t="s">
        <v>5130</v>
      </c>
      <c r="D1004" s="21"/>
      <c r="E1004" s="22" t="s">
        <v>5131</v>
      </c>
      <c r="H1004" s="23" t="s">
        <v>5132</v>
      </c>
      <c r="I1004" s="21"/>
      <c r="J1004" s="25"/>
      <c r="K1004" s="26" t="s">
        <v>44</v>
      </c>
      <c r="L1004" s="16"/>
      <c r="M1004" s="21"/>
    </row>
    <row r="1005">
      <c r="A1005" s="28">
        <v>46232.0</v>
      </c>
      <c r="B1005" s="16" t="s">
        <v>5133</v>
      </c>
      <c r="C1005" s="20" t="s">
        <v>5134</v>
      </c>
      <c r="D1005" s="21"/>
      <c r="E1005" s="22" t="s">
        <v>5135</v>
      </c>
      <c r="H1005" s="23" t="s">
        <v>5136</v>
      </c>
      <c r="I1005" s="21"/>
      <c r="J1005" s="25"/>
      <c r="K1005" s="26" t="s">
        <v>44</v>
      </c>
      <c r="L1005" s="16"/>
      <c r="M1005" s="21"/>
    </row>
    <row r="1006">
      <c r="A1006" s="28">
        <v>46232.0</v>
      </c>
      <c r="B1006" s="16" t="s">
        <v>5137</v>
      </c>
      <c r="C1006" s="20" t="s">
        <v>5138</v>
      </c>
      <c r="D1006" s="21"/>
      <c r="E1006" s="22" t="s">
        <v>5139</v>
      </c>
      <c r="H1006" s="23" t="s">
        <v>1898</v>
      </c>
      <c r="I1006" s="21"/>
      <c r="J1006" s="25"/>
      <c r="K1006" s="26" t="s">
        <v>44</v>
      </c>
      <c r="L1006" s="16"/>
      <c r="M1006" s="21"/>
    </row>
    <row r="1007">
      <c r="A1007" s="28">
        <v>46232.0</v>
      </c>
      <c r="B1007" s="16" t="s">
        <v>5140</v>
      </c>
      <c r="C1007" s="20" t="s">
        <v>5141</v>
      </c>
      <c r="D1007" s="21"/>
      <c r="E1007" s="22" t="s">
        <v>5142</v>
      </c>
      <c r="H1007" s="23" t="s">
        <v>2549</v>
      </c>
      <c r="I1007" s="21"/>
      <c r="J1007" s="25"/>
      <c r="K1007" s="26" t="s">
        <v>44</v>
      </c>
      <c r="L1007" s="16"/>
      <c r="M1007" s="21"/>
    </row>
    <row r="1008">
      <c r="A1008" s="28">
        <v>46232.0</v>
      </c>
      <c r="B1008" s="16" t="s">
        <v>5143</v>
      </c>
      <c r="C1008" s="20" t="s">
        <v>5144</v>
      </c>
      <c r="D1008" s="21"/>
      <c r="E1008" s="22" t="s">
        <v>5145</v>
      </c>
      <c r="H1008" s="23" t="s">
        <v>1608</v>
      </c>
      <c r="I1008" s="21"/>
      <c r="J1008" s="25"/>
      <c r="K1008" s="26" t="s">
        <v>44</v>
      </c>
      <c r="L1008" s="16"/>
      <c r="M1008" s="21"/>
    </row>
    <row r="1009">
      <c r="A1009" s="28">
        <v>46232.0</v>
      </c>
      <c r="B1009" s="16" t="s">
        <v>5146</v>
      </c>
      <c r="C1009" s="20" t="s">
        <v>5147</v>
      </c>
      <c r="D1009" s="21"/>
      <c r="E1009" s="22" t="s">
        <v>5148</v>
      </c>
      <c r="H1009" s="23" t="s">
        <v>5149</v>
      </c>
      <c r="I1009" s="21"/>
      <c r="J1009" s="25"/>
      <c r="K1009" s="26" t="s">
        <v>44</v>
      </c>
      <c r="L1009" s="16"/>
      <c r="M1009" s="21"/>
    </row>
    <row r="1010">
      <c r="A1010" s="28">
        <v>46232.0</v>
      </c>
      <c r="B1010" s="16" t="s">
        <v>5150</v>
      </c>
      <c r="C1010" s="20" t="s">
        <v>5151</v>
      </c>
      <c r="D1010" s="21"/>
      <c r="E1010" s="22" t="s">
        <v>5152</v>
      </c>
      <c r="H1010" s="23" t="s">
        <v>412</v>
      </c>
      <c r="I1010" s="21"/>
      <c r="J1010" s="25"/>
      <c r="K1010" s="26" t="s">
        <v>44</v>
      </c>
      <c r="L1010" s="16"/>
      <c r="M1010" s="21"/>
    </row>
    <row r="1011">
      <c r="A1011" s="28">
        <v>46232.0</v>
      </c>
      <c r="B1011" s="16" t="s">
        <v>5153</v>
      </c>
      <c r="C1011" s="20" t="s">
        <v>5154</v>
      </c>
      <c r="D1011" s="21"/>
      <c r="E1011" s="22" t="s">
        <v>5155</v>
      </c>
      <c r="H1011" s="23" t="s">
        <v>4575</v>
      </c>
      <c r="I1011" s="21"/>
      <c r="J1011" s="25"/>
      <c r="K1011" s="26" t="s">
        <v>44</v>
      </c>
      <c r="L1011" s="16"/>
      <c r="M1011" s="21"/>
    </row>
    <row r="1012">
      <c r="A1012" s="28">
        <v>46232.0</v>
      </c>
      <c r="B1012" s="16" t="s">
        <v>5156</v>
      </c>
      <c r="C1012" s="20" t="s">
        <v>5157</v>
      </c>
      <c r="D1012" s="21"/>
      <c r="E1012" s="22" t="s">
        <v>5158</v>
      </c>
      <c r="H1012" s="23" t="s">
        <v>48</v>
      </c>
      <c r="I1012" s="21"/>
      <c r="J1012" s="25"/>
      <c r="K1012" s="26" t="s">
        <v>44</v>
      </c>
      <c r="L1012" s="16"/>
      <c r="M1012" s="21"/>
    </row>
    <row r="1013">
      <c r="A1013" s="28">
        <v>46232.0</v>
      </c>
      <c r="B1013" s="16" t="s">
        <v>5159</v>
      </c>
      <c r="C1013" s="20" t="s">
        <v>5160</v>
      </c>
      <c r="D1013" s="21"/>
      <c r="E1013" s="22" t="s">
        <v>5161</v>
      </c>
      <c r="H1013" s="23" t="s">
        <v>751</v>
      </c>
      <c r="I1013" s="21"/>
      <c r="J1013" s="25"/>
      <c r="K1013" s="26" t="s">
        <v>44</v>
      </c>
      <c r="L1013" s="16"/>
      <c r="M1013" s="21"/>
    </row>
    <row r="1014">
      <c r="A1014" s="28">
        <v>46232.0</v>
      </c>
      <c r="B1014" s="16" t="s">
        <v>5162</v>
      </c>
      <c r="C1014" s="20" t="s">
        <v>5163</v>
      </c>
      <c r="D1014" s="21"/>
      <c r="E1014" s="22" t="s">
        <v>5164</v>
      </c>
      <c r="H1014" s="23" t="s">
        <v>1250</v>
      </c>
      <c r="I1014" s="21"/>
      <c r="J1014" s="25"/>
      <c r="K1014" s="26" t="s">
        <v>44</v>
      </c>
      <c r="L1014" s="16"/>
      <c r="M1014" s="21"/>
    </row>
    <row r="1015">
      <c r="A1015" s="28">
        <v>46232.0</v>
      </c>
      <c r="B1015" s="16" t="s">
        <v>5165</v>
      </c>
      <c r="C1015" s="20" t="s">
        <v>5166</v>
      </c>
      <c r="D1015" s="21"/>
      <c r="E1015" s="22" t="s">
        <v>5167</v>
      </c>
      <c r="H1015" s="23" t="s">
        <v>5168</v>
      </c>
      <c r="I1015" s="21"/>
      <c r="J1015" s="25"/>
      <c r="K1015" s="26" t="s">
        <v>44</v>
      </c>
      <c r="L1015" s="16"/>
      <c r="M1015" s="21"/>
    </row>
    <row r="1016">
      <c r="A1016" s="28">
        <v>46232.0</v>
      </c>
      <c r="B1016" s="16" t="s">
        <v>5169</v>
      </c>
      <c r="C1016" s="20" t="s">
        <v>5170</v>
      </c>
      <c r="D1016" s="21"/>
      <c r="E1016" s="37" t="s">
        <v>5171</v>
      </c>
      <c r="H1016" s="23" t="s">
        <v>1967</v>
      </c>
      <c r="I1016" s="21"/>
      <c r="J1016" s="25"/>
      <c r="K1016" s="26" t="s">
        <v>44</v>
      </c>
      <c r="L1016" s="16"/>
      <c r="M1016" s="21"/>
    </row>
    <row r="1017">
      <c r="A1017" s="28">
        <v>46232.0</v>
      </c>
      <c r="B1017" s="16" t="s">
        <v>5172</v>
      </c>
      <c r="C1017" s="20" t="s">
        <v>5173</v>
      </c>
      <c r="D1017" s="21"/>
      <c r="E1017" s="22" t="s">
        <v>5174</v>
      </c>
      <c r="H1017" s="23" t="s">
        <v>5175</v>
      </c>
      <c r="I1017" s="21"/>
      <c r="J1017" s="25"/>
      <c r="K1017" s="26" t="s">
        <v>44</v>
      </c>
      <c r="L1017" s="16"/>
      <c r="M1017" s="21"/>
    </row>
    <row r="1018">
      <c r="A1018" s="28">
        <v>46232.0</v>
      </c>
      <c r="B1018" s="16" t="s">
        <v>5176</v>
      </c>
      <c r="C1018" s="20" t="s">
        <v>5177</v>
      </c>
      <c r="D1018" s="21"/>
      <c r="E1018" s="22" t="s">
        <v>5178</v>
      </c>
      <c r="H1018" s="23" t="s">
        <v>1746</v>
      </c>
      <c r="I1018" s="21"/>
      <c r="J1018" s="25"/>
      <c r="K1018" s="26" t="s">
        <v>44</v>
      </c>
      <c r="L1018" s="16"/>
      <c r="M1018" s="21"/>
    </row>
    <row r="1019">
      <c r="A1019" s="28">
        <v>46232.0</v>
      </c>
      <c r="B1019" s="16" t="s">
        <v>5179</v>
      </c>
      <c r="C1019" s="20" t="s">
        <v>5180</v>
      </c>
      <c r="D1019" s="21"/>
      <c r="E1019" s="22" t="s">
        <v>5181</v>
      </c>
      <c r="H1019" s="23" t="s">
        <v>47</v>
      </c>
      <c r="I1019" s="21"/>
      <c r="J1019" s="25"/>
      <c r="K1019" s="26" t="s">
        <v>44</v>
      </c>
      <c r="L1019" s="16"/>
      <c r="M1019" s="21"/>
    </row>
    <row r="1020">
      <c r="A1020" s="28">
        <v>46232.0</v>
      </c>
      <c r="B1020" s="16" t="s">
        <v>5182</v>
      </c>
      <c r="C1020" s="20" t="s">
        <v>5183</v>
      </c>
      <c r="D1020" s="21"/>
      <c r="E1020" s="22" t="s">
        <v>5184</v>
      </c>
      <c r="H1020" s="23" t="s">
        <v>80</v>
      </c>
      <c r="I1020" s="21"/>
      <c r="J1020" s="25"/>
      <c r="K1020" s="26" t="s">
        <v>44</v>
      </c>
      <c r="L1020" s="16"/>
      <c r="M1020" s="21"/>
    </row>
    <row r="1021">
      <c r="A1021" s="28">
        <v>46232.0</v>
      </c>
      <c r="B1021" s="16" t="s">
        <v>5185</v>
      </c>
      <c r="C1021" s="20" t="s">
        <v>5186</v>
      </c>
      <c r="D1021" s="21"/>
      <c r="E1021" s="22" t="s">
        <v>5187</v>
      </c>
      <c r="H1021" s="23" t="s">
        <v>2606</v>
      </c>
      <c r="I1021" s="21"/>
      <c r="J1021" s="25"/>
      <c r="K1021" s="26" t="s">
        <v>44</v>
      </c>
      <c r="L1021" s="16"/>
      <c r="M1021" s="21"/>
    </row>
    <row r="1022">
      <c r="A1022" s="28">
        <v>46232.0</v>
      </c>
      <c r="B1022" s="16" t="s">
        <v>5188</v>
      </c>
      <c r="C1022" s="20" t="s">
        <v>5189</v>
      </c>
      <c r="D1022" s="21"/>
      <c r="E1022" s="22" t="s">
        <v>5190</v>
      </c>
      <c r="H1022" s="23" t="s">
        <v>65</v>
      </c>
      <c r="I1022" s="21"/>
      <c r="J1022" s="25"/>
      <c r="K1022" s="26" t="s">
        <v>44</v>
      </c>
      <c r="L1022" s="16"/>
      <c r="M1022" s="21"/>
    </row>
    <row r="1023">
      <c r="A1023" s="28">
        <v>46232.0</v>
      </c>
      <c r="B1023" s="16" t="s">
        <v>5191</v>
      </c>
      <c r="C1023" s="20" t="s">
        <v>5192</v>
      </c>
      <c r="D1023" s="21"/>
      <c r="E1023" s="22" t="s">
        <v>5193</v>
      </c>
      <c r="H1023" s="23" t="s">
        <v>69</v>
      </c>
      <c r="I1023" s="21"/>
      <c r="J1023" s="25"/>
      <c r="K1023" s="26" t="s">
        <v>44</v>
      </c>
      <c r="L1023" s="16"/>
      <c r="M1023" s="21"/>
    </row>
    <row r="1024">
      <c r="A1024" s="28">
        <v>46232.0</v>
      </c>
      <c r="B1024" s="16" t="s">
        <v>5194</v>
      </c>
      <c r="C1024" s="20" t="s">
        <v>5195</v>
      </c>
      <c r="D1024" s="21"/>
      <c r="E1024" s="22" t="s">
        <v>5196</v>
      </c>
      <c r="H1024" s="23" t="s">
        <v>5197</v>
      </c>
      <c r="I1024" s="21"/>
      <c r="J1024" s="25"/>
      <c r="K1024" s="26" t="s">
        <v>44</v>
      </c>
      <c r="L1024" s="16"/>
      <c r="M1024" s="21"/>
    </row>
    <row r="1025">
      <c r="A1025" s="28">
        <v>46232.0</v>
      </c>
      <c r="B1025" s="16" t="s">
        <v>5198</v>
      </c>
      <c r="C1025" s="20" t="s">
        <v>5199</v>
      </c>
      <c r="D1025" s="21"/>
      <c r="E1025" s="22" t="s">
        <v>5200</v>
      </c>
      <c r="H1025" s="23" t="s">
        <v>5201</v>
      </c>
      <c r="I1025" s="21"/>
      <c r="J1025" s="25"/>
      <c r="K1025" s="26" t="s">
        <v>44</v>
      </c>
      <c r="L1025" s="16"/>
      <c r="M1025" s="21"/>
    </row>
    <row r="1026">
      <c r="A1026" s="28">
        <v>46232.0</v>
      </c>
      <c r="B1026" s="16" t="s">
        <v>5202</v>
      </c>
      <c r="C1026" s="20" t="s">
        <v>5203</v>
      </c>
      <c r="D1026" s="21"/>
      <c r="E1026" s="22" t="s">
        <v>5204</v>
      </c>
      <c r="H1026" s="23" t="s">
        <v>5205</v>
      </c>
      <c r="I1026" s="21"/>
      <c r="J1026" s="25"/>
      <c r="K1026" s="26" t="s">
        <v>44</v>
      </c>
      <c r="L1026" s="16"/>
      <c r="M1026" s="21"/>
    </row>
    <row r="1027">
      <c r="A1027" s="28">
        <v>46232.0</v>
      </c>
      <c r="B1027" s="16" t="s">
        <v>5206</v>
      </c>
      <c r="C1027" s="20" t="s">
        <v>5207</v>
      </c>
      <c r="D1027" s="21"/>
      <c r="E1027" s="22" t="s">
        <v>5208</v>
      </c>
      <c r="H1027" s="23" t="s">
        <v>5107</v>
      </c>
      <c r="I1027" s="21"/>
      <c r="J1027" s="25"/>
      <c r="K1027" s="26" t="s">
        <v>44</v>
      </c>
      <c r="L1027" s="16"/>
      <c r="M1027" s="21"/>
    </row>
    <row r="1028">
      <c r="A1028" s="28">
        <v>46232.0</v>
      </c>
      <c r="B1028" s="16" t="s">
        <v>5209</v>
      </c>
      <c r="C1028" s="20" t="s">
        <v>5210</v>
      </c>
      <c r="D1028" s="21"/>
      <c r="E1028" s="22" t="s">
        <v>5211</v>
      </c>
      <c r="H1028" s="23" t="s">
        <v>69</v>
      </c>
      <c r="I1028" s="21"/>
      <c r="J1028" s="25"/>
      <c r="K1028" s="26" t="s">
        <v>44</v>
      </c>
      <c r="L1028" s="16"/>
      <c r="M1028" s="21"/>
    </row>
    <row r="1029">
      <c r="A1029" s="28">
        <v>46232.0</v>
      </c>
      <c r="B1029" s="16" t="s">
        <v>5212</v>
      </c>
      <c r="C1029" s="20" t="s">
        <v>5213</v>
      </c>
      <c r="D1029" s="21"/>
      <c r="E1029" s="22" t="s">
        <v>5214</v>
      </c>
      <c r="H1029" s="23" t="s">
        <v>48</v>
      </c>
      <c r="I1029" s="21"/>
      <c r="J1029" s="25"/>
      <c r="K1029" s="26" t="s">
        <v>44</v>
      </c>
      <c r="L1029" s="16"/>
      <c r="M1029" s="21"/>
    </row>
    <row r="1030">
      <c r="A1030" s="28">
        <v>46232.0</v>
      </c>
      <c r="B1030" s="16" t="s">
        <v>5215</v>
      </c>
      <c r="C1030" s="20" t="s">
        <v>5216</v>
      </c>
      <c r="D1030" s="21"/>
      <c r="E1030" s="22" t="s">
        <v>5217</v>
      </c>
      <c r="H1030" s="23" t="s">
        <v>5218</v>
      </c>
      <c r="I1030" s="21"/>
      <c r="J1030" s="25"/>
      <c r="K1030" s="26" t="s">
        <v>44</v>
      </c>
      <c r="L1030" s="16"/>
      <c r="M1030" s="21"/>
    </row>
    <row r="1031">
      <c r="A1031" s="28">
        <v>46232.0</v>
      </c>
      <c r="B1031" s="16" t="s">
        <v>5219</v>
      </c>
      <c r="C1031" s="20" t="s">
        <v>5220</v>
      </c>
      <c r="D1031" s="21"/>
      <c r="E1031" s="22" t="s">
        <v>5221</v>
      </c>
      <c r="H1031" s="23" t="s">
        <v>5222</v>
      </c>
      <c r="I1031" s="21"/>
      <c r="J1031" s="25"/>
      <c r="K1031" s="26" t="s">
        <v>44</v>
      </c>
      <c r="L1031" s="16"/>
      <c r="M1031" s="21"/>
    </row>
    <row r="1032">
      <c r="A1032" s="28">
        <v>46232.0</v>
      </c>
      <c r="B1032" s="16" t="s">
        <v>5223</v>
      </c>
      <c r="C1032" s="20" t="s">
        <v>5224</v>
      </c>
      <c r="D1032" s="21"/>
      <c r="E1032" s="22" t="s">
        <v>5225</v>
      </c>
      <c r="H1032" s="23" t="s">
        <v>583</v>
      </c>
      <c r="I1032" s="21"/>
      <c r="J1032" s="25"/>
      <c r="K1032" s="26" t="s">
        <v>44</v>
      </c>
      <c r="L1032" s="16"/>
      <c r="M1032" s="21"/>
    </row>
    <row r="1033">
      <c r="A1033" s="28">
        <v>46232.0</v>
      </c>
      <c r="B1033" s="16" t="s">
        <v>5226</v>
      </c>
      <c r="C1033" s="20" t="s">
        <v>5227</v>
      </c>
      <c r="D1033" s="21"/>
      <c r="E1033" s="22" t="s">
        <v>5228</v>
      </c>
      <c r="H1033" s="23" t="s">
        <v>4986</v>
      </c>
      <c r="I1033" s="21"/>
      <c r="J1033" s="25"/>
      <c r="K1033" s="26" t="s">
        <v>44</v>
      </c>
      <c r="L1033" s="16"/>
      <c r="M1033" s="21"/>
    </row>
    <row r="1034">
      <c r="A1034" s="28">
        <v>46232.0</v>
      </c>
      <c r="B1034" s="16" t="s">
        <v>5229</v>
      </c>
      <c r="C1034" s="20" t="s">
        <v>5230</v>
      </c>
      <c r="D1034" s="21"/>
      <c r="E1034" s="22" t="s">
        <v>5231</v>
      </c>
      <c r="H1034" s="23" t="s">
        <v>5232</v>
      </c>
      <c r="I1034" s="21"/>
      <c r="J1034" s="25"/>
      <c r="K1034" s="26" t="s">
        <v>44</v>
      </c>
      <c r="L1034" s="16"/>
      <c r="M1034" s="21"/>
    </row>
    <row r="1035">
      <c r="A1035" s="28">
        <v>46232.0</v>
      </c>
      <c r="B1035" s="16" t="s">
        <v>5233</v>
      </c>
      <c r="C1035" s="20" t="s">
        <v>5234</v>
      </c>
      <c r="D1035" s="21"/>
      <c r="E1035" s="22" t="s">
        <v>5235</v>
      </c>
      <c r="H1035" s="23" t="s">
        <v>5236</v>
      </c>
      <c r="I1035" s="21"/>
      <c r="J1035" s="25"/>
      <c r="K1035" s="26" t="s">
        <v>44</v>
      </c>
      <c r="L1035" s="16"/>
      <c r="M1035" s="21"/>
    </row>
    <row r="1036">
      <c r="A1036" s="28">
        <v>46232.0</v>
      </c>
      <c r="B1036" s="16" t="s">
        <v>5237</v>
      </c>
      <c r="C1036" s="20" t="s">
        <v>5238</v>
      </c>
      <c r="D1036" s="21"/>
      <c r="E1036" s="22" t="s">
        <v>5239</v>
      </c>
      <c r="H1036" s="23" t="s">
        <v>279</v>
      </c>
      <c r="I1036" s="21"/>
      <c r="J1036" s="25"/>
      <c r="K1036" s="26" t="s">
        <v>44</v>
      </c>
      <c r="L1036" s="16"/>
      <c r="M1036" s="21"/>
    </row>
    <row r="1037">
      <c r="A1037" s="28">
        <v>46232.0</v>
      </c>
      <c r="B1037" s="16" t="s">
        <v>5240</v>
      </c>
      <c r="C1037" s="20" t="s">
        <v>5241</v>
      </c>
      <c r="D1037" s="21"/>
      <c r="E1037" s="22" t="s">
        <v>5242</v>
      </c>
      <c r="H1037" s="23" t="s">
        <v>69</v>
      </c>
      <c r="I1037" s="21"/>
      <c r="J1037" s="25"/>
      <c r="K1037" s="26" t="s">
        <v>44</v>
      </c>
      <c r="L1037" s="16"/>
      <c r="M1037" s="21"/>
    </row>
    <row r="1038">
      <c r="A1038" s="28">
        <v>46232.0</v>
      </c>
      <c r="B1038" s="16" t="s">
        <v>5243</v>
      </c>
      <c r="C1038" s="20" t="s">
        <v>5244</v>
      </c>
      <c r="D1038" s="21"/>
      <c r="E1038" s="22" t="s">
        <v>5245</v>
      </c>
      <c r="H1038" s="23" t="s">
        <v>5246</v>
      </c>
      <c r="I1038" s="21"/>
      <c r="J1038" s="25"/>
      <c r="K1038" s="26" t="s">
        <v>44</v>
      </c>
      <c r="L1038" s="16"/>
      <c r="M1038" s="21"/>
    </row>
    <row r="1039">
      <c r="A1039" s="28">
        <v>46232.0</v>
      </c>
      <c r="B1039" s="16" t="s">
        <v>5247</v>
      </c>
      <c r="C1039" s="20" t="s">
        <v>5248</v>
      </c>
      <c r="D1039" s="21"/>
      <c r="E1039" s="22" t="s">
        <v>5249</v>
      </c>
      <c r="H1039" s="23" t="s">
        <v>2251</v>
      </c>
      <c r="I1039" s="21"/>
      <c r="J1039" s="25"/>
      <c r="K1039" s="26" t="s">
        <v>44</v>
      </c>
      <c r="L1039" s="16"/>
      <c r="M1039" s="21"/>
    </row>
    <row r="1040">
      <c r="A1040" s="28">
        <v>46232.0</v>
      </c>
      <c r="B1040" s="16" t="s">
        <v>5250</v>
      </c>
      <c r="C1040" s="20" t="s">
        <v>5251</v>
      </c>
      <c r="D1040" s="21"/>
      <c r="E1040" s="22" t="s">
        <v>5252</v>
      </c>
      <c r="H1040" s="23" t="s">
        <v>5253</v>
      </c>
      <c r="I1040" s="21"/>
      <c r="J1040" s="25"/>
      <c r="K1040" s="26" t="s">
        <v>44</v>
      </c>
      <c r="L1040" s="16"/>
      <c r="M1040" s="21"/>
    </row>
    <row r="1041">
      <c r="A1041" s="28">
        <v>46232.0</v>
      </c>
      <c r="B1041" s="16" t="s">
        <v>5254</v>
      </c>
      <c r="C1041" s="20" t="s">
        <v>5255</v>
      </c>
      <c r="D1041" s="21"/>
      <c r="E1041" s="22" t="s">
        <v>5256</v>
      </c>
      <c r="H1041" s="23" t="s">
        <v>5257</v>
      </c>
      <c r="I1041" s="21"/>
      <c r="J1041" s="25"/>
      <c r="K1041" s="26" t="s">
        <v>44</v>
      </c>
      <c r="L1041" s="16"/>
      <c r="M1041" s="21"/>
    </row>
    <row r="1042">
      <c r="A1042" s="28">
        <v>46232.0</v>
      </c>
      <c r="B1042" s="16" t="s">
        <v>5258</v>
      </c>
      <c r="C1042" s="20" t="s">
        <v>5259</v>
      </c>
      <c r="D1042" s="21"/>
      <c r="E1042" s="22" t="s">
        <v>5260</v>
      </c>
      <c r="H1042" s="23" t="s">
        <v>2697</v>
      </c>
      <c r="I1042" s="21"/>
      <c r="J1042" s="25"/>
      <c r="K1042" s="26" t="s">
        <v>44</v>
      </c>
      <c r="L1042" s="16"/>
      <c r="M1042" s="21"/>
    </row>
    <row r="1043">
      <c r="A1043" s="28">
        <v>46232.0</v>
      </c>
      <c r="B1043" s="16" t="s">
        <v>5261</v>
      </c>
      <c r="C1043" s="20" t="s">
        <v>5262</v>
      </c>
      <c r="D1043" s="21"/>
      <c r="E1043" s="22" t="s">
        <v>5263</v>
      </c>
      <c r="H1043" s="23" t="s">
        <v>5264</v>
      </c>
      <c r="I1043" s="21"/>
      <c r="J1043" s="25"/>
      <c r="K1043" s="26" t="s">
        <v>44</v>
      </c>
      <c r="L1043" s="16"/>
      <c r="M1043" s="21"/>
    </row>
    <row r="1044">
      <c r="A1044" s="28">
        <v>46232.0</v>
      </c>
      <c r="B1044" s="16" t="s">
        <v>5265</v>
      </c>
      <c r="C1044" s="20" t="s">
        <v>5266</v>
      </c>
      <c r="D1044" s="21"/>
      <c r="E1044" s="22" t="s">
        <v>5267</v>
      </c>
      <c r="H1044" s="23" t="s">
        <v>5268</v>
      </c>
      <c r="I1044" s="21"/>
      <c r="J1044" s="25"/>
      <c r="K1044" s="26" t="s">
        <v>44</v>
      </c>
      <c r="L1044" s="16"/>
      <c r="M1044" s="21"/>
    </row>
    <row r="1045">
      <c r="A1045" s="28">
        <v>46232.0</v>
      </c>
      <c r="B1045" s="16" t="s">
        <v>5269</v>
      </c>
      <c r="C1045" s="20" t="s">
        <v>5270</v>
      </c>
      <c r="D1045" s="21"/>
      <c r="E1045" s="22" t="s">
        <v>5271</v>
      </c>
      <c r="H1045" s="23" t="s">
        <v>65</v>
      </c>
      <c r="I1045" s="21"/>
      <c r="J1045" s="25"/>
      <c r="K1045" s="26" t="s">
        <v>44</v>
      </c>
      <c r="L1045" s="16"/>
      <c r="M1045" s="21"/>
    </row>
    <row r="1046">
      <c r="A1046" s="28">
        <v>46232.0</v>
      </c>
      <c r="B1046" s="16" t="s">
        <v>5272</v>
      </c>
      <c r="C1046" s="20" t="s">
        <v>5273</v>
      </c>
      <c r="D1046" s="21"/>
      <c r="E1046" s="22" t="s">
        <v>5274</v>
      </c>
      <c r="H1046" s="23" t="s">
        <v>5275</v>
      </c>
      <c r="I1046" s="21"/>
      <c r="J1046" s="25"/>
      <c r="K1046" s="26" t="s">
        <v>44</v>
      </c>
      <c r="L1046" s="16"/>
      <c r="M1046" s="21"/>
    </row>
    <row r="1047">
      <c r="A1047" s="28">
        <v>46232.0</v>
      </c>
      <c r="B1047" s="16" t="s">
        <v>5276</v>
      </c>
      <c r="C1047" s="20" t="s">
        <v>5277</v>
      </c>
      <c r="D1047" s="21"/>
      <c r="E1047" s="22" t="s">
        <v>5278</v>
      </c>
      <c r="H1047" s="23" t="s">
        <v>48</v>
      </c>
      <c r="I1047" s="21"/>
      <c r="J1047" s="25"/>
      <c r="K1047" s="26" t="s">
        <v>44</v>
      </c>
      <c r="L1047" s="16"/>
      <c r="M1047" s="21"/>
    </row>
    <row r="1048">
      <c r="A1048" s="28">
        <v>46232.0</v>
      </c>
      <c r="B1048" s="16" t="s">
        <v>5279</v>
      </c>
      <c r="C1048" s="20" t="s">
        <v>5280</v>
      </c>
      <c r="D1048" s="21"/>
      <c r="E1048" s="22" t="s">
        <v>5281</v>
      </c>
      <c r="H1048" s="23" t="s">
        <v>1250</v>
      </c>
      <c r="I1048" s="21"/>
      <c r="J1048" s="25"/>
      <c r="K1048" s="26" t="s">
        <v>44</v>
      </c>
      <c r="L1048" s="16"/>
      <c r="M1048" s="21"/>
    </row>
    <row r="1049">
      <c r="A1049" s="28">
        <v>46232.0</v>
      </c>
      <c r="B1049" s="16" t="s">
        <v>5282</v>
      </c>
      <c r="C1049" s="20" t="s">
        <v>5283</v>
      </c>
      <c r="D1049" s="21"/>
      <c r="E1049" s="22" t="s">
        <v>5284</v>
      </c>
      <c r="H1049" s="23" t="s">
        <v>5285</v>
      </c>
      <c r="I1049" s="21"/>
      <c r="J1049" s="25"/>
      <c r="K1049" s="26" t="s">
        <v>44</v>
      </c>
      <c r="L1049" s="16"/>
      <c r="M1049" s="21"/>
    </row>
    <row r="1050">
      <c r="A1050" s="28">
        <v>46232.0</v>
      </c>
      <c r="B1050" s="16" t="s">
        <v>5286</v>
      </c>
      <c r="C1050" s="20" t="s">
        <v>5287</v>
      </c>
      <c r="D1050" s="21"/>
      <c r="E1050" s="22" t="s">
        <v>5288</v>
      </c>
      <c r="H1050" s="23" t="s">
        <v>57</v>
      </c>
      <c r="I1050" s="21"/>
      <c r="J1050" s="25"/>
      <c r="K1050" s="26" t="s">
        <v>44</v>
      </c>
      <c r="L1050" s="16"/>
      <c r="M1050" s="21"/>
    </row>
    <row r="1051">
      <c r="A1051" s="28">
        <v>46232.0</v>
      </c>
      <c r="B1051" s="16" t="s">
        <v>5289</v>
      </c>
      <c r="C1051" s="46" t="s">
        <v>5290</v>
      </c>
      <c r="D1051" s="21"/>
      <c r="E1051" s="22" t="s">
        <v>5291</v>
      </c>
      <c r="H1051" s="23" t="s">
        <v>5292</v>
      </c>
      <c r="I1051" s="21"/>
      <c r="J1051" s="25"/>
      <c r="K1051" s="26" t="s">
        <v>44</v>
      </c>
      <c r="L1051" s="16"/>
      <c r="M1051" s="21"/>
    </row>
    <row r="1052">
      <c r="A1052" s="28">
        <v>46232.0</v>
      </c>
      <c r="B1052" s="16" t="s">
        <v>5293</v>
      </c>
      <c r="C1052" s="20" t="s">
        <v>5294</v>
      </c>
      <c r="D1052" s="21"/>
      <c r="E1052" s="22" t="s">
        <v>5295</v>
      </c>
      <c r="H1052" s="23" t="s">
        <v>57</v>
      </c>
      <c r="I1052" s="21"/>
      <c r="J1052" s="25"/>
      <c r="K1052" s="26" t="s">
        <v>44</v>
      </c>
      <c r="L1052" s="16"/>
      <c r="M1052" s="21"/>
    </row>
    <row r="1053">
      <c r="A1053" s="28">
        <v>46232.0</v>
      </c>
      <c r="B1053" s="16" t="s">
        <v>5296</v>
      </c>
      <c r="C1053" s="20" t="s">
        <v>5297</v>
      </c>
      <c r="D1053" s="21"/>
      <c r="E1053" s="22" t="s">
        <v>5298</v>
      </c>
      <c r="H1053" s="23" t="s">
        <v>5299</v>
      </c>
      <c r="I1053" s="21"/>
      <c r="J1053" s="25"/>
      <c r="K1053" s="26" t="s">
        <v>44</v>
      </c>
      <c r="L1053" s="16"/>
      <c r="M1053" s="21"/>
    </row>
    <row r="1054">
      <c r="A1054" s="28">
        <v>46232.0</v>
      </c>
      <c r="B1054" s="16" t="s">
        <v>5300</v>
      </c>
      <c r="C1054" s="20" t="s">
        <v>5301</v>
      </c>
      <c r="D1054" s="21"/>
      <c r="E1054" s="22" t="s">
        <v>5302</v>
      </c>
      <c r="H1054" s="23" t="s">
        <v>5303</v>
      </c>
      <c r="I1054" s="21"/>
      <c r="J1054" s="25"/>
      <c r="K1054" s="26" t="s">
        <v>44</v>
      </c>
      <c r="L1054" s="16"/>
      <c r="M1054" s="21"/>
    </row>
    <row r="1055">
      <c r="A1055" s="28">
        <v>46232.0</v>
      </c>
      <c r="B1055" s="16" t="s">
        <v>5304</v>
      </c>
      <c r="C1055" s="20" t="s">
        <v>5305</v>
      </c>
      <c r="D1055" s="21"/>
      <c r="E1055" s="22" t="s">
        <v>5306</v>
      </c>
      <c r="H1055" s="23" t="s">
        <v>80</v>
      </c>
      <c r="I1055" s="21"/>
      <c r="J1055" s="25"/>
      <c r="K1055" s="26" t="s">
        <v>44</v>
      </c>
      <c r="L1055" s="16"/>
      <c r="M1055" s="21"/>
    </row>
    <row r="1056">
      <c r="A1056" s="28">
        <v>46232.0</v>
      </c>
      <c r="B1056" s="16" t="s">
        <v>5307</v>
      </c>
      <c r="C1056" s="20" t="s">
        <v>5308</v>
      </c>
      <c r="D1056" s="21"/>
      <c r="E1056" s="22" t="s">
        <v>5309</v>
      </c>
      <c r="H1056" s="23" t="s">
        <v>5310</v>
      </c>
      <c r="I1056" s="21"/>
      <c r="J1056" s="25"/>
      <c r="K1056" s="26" t="s">
        <v>44</v>
      </c>
      <c r="L1056" s="16"/>
      <c r="M1056" s="21"/>
    </row>
    <row r="1057">
      <c r="A1057" s="28">
        <v>46232.0</v>
      </c>
      <c r="B1057" s="16" t="s">
        <v>5311</v>
      </c>
      <c r="C1057" s="20" t="s">
        <v>5312</v>
      </c>
      <c r="D1057" s="21"/>
      <c r="E1057" s="22" t="s">
        <v>5313</v>
      </c>
      <c r="H1057" s="23" t="s">
        <v>5314</v>
      </c>
      <c r="I1057" s="21"/>
      <c r="J1057" s="25"/>
      <c r="K1057" s="26" t="s">
        <v>44</v>
      </c>
      <c r="L1057" s="16"/>
      <c r="M1057" s="21"/>
    </row>
    <row r="1058">
      <c r="A1058" s="28">
        <v>46232.0</v>
      </c>
      <c r="B1058" s="16" t="s">
        <v>5315</v>
      </c>
      <c r="C1058" s="46" t="s">
        <v>5316</v>
      </c>
      <c r="D1058" s="21"/>
      <c r="E1058" s="22" t="s">
        <v>5317</v>
      </c>
      <c r="H1058" s="23" t="s">
        <v>487</v>
      </c>
      <c r="I1058" s="21"/>
      <c r="J1058" s="25"/>
      <c r="K1058" s="26" t="s">
        <v>44</v>
      </c>
      <c r="L1058" s="16"/>
      <c r="M1058" s="21"/>
    </row>
    <row r="1059">
      <c r="A1059" s="28">
        <v>46232.0</v>
      </c>
      <c r="B1059" s="16" t="s">
        <v>5318</v>
      </c>
      <c r="C1059" s="20" t="s">
        <v>5319</v>
      </c>
      <c r="D1059" s="21"/>
      <c r="E1059" s="22" t="s">
        <v>5320</v>
      </c>
      <c r="H1059" s="23" t="s">
        <v>2549</v>
      </c>
      <c r="I1059" s="21"/>
      <c r="J1059" s="25"/>
      <c r="K1059" s="26" t="s">
        <v>44</v>
      </c>
      <c r="L1059" s="16"/>
      <c r="M1059" s="21"/>
    </row>
    <row r="1060">
      <c r="A1060" s="28">
        <v>46232.0</v>
      </c>
      <c r="B1060" s="16" t="s">
        <v>5321</v>
      </c>
      <c r="C1060" s="20" t="s">
        <v>5322</v>
      </c>
      <c r="D1060" s="21"/>
      <c r="E1060" s="22" t="s">
        <v>5323</v>
      </c>
      <c r="H1060" s="23" t="s">
        <v>5324</v>
      </c>
      <c r="I1060" s="21"/>
      <c r="J1060" s="25"/>
      <c r="K1060" s="26" t="s">
        <v>44</v>
      </c>
      <c r="L1060" s="16"/>
      <c r="M1060" s="21"/>
    </row>
    <row r="1061">
      <c r="A1061" s="28">
        <v>46232.0</v>
      </c>
      <c r="B1061" s="16" t="s">
        <v>5325</v>
      </c>
      <c r="C1061" s="20" t="s">
        <v>5326</v>
      </c>
      <c r="D1061" s="21"/>
      <c r="E1061" s="22" t="s">
        <v>5327</v>
      </c>
      <c r="H1061" s="23" t="s">
        <v>1164</v>
      </c>
      <c r="I1061" s="21"/>
      <c r="J1061" s="25"/>
      <c r="K1061" s="26" t="s">
        <v>44</v>
      </c>
      <c r="L1061" s="16"/>
      <c r="M1061" s="21"/>
    </row>
    <row r="1062">
      <c r="A1062" s="28">
        <v>46232.0</v>
      </c>
      <c r="B1062" s="16" t="s">
        <v>5328</v>
      </c>
      <c r="C1062" s="20" t="s">
        <v>5329</v>
      </c>
      <c r="D1062" s="21"/>
      <c r="E1062" s="22" t="s">
        <v>5330</v>
      </c>
      <c r="H1062" s="23" t="s">
        <v>69</v>
      </c>
      <c r="I1062" s="21"/>
      <c r="J1062" s="25"/>
      <c r="K1062" s="26" t="s">
        <v>44</v>
      </c>
      <c r="L1062" s="16"/>
      <c r="M1062" s="21"/>
    </row>
    <row r="1063">
      <c r="A1063" s="28">
        <v>46232.0</v>
      </c>
      <c r="B1063" s="16" t="s">
        <v>5331</v>
      </c>
      <c r="C1063" s="20" t="s">
        <v>5332</v>
      </c>
      <c r="D1063" s="21"/>
      <c r="E1063" s="22" t="s">
        <v>5333</v>
      </c>
      <c r="H1063" s="23" t="s">
        <v>5314</v>
      </c>
      <c r="I1063" s="21"/>
      <c r="J1063" s="25"/>
      <c r="K1063" s="26" t="s">
        <v>44</v>
      </c>
      <c r="L1063" s="16"/>
      <c r="M1063" s="21"/>
    </row>
    <row r="1064">
      <c r="A1064" s="28">
        <v>46232.0</v>
      </c>
      <c r="B1064" s="16" t="s">
        <v>5334</v>
      </c>
      <c r="C1064" s="20" t="s">
        <v>5335</v>
      </c>
      <c r="D1064" s="21"/>
      <c r="E1064" s="22" t="s">
        <v>5336</v>
      </c>
      <c r="H1064" s="23" t="s">
        <v>5337</v>
      </c>
      <c r="I1064" s="21"/>
      <c r="J1064" s="25"/>
      <c r="K1064" s="26" t="s">
        <v>44</v>
      </c>
      <c r="L1064" s="16"/>
      <c r="M1064" s="21"/>
    </row>
    <row r="1065">
      <c r="A1065" s="28">
        <v>46232.0</v>
      </c>
      <c r="B1065" s="16" t="s">
        <v>5338</v>
      </c>
      <c r="C1065" s="20" t="s">
        <v>5339</v>
      </c>
      <c r="D1065" s="21"/>
      <c r="E1065" s="22" t="s">
        <v>5340</v>
      </c>
      <c r="H1065" s="23" t="s">
        <v>5341</v>
      </c>
      <c r="I1065" s="21"/>
      <c r="J1065" s="25"/>
      <c r="K1065" s="26" t="s">
        <v>44</v>
      </c>
      <c r="L1065" s="16"/>
      <c r="M1065" s="21"/>
    </row>
    <row r="1066">
      <c r="A1066" s="28">
        <v>46232.0</v>
      </c>
      <c r="B1066" s="16" t="s">
        <v>5342</v>
      </c>
      <c r="C1066" s="20" t="s">
        <v>5343</v>
      </c>
      <c r="D1066" s="21"/>
      <c r="E1066" s="22" t="s">
        <v>5344</v>
      </c>
      <c r="H1066" s="23" t="s">
        <v>5345</v>
      </c>
      <c r="I1066" s="21"/>
      <c r="J1066" s="25"/>
      <c r="K1066" s="26" t="s">
        <v>44</v>
      </c>
      <c r="L1066" s="16"/>
      <c r="M1066" s="21"/>
    </row>
    <row r="1067">
      <c r="A1067" s="28">
        <v>46232.0</v>
      </c>
      <c r="B1067" s="16" t="s">
        <v>5346</v>
      </c>
      <c r="C1067" s="20" t="s">
        <v>5347</v>
      </c>
      <c r="D1067" s="21"/>
      <c r="E1067" s="22" t="s">
        <v>5348</v>
      </c>
      <c r="H1067" s="23" t="s">
        <v>5349</v>
      </c>
      <c r="I1067" s="21"/>
      <c r="J1067" s="25"/>
      <c r="K1067" s="26" t="s">
        <v>44</v>
      </c>
      <c r="L1067" s="16"/>
      <c r="M1067" s="21"/>
    </row>
    <row r="1068">
      <c r="A1068" s="28">
        <v>46232.0</v>
      </c>
      <c r="B1068" s="16" t="s">
        <v>5350</v>
      </c>
      <c r="C1068" s="20" t="s">
        <v>5351</v>
      </c>
      <c r="D1068" s="21"/>
      <c r="E1068" s="22" t="s">
        <v>5352</v>
      </c>
      <c r="H1068" s="23" t="s">
        <v>5353</v>
      </c>
      <c r="I1068" s="21"/>
      <c r="J1068" s="25"/>
      <c r="K1068" s="26" t="s">
        <v>44</v>
      </c>
      <c r="L1068" s="16"/>
      <c r="M1068" s="21"/>
    </row>
    <row r="1069">
      <c r="A1069" s="28">
        <v>46232.0</v>
      </c>
      <c r="B1069" s="16" t="s">
        <v>5354</v>
      </c>
      <c r="C1069" s="20" t="s">
        <v>5355</v>
      </c>
      <c r="D1069" s="21"/>
      <c r="E1069" s="22" t="s">
        <v>5356</v>
      </c>
      <c r="H1069" s="23" t="s">
        <v>5357</v>
      </c>
      <c r="I1069" s="21"/>
      <c r="J1069" s="25"/>
      <c r="K1069" s="26" t="s">
        <v>44</v>
      </c>
      <c r="L1069" s="16"/>
      <c r="M1069" s="21"/>
    </row>
    <row r="1070">
      <c r="A1070" s="28">
        <v>46232.0</v>
      </c>
      <c r="B1070" s="16" t="s">
        <v>5358</v>
      </c>
      <c r="C1070" s="20" t="s">
        <v>5359</v>
      </c>
      <c r="D1070" s="21"/>
      <c r="E1070" s="22" t="s">
        <v>5360</v>
      </c>
      <c r="H1070" s="23" t="s">
        <v>404</v>
      </c>
      <c r="I1070" s="21"/>
      <c r="J1070" s="25"/>
      <c r="K1070" s="26" t="s">
        <v>44</v>
      </c>
      <c r="L1070" s="16"/>
      <c r="M1070" s="21"/>
    </row>
    <row r="1071">
      <c r="A1071" s="28">
        <v>46232.0</v>
      </c>
      <c r="B1071" s="16" t="s">
        <v>5361</v>
      </c>
      <c r="C1071" s="20" t="s">
        <v>5362</v>
      </c>
      <c r="D1071" s="21"/>
      <c r="E1071" s="22" t="s">
        <v>5363</v>
      </c>
      <c r="H1071" s="23" t="s">
        <v>5364</v>
      </c>
      <c r="I1071" s="21"/>
      <c r="J1071" s="25"/>
      <c r="K1071" s="26" t="s">
        <v>44</v>
      </c>
      <c r="L1071" s="16"/>
      <c r="M1071" s="21"/>
    </row>
    <row r="1072">
      <c r="A1072" s="28">
        <v>46232.0</v>
      </c>
      <c r="B1072" s="16" t="s">
        <v>5365</v>
      </c>
      <c r="C1072" s="20" t="s">
        <v>5366</v>
      </c>
      <c r="D1072" s="21"/>
      <c r="E1072" s="22" t="s">
        <v>5367</v>
      </c>
      <c r="H1072" s="23" t="s">
        <v>5368</v>
      </c>
      <c r="I1072" s="21"/>
      <c r="J1072" s="25"/>
      <c r="K1072" s="26" t="s">
        <v>44</v>
      </c>
      <c r="L1072" s="16"/>
      <c r="M1072" s="21"/>
    </row>
    <row r="1073">
      <c r="A1073" s="28">
        <v>46232.0</v>
      </c>
      <c r="B1073" s="16" t="s">
        <v>5369</v>
      </c>
      <c r="C1073" s="20" t="s">
        <v>5370</v>
      </c>
      <c r="D1073" s="21"/>
      <c r="E1073" s="22" t="s">
        <v>5371</v>
      </c>
      <c r="H1073" s="23" t="s">
        <v>5372</v>
      </c>
      <c r="I1073" s="21"/>
      <c r="J1073" s="25"/>
      <c r="K1073" s="26" t="s">
        <v>44</v>
      </c>
      <c r="L1073" s="16"/>
      <c r="M1073" s="21"/>
    </row>
    <row r="1074">
      <c r="A1074" s="28">
        <v>46232.0</v>
      </c>
      <c r="B1074" s="16" t="s">
        <v>5373</v>
      </c>
      <c r="C1074" s="20" t="s">
        <v>5374</v>
      </c>
      <c r="D1074" s="21"/>
      <c r="E1074" s="22" t="s">
        <v>5375</v>
      </c>
      <c r="H1074" s="23" t="s">
        <v>127</v>
      </c>
      <c r="I1074" s="21"/>
      <c r="J1074" s="25"/>
      <c r="K1074" s="26" t="s">
        <v>44</v>
      </c>
      <c r="L1074" s="16"/>
      <c r="M1074" s="21"/>
    </row>
    <row r="1075">
      <c r="A1075" s="28">
        <v>46232.0</v>
      </c>
      <c r="B1075" s="16" t="s">
        <v>5376</v>
      </c>
      <c r="C1075" s="20" t="s">
        <v>5377</v>
      </c>
      <c r="D1075" s="21"/>
      <c r="E1075" s="22" t="s">
        <v>5378</v>
      </c>
      <c r="H1075" s="23" t="s">
        <v>936</v>
      </c>
      <c r="I1075" s="21"/>
      <c r="J1075" s="25"/>
      <c r="K1075" s="26" t="s">
        <v>44</v>
      </c>
      <c r="L1075" s="16"/>
      <c r="M1075" s="21"/>
    </row>
    <row r="1076">
      <c r="A1076" s="28">
        <v>46232.0</v>
      </c>
      <c r="B1076" s="16" t="s">
        <v>5379</v>
      </c>
      <c r="C1076" s="20" t="s">
        <v>5380</v>
      </c>
      <c r="D1076" s="21"/>
      <c r="E1076" s="22" t="s">
        <v>5381</v>
      </c>
      <c r="H1076" s="23" t="s">
        <v>5382</v>
      </c>
      <c r="I1076" s="21"/>
      <c r="J1076" s="25"/>
      <c r="K1076" s="26" t="s">
        <v>44</v>
      </c>
      <c r="L1076" s="16"/>
      <c r="M1076" s="21"/>
    </row>
    <row r="1077">
      <c r="A1077" s="28">
        <v>46232.0</v>
      </c>
      <c r="B1077" s="16" t="s">
        <v>5383</v>
      </c>
      <c r="C1077" s="20" t="s">
        <v>5384</v>
      </c>
      <c r="D1077" s="21"/>
      <c r="E1077" s="22" t="s">
        <v>5385</v>
      </c>
      <c r="H1077" s="23" t="s">
        <v>5386</v>
      </c>
      <c r="I1077" s="21"/>
      <c r="J1077" s="25"/>
      <c r="K1077" s="26" t="s">
        <v>44</v>
      </c>
      <c r="L1077" s="16"/>
      <c r="M1077" s="21"/>
    </row>
    <row r="1078">
      <c r="A1078" s="28">
        <v>46232.0</v>
      </c>
      <c r="B1078" s="16" t="s">
        <v>5387</v>
      </c>
      <c r="C1078" s="20" t="s">
        <v>5388</v>
      </c>
      <c r="D1078" s="21"/>
      <c r="E1078" s="22" t="s">
        <v>5389</v>
      </c>
      <c r="H1078" s="23" t="s">
        <v>5390</v>
      </c>
      <c r="I1078" s="21"/>
      <c r="J1078" s="25"/>
      <c r="K1078" s="26" t="s">
        <v>44</v>
      </c>
      <c r="L1078" s="16"/>
      <c r="M1078" s="21"/>
    </row>
    <row r="1079">
      <c r="A1079" s="28">
        <v>46232.0</v>
      </c>
      <c r="B1079" s="16" t="s">
        <v>5391</v>
      </c>
      <c r="C1079" s="20" t="s">
        <v>5392</v>
      </c>
      <c r="D1079" s="21"/>
      <c r="E1079" s="22" t="s">
        <v>5393</v>
      </c>
      <c r="H1079" s="23" t="s">
        <v>2157</v>
      </c>
      <c r="I1079" s="21"/>
      <c r="J1079" s="25"/>
      <c r="K1079" s="26" t="s">
        <v>44</v>
      </c>
      <c r="L1079" s="16"/>
      <c r="M1079" s="21"/>
    </row>
    <row r="1080">
      <c r="A1080" s="28">
        <v>46232.0</v>
      </c>
      <c r="B1080" s="16" t="s">
        <v>5394</v>
      </c>
      <c r="C1080" s="20" t="s">
        <v>5395</v>
      </c>
      <c r="D1080" s="21"/>
      <c r="E1080" s="22" t="s">
        <v>5396</v>
      </c>
      <c r="H1080" s="23" t="s">
        <v>5397</v>
      </c>
      <c r="I1080" s="21"/>
      <c r="J1080" s="25"/>
      <c r="K1080" s="26" t="s">
        <v>44</v>
      </c>
      <c r="L1080" s="16"/>
      <c r="M1080" s="21"/>
    </row>
    <row r="1081">
      <c r="A1081" s="28">
        <v>46232.0</v>
      </c>
      <c r="B1081" s="16" t="s">
        <v>5398</v>
      </c>
      <c r="C1081" s="20" t="s">
        <v>5399</v>
      </c>
      <c r="D1081" s="21"/>
      <c r="E1081" s="22" t="s">
        <v>5400</v>
      </c>
      <c r="H1081" s="23" t="s">
        <v>1411</v>
      </c>
      <c r="I1081" s="21"/>
      <c r="J1081" s="25"/>
      <c r="K1081" s="26" t="s">
        <v>44</v>
      </c>
      <c r="L1081" s="16"/>
      <c r="M1081" s="21"/>
    </row>
    <row r="1082">
      <c r="A1082" s="28">
        <v>46232.0</v>
      </c>
      <c r="B1082" s="16" t="s">
        <v>5401</v>
      </c>
      <c r="C1082" s="20" t="s">
        <v>5402</v>
      </c>
      <c r="D1082" s="21"/>
      <c r="E1082" s="22" t="s">
        <v>5403</v>
      </c>
      <c r="H1082" s="23" t="s">
        <v>111</v>
      </c>
      <c r="I1082" s="21"/>
      <c r="J1082" s="25"/>
      <c r="K1082" s="26" t="s">
        <v>44</v>
      </c>
      <c r="L1082" s="16"/>
      <c r="M1082" s="21"/>
    </row>
    <row r="1083">
      <c r="A1083" s="28">
        <v>46232.0</v>
      </c>
      <c r="B1083" s="16" t="s">
        <v>5404</v>
      </c>
      <c r="C1083" s="20" t="s">
        <v>5405</v>
      </c>
      <c r="D1083" s="21"/>
      <c r="E1083" s="22" t="s">
        <v>5406</v>
      </c>
      <c r="H1083" s="23" t="s">
        <v>5407</v>
      </c>
      <c r="I1083" s="21"/>
      <c r="J1083" s="25"/>
      <c r="K1083" s="26" t="s">
        <v>44</v>
      </c>
      <c r="L1083" s="16"/>
      <c r="M1083" s="21"/>
    </row>
    <row r="1084">
      <c r="A1084" s="28">
        <v>46232.0</v>
      </c>
      <c r="B1084" s="16" t="s">
        <v>5408</v>
      </c>
      <c r="C1084" s="20" t="s">
        <v>5409</v>
      </c>
      <c r="D1084" s="21"/>
      <c r="E1084" s="22" t="s">
        <v>5410</v>
      </c>
      <c r="H1084" s="23" t="s">
        <v>69</v>
      </c>
      <c r="I1084" s="21"/>
      <c r="J1084" s="25"/>
      <c r="K1084" s="26" t="s">
        <v>44</v>
      </c>
      <c r="L1084" s="16"/>
      <c r="M1084" s="21"/>
    </row>
    <row r="1085">
      <c r="A1085" s="28">
        <v>46232.0</v>
      </c>
      <c r="B1085" s="16" t="s">
        <v>5411</v>
      </c>
      <c r="C1085" s="20" t="s">
        <v>5412</v>
      </c>
      <c r="D1085" s="21"/>
      <c r="E1085" s="22" t="s">
        <v>5413</v>
      </c>
      <c r="H1085" s="23" t="s">
        <v>5414</v>
      </c>
      <c r="I1085" s="21"/>
      <c r="J1085" s="25"/>
      <c r="K1085" s="26" t="s">
        <v>44</v>
      </c>
      <c r="L1085" s="16"/>
      <c r="M1085" s="21"/>
    </row>
    <row r="1086">
      <c r="A1086" s="28">
        <v>46232.0</v>
      </c>
      <c r="B1086" s="16" t="s">
        <v>5415</v>
      </c>
      <c r="C1086" s="20" t="s">
        <v>5416</v>
      </c>
      <c r="D1086" s="21"/>
      <c r="E1086" s="22" t="s">
        <v>5417</v>
      </c>
      <c r="H1086" s="23" t="s">
        <v>5418</v>
      </c>
      <c r="I1086" s="21"/>
      <c r="J1086" s="25"/>
      <c r="K1086" s="26" t="s">
        <v>44</v>
      </c>
      <c r="L1086" s="16"/>
      <c r="M1086" s="21"/>
    </row>
    <row r="1087">
      <c r="A1087" s="28">
        <v>46232.0</v>
      </c>
      <c r="B1087" s="16" t="s">
        <v>5419</v>
      </c>
      <c r="C1087" s="20" t="s">
        <v>5420</v>
      </c>
      <c r="D1087" s="21"/>
      <c r="E1087" s="22" t="s">
        <v>5421</v>
      </c>
      <c r="H1087" s="23" t="s">
        <v>5422</v>
      </c>
      <c r="I1087" s="21"/>
      <c r="J1087" s="25"/>
      <c r="K1087" s="26" t="s">
        <v>44</v>
      </c>
      <c r="L1087" s="16"/>
      <c r="M1087" s="21"/>
    </row>
    <row r="1088">
      <c r="A1088" s="28">
        <v>46232.0</v>
      </c>
      <c r="B1088" s="16" t="s">
        <v>5423</v>
      </c>
      <c r="C1088" s="20" t="s">
        <v>5424</v>
      </c>
      <c r="D1088" s="21"/>
      <c r="E1088" s="22" t="s">
        <v>5425</v>
      </c>
      <c r="H1088" s="23" t="s">
        <v>279</v>
      </c>
      <c r="I1088" s="21"/>
      <c r="J1088" s="25"/>
      <c r="K1088" s="26" t="s">
        <v>44</v>
      </c>
      <c r="L1088" s="16"/>
      <c r="M1088" s="21"/>
    </row>
    <row r="1089">
      <c r="A1089" s="28">
        <v>46232.0</v>
      </c>
      <c r="B1089" s="16" t="s">
        <v>5426</v>
      </c>
      <c r="C1089" s="20" t="s">
        <v>5427</v>
      </c>
      <c r="D1089" s="21"/>
      <c r="E1089" s="22" t="s">
        <v>5428</v>
      </c>
      <c r="H1089" s="23" t="s">
        <v>904</v>
      </c>
      <c r="I1089" s="21"/>
      <c r="J1089" s="25"/>
      <c r="K1089" s="26" t="s">
        <v>44</v>
      </c>
      <c r="L1089" s="16"/>
      <c r="M1089" s="21"/>
    </row>
    <row r="1090">
      <c r="A1090" s="28">
        <v>46232.0</v>
      </c>
      <c r="B1090" s="16" t="s">
        <v>5429</v>
      </c>
      <c r="C1090" s="20" t="s">
        <v>5430</v>
      </c>
      <c r="D1090" s="21"/>
      <c r="E1090" s="22" t="s">
        <v>5431</v>
      </c>
      <c r="H1090" s="23" t="s">
        <v>5432</v>
      </c>
      <c r="I1090" s="21"/>
      <c r="J1090" s="25"/>
      <c r="K1090" s="26" t="s">
        <v>44</v>
      </c>
      <c r="L1090" s="16"/>
      <c r="M1090" s="21"/>
    </row>
    <row r="1091">
      <c r="A1091" s="28">
        <v>46232.0</v>
      </c>
      <c r="B1091" s="16" t="s">
        <v>5433</v>
      </c>
      <c r="C1091" s="20" t="s">
        <v>5434</v>
      </c>
      <c r="D1091" s="21"/>
      <c r="E1091" s="22" t="s">
        <v>5435</v>
      </c>
      <c r="H1091" s="23" t="s">
        <v>279</v>
      </c>
      <c r="I1091" s="21"/>
      <c r="J1091" s="25"/>
      <c r="K1091" s="26" t="s">
        <v>44</v>
      </c>
      <c r="L1091" s="16"/>
      <c r="M1091" s="21"/>
    </row>
    <row r="1092">
      <c r="A1092" s="28">
        <v>46232.0</v>
      </c>
      <c r="B1092" s="16" t="s">
        <v>5436</v>
      </c>
      <c r="C1092" s="20" t="s">
        <v>5437</v>
      </c>
      <c r="D1092" s="21"/>
      <c r="E1092" s="22" t="s">
        <v>5438</v>
      </c>
      <c r="H1092" s="23" t="s">
        <v>5439</v>
      </c>
      <c r="I1092" s="21"/>
      <c r="J1092" s="25"/>
      <c r="K1092" s="26" t="s">
        <v>44</v>
      </c>
      <c r="L1092" s="16"/>
      <c r="M1092" s="21"/>
    </row>
    <row r="1093">
      <c r="A1093" s="28">
        <v>46232.0</v>
      </c>
      <c r="B1093" s="16" t="s">
        <v>5440</v>
      </c>
      <c r="C1093" s="20" t="s">
        <v>5441</v>
      </c>
      <c r="D1093" s="21"/>
      <c r="E1093" s="22" t="s">
        <v>5442</v>
      </c>
      <c r="H1093" s="23" t="s">
        <v>5443</v>
      </c>
      <c r="I1093" s="21"/>
      <c r="J1093" s="25"/>
      <c r="K1093" s="26" t="s">
        <v>44</v>
      </c>
      <c r="L1093" s="16"/>
      <c r="M1093" s="21"/>
    </row>
    <row r="1094">
      <c r="A1094" s="28">
        <v>46232.0</v>
      </c>
      <c r="B1094" s="16" t="s">
        <v>5444</v>
      </c>
      <c r="C1094" s="20" t="s">
        <v>5445</v>
      </c>
      <c r="D1094" s="21"/>
      <c r="E1094" s="22" t="s">
        <v>5446</v>
      </c>
      <c r="H1094" s="23" t="s">
        <v>69</v>
      </c>
      <c r="I1094" s="21"/>
      <c r="J1094" s="25"/>
      <c r="K1094" s="26" t="s">
        <v>44</v>
      </c>
      <c r="L1094" s="16"/>
      <c r="M1094" s="21"/>
    </row>
    <row r="1095">
      <c r="A1095" s="28">
        <v>46232.0</v>
      </c>
      <c r="B1095" s="16" t="s">
        <v>5447</v>
      </c>
      <c r="C1095" s="20" t="s">
        <v>5448</v>
      </c>
      <c r="D1095" s="21"/>
      <c r="E1095" s="22" t="s">
        <v>5449</v>
      </c>
      <c r="H1095" s="23" t="s">
        <v>5450</v>
      </c>
      <c r="I1095" s="21"/>
      <c r="J1095" s="25"/>
      <c r="K1095" s="26" t="s">
        <v>44</v>
      </c>
      <c r="L1095" s="16"/>
      <c r="M1095" s="21"/>
    </row>
    <row r="1096">
      <c r="A1096" s="28">
        <v>46232.0</v>
      </c>
      <c r="B1096" s="16" t="s">
        <v>5451</v>
      </c>
      <c r="C1096" s="20" t="s">
        <v>5452</v>
      </c>
      <c r="D1096" s="21"/>
      <c r="E1096" s="22" t="s">
        <v>5453</v>
      </c>
      <c r="H1096" s="23" t="s">
        <v>1848</v>
      </c>
      <c r="I1096" s="21"/>
      <c r="J1096" s="25"/>
      <c r="K1096" s="26" t="s">
        <v>44</v>
      </c>
      <c r="L1096" s="16"/>
      <c r="M1096" s="21"/>
    </row>
    <row r="1097">
      <c r="A1097" s="28">
        <v>46232.0</v>
      </c>
      <c r="B1097" s="16" t="s">
        <v>5454</v>
      </c>
      <c r="C1097" s="20" t="s">
        <v>5455</v>
      </c>
      <c r="D1097" s="21"/>
      <c r="E1097" s="22" t="s">
        <v>5456</v>
      </c>
      <c r="H1097" s="23" t="s">
        <v>5457</v>
      </c>
      <c r="I1097" s="21"/>
      <c r="J1097" s="25"/>
      <c r="K1097" s="26" t="s">
        <v>44</v>
      </c>
      <c r="L1097" s="16"/>
      <c r="M1097" s="21"/>
    </row>
    <row r="1098">
      <c r="A1098" s="28">
        <v>46232.0</v>
      </c>
      <c r="B1098" s="16" t="s">
        <v>5458</v>
      </c>
      <c r="C1098" s="20" t="s">
        <v>5459</v>
      </c>
      <c r="D1098" s="21"/>
      <c r="E1098" s="22" t="s">
        <v>5460</v>
      </c>
      <c r="H1098" s="23" t="s">
        <v>960</v>
      </c>
      <c r="I1098" s="21"/>
      <c r="J1098" s="25"/>
      <c r="K1098" s="26" t="s">
        <v>44</v>
      </c>
      <c r="L1098" s="16"/>
      <c r="M1098" s="21"/>
    </row>
    <row r="1099">
      <c r="A1099" s="28">
        <v>46232.0</v>
      </c>
      <c r="B1099" s="16" t="s">
        <v>5461</v>
      </c>
      <c r="C1099" s="20" t="s">
        <v>5462</v>
      </c>
      <c r="D1099" s="21"/>
      <c r="E1099" s="22" t="s">
        <v>5463</v>
      </c>
      <c r="H1099" s="23" t="s">
        <v>983</v>
      </c>
      <c r="I1099" s="21"/>
      <c r="J1099" s="25"/>
      <c r="K1099" s="26" t="s">
        <v>44</v>
      </c>
      <c r="L1099" s="16"/>
      <c r="M1099" s="21"/>
    </row>
    <row r="1100">
      <c r="A1100" s="28">
        <v>46232.0</v>
      </c>
      <c r="B1100" s="16" t="s">
        <v>5464</v>
      </c>
      <c r="C1100" s="20" t="s">
        <v>5465</v>
      </c>
      <c r="D1100" s="21"/>
      <c r="E1100" s="22" t="s">
        <v>5466</v>
      </c>
      <c r="H1100" s="23" t="s">
        <v>4681</v>
      </c>
      <c r="I1100" s="21"/>
      <c r="J1100" s="25"/>
      <c r="K1100" s="26" t="s">
        <v>44</v>
      </c>
      <c r="L1100" s="16"/>
      <c r="M1100" s="21"/>
    </row>
    <row r="1101">
      <c r="A1101" s="28">
        <v>46232.0</v>
      </c>
      <c r="B1101" s="16" t="s">
        <v>5467</v>
      </c>
      <c r="C1101" s="20" t="s">
        <v>5468</v>
      </c>
      <c r="D1101" s="21"/>
      <c r="E1101" s="22" t="s">
        <v>5469</v>
      </c>
      <c r="H1101" s="23" t="s">
        <v>1060</v>
      </c>
      <c r="I1101" s="21"/>
      <c r="J1101" s="25"/>
      <c r="K1101" s="26" t="s">
        <v>44</v>
      </c>
      <c r="L1101" s="16"/>
      <c r="M1101" s="21"/>
    </row>
    <row r="1102">
      <c r="A1102" s="28">
        <v>46232.0</v>
      </c>
      <c r="B1102" s="16" t="s">
        <v>5470</v>
      </c>
      <c r="C1102" s="20" t="s">
        <v>5471</v>
      </c>
      <c r="D1102" s="21"/>
      <c r="E1102" s="22" t="s">
        <v>5472</v>
      </c>
      <c r="H1102" s="23" t="s">
        <v>5473</v>
      </c>
      <c r="I1102" s="21"/>
      <c r="J1102" s="25"/>
      <c r="K1102" s="26" t="s">
        <v>44</v>
      </c>
      <c r="L1102" s="16"/>
      <c r="M1102" s="21"/>
    </row>
    <row r="1103">
      <c r="A1103" s="28">
        <v>46232.0</v>
      </c>
      <c r="B1103" s="16" t="s">
        <v>5474</v>
      </c>
      <c r="C1103" s="20" t="s">
        <v>5475</v>
      </c>
      <c r="D1103" s="21"/>
      <c r="E1103" s="22" t="s">
        <v>5476</v>
      </c>
      <c r="H1103" s="23" t="s">
        <v>5477</v>
      </c>
      <c r="I1103" s="21"/>
      <c r="J1103" s="25"/>
      <c r="K1103" s="26" t="s">
        <v>44</v>
      </c>
      <c r="L1103" s="16"/>
      <c r="M1103" s="21"/>
    </row>
    <row r="1104">
      <c r="A1104" s="28">
        <v>46232.0</v>
      </c>
      <c r="B1104" s="16" t="s">
        <v>5478</v>
      </c>
      <c r="C1104" s="20" t="s">
        <v>5479</v>
      </c>
      <c r="D1104" s="21"/>
      <c r="E1104" s="22" t="s">
        <v>5480</v>
      </c>
      <c r="H1104" s="23" t="s">
        <v>4681</v>
      </c>
      <c r="I1104" s="21"/>
      <c r="J1104" s="25"/>
      <c r="K1104" s="26" t="s">
        <v>44</v>
      </c>
      <c r="L1104" s="16"/>
      <c r="M1104" s="21"/>
    </row>
    <row r="1105">
      <c r="A1105" s="28">
        <v>46232.0</v>
      </c>
      <c r="B1105" s="16" t="s">
        <v>5481</v>
      </c>
      <c r="C1105" s="20" t="s">
        <v>5482</v>
      </c>
      <c r="D1105" s="21"/>
      <c r="E1105" s="22" t="s">
        <v>5483</v>
      </c>
      <c r="H1105" s="23" t="s">
        <v>713</v>
      </c>
      <c r="I1105" s="21"/>
      <c r="J1105" s="25"/>
      <c r="K1105" s="26" t="s">
        <v>44</v>
      </c>
      <c r="L1105" s="16"/>
      <c r="M1105" s="21"/>
    </row>
    <row r="1106">
      <c r="A1106" s="28">
        <v>46232.0</v>
      </c>
      <c r="B1106" s="16" t="s">
        <v>5484</v>
      </c>
      <c r="C1106" s="20" t="s">
        <v>5485</v>
      </c>
      <c r="D1106" s="21"/>
      <c r="E1106" s="22" t="s">
        <v>5486</v>
      </c>
      <c r="H1106" s="23" t="s">
        <v>5487</v>
      </c>
      <c r="I1106" s="21"/>
      <c r="J1106" s="25"/>
      <c r="K1106" s="26" t="s">
        <v>44</v>
      </c>
      <c r="L1106" s="16"/>
      <c r="M1106" s="21"/>
    </row>
    <row r="1107">
      <c r="A1107" s="28">
        <v>46232.0</v>
      </c>
      <c r="B1107" s="16" t="s">
        <v>5488</v>
      </c>
      <c r="C1107" s="20" t="s">
        <v>5489</v>
      </c>
      <c r="D1107" s="21"/>
      <c r="E1107" s="22" t="s">
        <v>5490</v>
      </c>
      <c r="H1107" s="23" t="s">
        <v>5491</v>
      </c>
      <c r="I1107" s="21"/>
      <c r="J1107" s="25"/>
      <c r="K1107" s="26" t="s">
        <v>44</v>
      </c>
      <c r="L1107" s="16"/>
      <c r="M1107" s="21"/>
    </row>
    <row r="1108">
      <c r="A1108" s="28">
        <v>46232.0</v>
      </c>
      <c r="B1108" s="16" t="s">
        <v>5492</v>
      </c>
      <c r="C1108" s="20" t="s">
        <v>5493</v>
      </c>
      <c r="D1108" s="21"/>
      <c r="E1108" s="22" t="s">
        <v>5494</v>
      </c>
      <c r="H1108" s="23" t="s">
        <v>751</v>
      </c>
      <c r="I1108" s="21"/>
      <c r="J1108" s="25"/>
      <c r="K1108" s="26" t="s">
        <v>44</v>
      </c>
      <c r="L1108" s="16"/>
      <c r="M1108" s="21"/>
    </row>
    <row r="1109">
      <c r="A1109" s="28">
        <v>46232.0</v>
      </c>
      <c r="B1109" s="16" t="s">
        <v>5495</v>
      </c>
      <c r="C1109" s="20" t="s">
        <v>5496</v>
      </c>
      <c r="D1109" s="21"/>
      <c r="E1109" s="22" t="s">
        <v>5497</v>
      </c>
      <c r="H1109" s="23" t="s">
        <v>5498</v>
      </c>
      <c r="I1109" s="21"/>
      <c r="J1109" s="25"/>
      <c r="K1109" s="26" t="s">
        <v>44</v>
      </c>
      <c r="L1109" s="16"/>
      <c r="M1109" s="21"/>
    </row>
    <row r="1110">
      <c r="A1110" s="28">
        <v>46232.0</v>
      </c>
      <c r="B1110" s="16" t="s">
        <v>5499</v>
      </c>
      <c r="C1110" s="20" t="s">
        <v>5500</v>
      </c>
      <c r="D1110" s="21"/>
      <c r="E1110" s="22" t="s">
        <v>5501</v>
      </c>
      <c r="H1110" s="23" t="s">
        <v>5502</v>
      </c>
      <c r="I1110" s="21"/>
      <c r="J1110" s="25"/>
      <c r="K1110" s="26" t="s">
        <v>44</v>
      </c>
      <c r="L1110" s="16"/>
      <c r="M1110" s="21"/>
    </row>
    <row r="1111">
      <c r="A1111" s="28">
        <v>46232.0</v>
      </c>
      <c r="B1111" s="16" t="s">
        <v>5503</v>
      </c>
      <c r="C1111" s="20" t="s">
        <v>5504</v>
      </c>
      <c r="D1111" s="21"/>
      <c r="E1111" s="22" t="s">
        <v>5505</v>
      </c>
      <c r="H1111" s="23" t="s">
        <v>1060</v>
      </c>
      <c r="I1111" s="21"/>
      <c r="J1111" s="25"/>
      <c r="K1111" s="26" t="s">
        <v>44</v>
      </c>
      <c r="L1111" s="16"/>
      <c r="M1111" s="21"/>
    </row>
    <row r="1112">
      <c r="A1112" s="28">
        <v>46232.0</v>
      </c>
      <c r="B1112" s="16" t="s">
        <v>5506</v>
      </c>
      <c r="C1112" s="20" t="s">
        <v>5507</v>
      </c>
      <c r="D1112" s="21"/>
      <c r="E1112" s="22" t="s">
        <v>5508</v>
      </c>
      <c r="H1112" s="23" t="s">
        <v>5509</v>
      </c>
      <c r="I1112" s="21"/>
      <c r="J1112" s="25"/>
      <c r="K1112" s="26" t="s">
        <v>44</v>
      </c>
      <c r="L1112" s="16"/>
      <c r="M1112" s="21"/>
    </row>
    <row r="1113">
      <c r="A1113" s="28">
        <v>46232.0</v>
      </c>
      <c r="B1113" s="16" t="s">
        <v>5510</v>
      </c>
      <c r="C1113" s="20" t="s">
        <v>5511</v>
      </c>
      <c r="D1113" s="21"/>
      <c r="E1113" s="22" t="s">
        <v>5512</v>
      </c>
      <c r="H1113" s="23" t="s">
        <v>5513</v>
      </c>
      <c r="I1113" s="21"/>
      <c r="J1113" s="25"/>
      <c r="K1113" s="26" t="s">
        <v>44</v>
      </c>
      <c r="L1113" s="16"/>
      <c r="M1113" s="21"/>
    </row>
    <row r="1114">
      <c r="A1114" s="28">
        <v>46232.0</v>
      </c>
      <c r="B1114" s="16" t="s">
        <v>5514</v>
      </c>
      <c r="C1114" s="20" t="s">
        <v>5515</v>
      </c>
      <c r="D1114" s="21"/>
      <c r="E1114" s="22" t="s">
        <v>5516</v>
      </c>
      <c r="H1114" s="23" t="s">
        <v>614</v>
      </c>
      <c r="I1114" s="21"/>
      <c r="J1114" s="25"/>
      <c r="K1114" s="26" t="s">
        <v>44</v>
      </c>
      <c r="L1114" s="16"/>
      <c r="M1114" s="21"/>
    </row>
    <row r="1115">
      <c r="A1115" s="28">
        <v>46232.0</v>
      </c>
      <c r="B1115" s="16" t="s">
        <v>5517</v>
      </c>
      <c r="C1115" s="20" t="s">
        <v>5518</v>
      </c>
      <c r="D1115" s="21"/>
      <c r="E1115" s="22" t="s">
        <v>5519</v>
      </c>
      <c r="H1115" s="23" t="s">
        <v>5520</v>
      </c>
      <c r="I1115" s="21"/>
      <c r="J1115" s="25"/>
      <c r="K1115" s="26" t="s">
        <v>44</v>
      </c>
      <c r="L1115" s="16"/>
      <c r="M1115" s="21"/>
    </row>
    <row r="1116">
      <c r="A1116" s="28">
        <v>46232.0</v>
      </c>
      <c r="B1116" s="16" t="s">
        <v>5521</v>
      </c>
      <c r="C1116" s="20" t="s">
        <v>5522</v>
      </c>
      <c r="D1116" s="21"/>
      <c r="E1116" s="22" t="s">
        <v>5523</v>
      </c>
      <c r="H1116" s="23" t="s">
        <v>2867</v>
      </c>
      <c r="I1116" s="21"/>
      <c r="J1116" s="25"/>
      <c r="K1116" s="26" t="s">
        <v>44</v>
      </c>
      <c r="L1116" s="16"/>
      <c r="M1116" s="21"/>
    </row>
    <row r="1117">
      <c r="A1117" s="28">
        <v>46232.0</v>
      </c>
      <c r="B1117" s="16" t="s">
        <v>5524</v>
      </c>
      <c r="C1117" s="20" t="s">
        <v>5525</v>
      </c>
      <c r="D1117" s="21"/>
      <c r="E1117" s="22" t="s">
        <v>5526</v>
      </c>
      <c r="H1117" s="23" t="s">
        <v>5527</v>
      </c>
      <c r="I1117" s="21"/>
      <c r="J1117" s="25"/>
      <c r="K1117" s="26" t="s">
        <v>44</v>
      </c>
      <c r="L1117" s="16"/>
      <c r="M1117" s="21"/>
    </row>
    <row r="1118">
      <c r="A1118" s="28">
        <v>46232.0</v>
      </c>
      <c r="B1118" s="16" t="s">
        <v>5528</v>
      </c>
      <c r="C1118" s="20" t="s">
        <v>5529</v>
      </c>
      <c r="D1118" s="21"/>
      <c r="E1118" s="22" t="s">
        <v>5530</v>
      </c>
      <c r="H1118" s="23" t="s">
        <v>5531</v>
      </c>
      <c r="I1118" s="21"/>
      <c r="J1118" s="25"/>
      <c r="K1118" s="26" t="s">
        <v>44</v>
      </c>
      <c r="L1118" s="16"/>
      <c r="M1118" s="21"/>
    </row>
    <row r="1119">
      <c r="A1119" s="28">
        <v>46232.0</v>
      </c>
      <c r="B1119" s="16" t="s">
        <v>5532</v>
      </c>
      <c r="C1119" s="20" t="s">
        <v>5533</v>
      </c>
      <c r="D1119" s="21"/>
      <c r="E1119" s="22" t="s">
        <v>5534</v>
      </c>
      <c r="H1119" s="23" t="s">
        <v>5535</v>
      </c>
      <c r="I1119" s="21"/>
      <c r="J1119" s="25"/>
      <c r="K1119" s="26" t="s">
        <v>44</v>
      </c>
      <c r="L1119" s="16"/>
      <c r="M1119" s="21"/>
    </row>
    <row r="1120">
      <c r="A1120" s="28">
        <v>46232.0</v>
      </c>
      <c r="B1120" s="16" t="s">
        <v>5536</v>
      </c>
      <c r="C1120" s="20" t="s">
        <v>5537</v>
      </c>
      <c r="D1120" s="21"/>
      <c r="E1120" s="22" t="s">
        <v>5538</v>
      </c>
      <c r="H1120" s="23" t="s">
        <v>5539</v>
      </c>
      <c r="I1120" s="21"/>
      <c r="J1120" s="25"/>
      <c r="K1120" s="26" t="s">
        <v>44</v>
      </c>
      <c r="L1120" s="16"/>
      <c r="M1120" s="21"/>
    </row>
    <row r="1121">
      <c r="A1121" s="28">
        <v>46232.0</v>
      </c>
      <c r="B1121" s="16" t="s">
        <v>5540</v>
      </c>
      <c r="C1121" s="20" t="s">
        <v>5541</v>
      </c>
      <c r="D1121" s="21"/>
      <c r="E1121" s="22" t="s">
        <v>5542</v>
      </c>
      <c r="H1121" s="23" t="s">
        <v>5543</v>
      </c>
      <c r="I1121" s="21"/>
      <c r="J1121" s="25"/>
      <c r="K1121" s="26" t="s">
        <v>44</v>
      </c>
      <c r="L1121" s="16"/>
      <c r="M1121" s="21"/>
    </row>
    <row r="1122">
      <c r="A1122" s="28">
        <v>46232.0</v>
      </c>
      <c r="B1122" s="16" t="s">
        <v>5544</v>
      </c>
      <c r="C1122" s="20" t="s">
        <v>5545</v>
      </c>
      <c r="D1122" s="21"/>
      <c r="E1122" s="22" t="s">
        <v>5546</v>
      </c>
      <c r="H1122" s="23" t="s">
        <v>5547</v>
      </c>
      <c r="I1122" s="21"/>
      <c r="J1122" s="25"/>
      <c r="K1122" s="26" t="s">
        <v>44</v>
      </c>
      <c r="L1122" s="16"/>
      <c r="M1122" s="21"/>
    </row>
    <row r="1123">
      <c r="A1123" s="28">
        <v>46232.0</v>
      </c>
      <c r="B1123" s="16" t="s">
        <v>5548</v>
      </c>
      <c r="C1123" s="20" t="s">
        <v>5549</v>
      </c>
      <c r="D1123" s="21"/>
      <c r="E1123" s="22" t="s">
        <v>5550</v>
      </c>
      <c r="H1123" s="23" t="s">
        <v>5551</v>
      </c>
      <c r="I1123" s="21"/>
      <c r="J1123" s="25"/>
      <c r="K1123" s="26" t="s">
        <v>44</v>
      </c>
      <c r="L1123" s="16"/>
      <c r="M1123" s="21"/>
    </row>
    <row r="1124">
      <c r="A1124" s="28">
        <v>46232.0</v>
      </c>
      <c r="B1124" s="16" t="s">
        <v>5552</v>
      </c>
      <c r="C1124" s="20" t="s">
        <v>5553</v>
      </c>
      <c r="D1124" s="21"/>
      <c r="E1124" s="22" t="s">
        <v>5554</v>
      </c>
      <c r="H1124" s="23" t="s">
        <v>4167</v>
      </c>
      <c r="I1124" s="21"/>
      <c r="J1124" s="25"/>
      <c r="K1124" s="26" t="s">
        <v>44</v>
      </c>
      <c r="L1124" s="16"/>
      <c r="M1124" s="21"/>
    </row>
    <row r="1125">
      <c r="A1125" s="28">
        <v>46232.0</v>
      </c>
      <c r="B1125" s="16" t="s">
        <v>5555</v>
      </c>
      <c r="C1125" s="20" t="s">
        <v>5556</v>
      </c>
      <c r="D1125" s="21"/>
      <c r="E1125" s="22" t="s">
        <v>5557</v>
      </c>
      <c r="H1125" s="23" t="s">
        <v>1971</v>
      </c>
      <c r="I1125" s="21"/>
      <c r="J1125" s="25"/>
      <c r="K1125" s="26" t="s">
        <v>44</v>
      </c>
      <c r="L1125" s="16"/>
      <c r="M1125" s="21"/>
    </row>
    <row r="1126">
      <c r="A1126" s="28">
        <v>46232.0</v>
      </c>
      <c r="B1126" s="16" t="s">
        <v>5558</v>
      </c>
      <c r="C1126" s="20" t="s">
        <v>5559</v>
      </c>
      <c r="D1126" s="21"/>
      <c r="E1126" s="22" t="s">
        <v>5560</v>
      </c>
      <c r="H1126" s="23" t="s">
        <v>5561</v>
      </c>
      <c r="I1126" s="21"/>
      <c r="J1126" s="25"/>
      <c r="K1126" s="26" t="s">
        <v>44</v>
      </c>
      <c r="L1126" s="16"/>
      <c r="M1126" s="21"/>
    </row>
    <row r="1127">
      <c r="A1127" s="28">
        <v>46232.0</v>
      </c>
      <c r="B1127" s="16" t="s">
        <v>5562</v>
      </c>
      <c r="C1127" s="20" t="s">
        <v>5563</v>
      </c>
      <c r="D1127" s="21"/>
      <c r="E1127" s="22" t="s">
        <v>5564</v>
      </c>
      <c r="H1127" s="23" t="s">
        <v>622</v>
      </c>
      <c r="I1127" s="21"/>
      <c r="J1127" s="25"/>
      <c r="K1127" s="26" t="s">
        <v>44</v>
      </c>
      <c r="L1127" s="16"/>
      <c r="M1127" s="21"/>
    </row>
    <row r="1128">
      <c r="A1128" s="28">
        <v>46232.0</v>
      </c>
      <c r="B1128" s="16" t="s">
        <v>5565</v>
      </c>
      <c r="C1128" s="20" t="s">
        <v>5566</v>
      </c>
      <c r="D1128" s="21"/>
      <c r="E1128" s="22" t="s">
        <v>5567</v>
      </c>
      <c r="H1128" s="23" t="s">
        <v>5568</v>
      </c>
      <c r="I1128" s="21"/>
      <c r="J1128" s="25"/>
      <c r="K1128" s="26" t="s">
        <v>44</v>
      </c>
      <c r="L1128" s="16"/>
      <c r="M1128" s="21"/>
    </row>
    <row r="1129">
      <c r="A1129" s="28">
        <v>46232.0</v>
      </c>
      <c r="B1129" s="16" t="s">
        <v>5569</v>
      </c>
      <c r="C1129" s="20" t="s">
        <v>5570</v>
      </c>
      <c r="D1129" s="21"/>
      <c r="E1129" s="22" t="s">
        <v>5571</v>
      </c>
      <c r="H1129" s="23" t="s">
        <v>4861</v>
      </c>
      <c r="I1129" s="21"/>
      <c r="J1129" s="25"/>
      <c r="K1129" s="26" t="s">
        <v>44</v>
      </c>
      <c r="L1129" s="16"/>
      <c r="M1129" s="21"/>
    </row>
    <row r="1130">
      <c r="A1130" s="28">
        <v>46232.0</v>
      </c>
      <c r="B1130" s="16" t="s">
        <v>5572</v>
      </c>
      <c r="C1130" s="20" t="s">
        <v>5573</v>
      </c>
      <c r="D1130" s="21"/>
      <c r="E1130" s="22" t="s">
        <v>5574</v>
      </c>
      <c r="H1130" s="23" t="s">
        <v>960</v>
      </c>
      <c r="I1130" s="21"/>
      <c r="J1130" s="25"/>
      <c r="K1130" s="26" t="s">
        <v>44</v>
      </c>
      <c r="L1130" s="16"/>
      <c r="M1130" s="21"/>
    </row>
    <row r="1131">
      <c r="A1131" s="28">
        <v>46232.0</v>
      </c>
      <c r="B1131" s="16" t="s">
        <v>5575</v>
      </c>
      <c r="C1131" s="20" t="s">
        <v>5576</v>
      </c>
      <c r="D1131" s="21"/>
      <c r="E1131" s="22" t="s">
        <v>5577</v>
      </c>
      <c r="H1131" s="23" t="s">
        <v>5578</v>
      </c>
      <c r="I1131" s="21"/>
      <c r="J1131" s="25"/>
      <c r="K1131" s="26" t="s">
        <v>44</v>
      </c>
      <c r="L1131" s="16"/>
      <c r="M1131" s="21"/>
    </row>
    <row r="1132">
      <c r="A1132" s="28">
        <v>46232.0</v>
      </c>
      <c r="B1132" s="16" t="s">
        <v>5579</v>
      </c>
      <c r="C1132" s="20" t="s">
        <v>5580</v>
      </c>
      <c r="D1132" s="21"/>
      <c r="E1132" s="22" t="s">
        <v>5581</v>
      </c>
      <c r="H1132" s="23" t="s">
        <v>5582</v>
      </c>
      <c r="I1132" s="21"/>
      <c r="J1132" s="25"/>
      <c r="K1132" s="26" t="s">
        <v>44</v>
      </c>
      <c r="L1132" s="16"/>
      <c r="M1132" s="21"/>
    </row>
    <row r="1133">
      <c r="A1133" s="28">
        <v>46232.0</v>
      </c>
      <c r="B1133" s="16" t="s">
        <v>5583</v>
      </c>
      <c r="C1133" s="20" t="s">
        <v>5584</v>
      </c>
      <c r="D1133" s="21"/>
      <c r="E1133" s="22" t="s">
        <v>5585</v>
      </c>
      <c r="H1133" s="23" t="s">
        <v>111</v>
      </c>
      <c r="I1133" s="21"/>
      <c r="J1133" s="25"/>
      <c r="K1133" s="26" t="s">
        <v>44</v>
      </c>
      <c r="L1133" s="16"/>
      <c r="M1133" s="21"/>
    </row>
    <row r="1134">
      <c r="A1134" s="28">
        <v>46232.0</v>
      </c>
      <c r="B1134" s="16" t="s">
        <v>5586</v>
      </c>
      <c r="C1134" s="20" t="s">
        <v>5587</v>
      </c>
      <c r="D1134" s="21"/>
      <c r="E1134" s="22" t="s">
        <v>5588</v>
      </c>
      <c r="H1134" s="23" t="s">
        <v>1898</v>
      </c>
      <c r="I1134" s="21"/>
      <c r="J1134" s="25"/>
      <c r="K1134" s="26" t="s">
        <v>44</v>
      </c>
      <c r="L1134" s="16"/>
      <c r="M1134" s="21"/>
    </row>
    <row r="1135">
      <c r="A1135" s="28">
        <v>46232.0</v>
      </c>
      <c r="B1135" s="16" t="s">
        <v>5589</v>
      </c>
      <c r="C1135" s="20" t="s">
        <v>5590</v>
      </c>
      <c r="D1135" s="21"/>
      <c r="E1135" s="22" t="s">
        <v>5591</v>
      </c>
      <c r="H1135" s="23" t="s">
        <v>48</v>
      </c>
      <c r="I1135" s="21"/>
      <c r="J1135" s="25"/>
      <c r="K1135" s="26" t="s">
        <v>44</v>
      </c>
      <c r="L1135" s="16"/>
      <c r="M1135" s="21"/>
    </row>
    <row r="1136">
      <c r="A1136" s="28">
        <v>46232.0</v>
      </c>
      <c r="B1136" s="16" t="s">
        <v>5592</v>
      </c>
      <c r="C1136" s="20" t="s">
        <v>5593</v>
      </c>
      <c r="D1136" s="21"/>
      <c r="E1136" s="22" t="s">
        <v>5594</v>
      </c>
      <c r="H1136" s="23" t="s">
        <v>1266</v>
      </c>
      <c r="I1136" s="21"/>
      <c r="J1136" s="25"/>
      <c r="K1136" s="26" t="s">
        <v>44</v>
      </c>
      <c r="L1136" s="16"/>
      <c r="M1136" s="21"/>
    </row>
    <row r="1137">
      <c r="A1137" s="28">
        <v>46232.0</v>
      </c>
      <c r="B1137" s="16" t="s">
        <v>5595</v>
      </c>
      <c r="C1137" s="20" t="s">
        <v>5596</v>
      </c>
      <c r="D1137" s="21"/>
      <c r="E1137" s="22" t="s">
        <v>5597</v>
      </c>
      <c r="H1137" s="23" t="s">
        <v>5598</v>
      </c>
      <c r="I1137" s="21"/>
      <c r="J1137" s="25"/>
      <c r="K1137" s="26" t="s">
        <v>44</v>
      </c>
      <c r="L1137" s="16"/>
      <c r="M1137" s="21"/>
    </row>
    <row r="1138">
      <c r="A1138" s="28">
        <v>46232.0</v>
      </c>
      <c r="B1138" s="16" t="s">
        <v>5599</v>
      </c>
      <c r="C1138" s="46" t="s">
        <v>5600</v>
      </c>
      <c r="D1138" s="21"/>
      <c r="E1138" s="22" t="s">
        <v>5601</v>
      </c>
      <c r="H1138" s="23" t="s">
        <v>1250</v>
      </c>
      <c r="I1138" s="21"/>
      <c r="J1138" s="25"/>
      <c r="K1138" s="26" t="s">
        <v>44</v>
      </c>
      <c r="L1138" s="16"/>
      <c r="M1138" s="21"/>
    </row>
    <row r="1139">
      <c r="A1139" s="28">
        <v>46232.0</v>
      </c>
      <c r="B1139" s="16" t="s">
        <v>5602</v>
      </c>
      <c r="C1139" s="20" t="s">
        <v>5603</v>
      </c>
      <c r="D1139" s="21"/>
      <c r="E1139" s="22" t="s">
        <v>5604</v>
      </c>
      <c r="H1139" s="23" t="s">
        <v>5605</v>
      </c>
      <c r="I1139" s="21"/>
      <c r="J1139" s="25"/>
      <c r="K1139" s="26" t="s">
        <v>44</v>
      </c>
      <c r="L1139" s="16"/>
      <c r="M1139" s="21"/>
    </row>
    <row r="1140">
      <c r="A1140" s="28">
        <v>46232.0</v>
      </c>
      <c r="B1140" s="16" t="s">
        <v>5606</v>
      </c>
      <c r="C1140" s="20" t="s">
        <v>5607</v>
      </c>
      <c r="D1140" s="21"/>
      <c r="E1140" s="22" t="s">
        <v>5608</v>
      </c>
      <c r="H1140" s="23" t="s">
        <v>5609</v>
      </c>
      <c r="I1140" s="21"/>
      <c r="J1140" s="25"/>
      <c r="K1140" s="26" t="s">
        <v>44</v>
      </c>
      <c r="L1140" s="16"/>
      <c r="M1140" s="21"/>
    </row>
    <row r="1141">
      <c r="A1141" s="28">
        <v>46232.0</v>
      </c>
      <c r="B1141" s="16" t="s">
        <v>5610</v>
      </c>
      <c r="C1141" s="20" t="s">
        <v>5611</v>
      </c>
      <c r="D1141" s="21"/>
      <c r="E1141" s="22" t="s">
        <v>5612</v>
      </c>
      <c r="H1141" s="23" t="s">
        <v>5613</v>
      </c>
      <c r="I1141" s="21"/>
      <c r="J1141" s="25"/>
      <c r="K1141" s="26" t="s">
        <v>44</v>
      </c>
      <c r="L1141" s="16"/>
      <c r="M1141" s="21"/>
    </row>
    <row r="1142">
      <c r="A1142" s="28">
        <v>46232.0</v>
      </c>
      <c r="B1142" s="16" t="s">
        <v>5614</v>
      </c>
      <c r="C1142" s="20" t="s">
        <v>5615</v>
      </c>
      <c r="D1142" s="21"/>
      <c r="E1142" s="22" t="s">
        <v>5616</v>
      </c>
      <c r="H1142" s="23" t="s">
        <v>4857</v>
      </c>
      <c r="I1142" s="21"/>
      <c r="J1142" s="25"/>
      <c r="K1142" s="26" t="s">
        <v>44</v>
      </c>
      <c r="L1142" s="16"/>
      <c r="M1142" s="21"/>
    </row>
    <row r="1143">
      <c r="A1143" s="28">
        <v>46232.0</v>
      </c>
      <c r="B1143" s="16" t="s">
        <v>5617</v>
      </c>
      <c r="C1143" s="20" t="s">
        <v>5618</v>
      </c>
      <c r="D1143" s="21"/>
      <c r="E1143" s="22" t="s">
        <v>5619</v>
      </c>
      <c r="H1143" s="23" t="s">
        <v>5620</v>
      </c>
      <c r="I1143" s="21"/>
      <c r="J1143" s="25"/>
      <c r="K1143" s="26" t="s">
        <v>44</v>
      </c>
      <c r="L1143" s="16"/>
      <c r="M1143" s="21"/>
    </row>
    <row r="1144">
      <c r="A1144" s="28">
        <v>46232.0</v>
      </c>
      <c r="B1144" s="16" t="s">
        <v>5621</v>
      </c>
      <c r="C1144" s="20" t="s">
        <v>5622</v>
      </c>
      <c r="D1144" s="21"/>
      <c r="E1144" s="22" t="s">
        <v>5623</v>
      </c>
      <c r="H1144" s="23" t="s">
        <v>5624</v>
      </c>
      <c r="I1144" s="21"/>
      <c r="J1144" s="25"/>
      <c r="K1144" s="26" t="s">
        <v>44</v>
      </c>
      <c r="L1144" s="16"/>
      <c r="M1144" s="21"/>
    </row>
    <row r="1145">
      <c r="A1145" s="28">
        <v>46232.0</v>
      </c>
      <c r="B1145" s="16" t="s">
        <v>5625</v>
      </c>
      <c r="C1145" s="20" t="s">
        <v>5626</v>
      </c>
      <c r="D1145" s="21"/>
      <c r="E1145" s="22" t="s">
        <v>5627</v>
      </c>
      <c r="H1145" s="23" t="s">
        <v>5628</v>
      </c>
      <c r="I1145" s="21"/>
      <c r="J1145" s="25"/>
      <c r="K1145" s="26" t="s">
        <v>44</v>
      </c>
      <c r="L1145" s="16"/>
      <c r="M1145" s="21"/>
    </row>
    <row r="1146">
      <c r="A1146" s="28">
        <v>46232.0</v>
      </c>
      <c r="B1146" s="16" t="s">
        <v>5629</v>
      </c>
      <c r="C1146" s="20" t="s">
        <v>5630</v>
      </c>
      <c r="D1146" s="21"/>
      <c r="E1146" s="22" t="s">
        <v>5631</v>
      </c>
      <c r="H1146" s="23" t="s">
        <v>1623</v>
      </c>
      <c r="I1146" s="21"/>
      <c r="J1146" s="25"/>
      <c r="K1146" s="26" t="s">
        <v>44</v>
      </c>
      <c r="L1146" s="16"/>
      <c r="M1146" s="21"/>
    </row>
    <row r="1147">
      <c r="A1147" s="28">
        <v>46232.0</v>
      </c>
      <c r="B1147" s="16" t="s">
        <v>5632</v>
      </c>
      <c r="C1147" s="20" t="s">
        <v>5633</v>
      </c>
      <c r="D1147" s="21"/>
      <c r="E1147" s="22" t="s">
        <v>5634</v>
      </c>
      <c r="H1147" s="23" t="s">
        <v>5635</v>
      </c>
      <c r="I1147" s="21"/>
      <c r="J1147" s="25"/>
      <c r="K1147" s="26" t="s">
        <v>44</v>
      </c>
      <c r="L1147" s="16"/>
      <c r="M1147" s="21"/>
    </row>
    <row r="1148">
      <c r="A1148" s="28">
        <v>46232.0</v>
      </c>
      <c r="B1148" s="16" t="s">
        <v>5636</v>
      </c>
      <c r="C1148" s="20" t="s">
        <v>5637</v>
      </c>
      <c r="D1148" s="21"/>
      <c r="E1148" s="22" t="s">
        <v>5638</v>
      </c>
      <c r="H1148" s="23" t="s">
        <v>48</v>
      </c>
      <c r="I1148" s="21"/>
      <c r="J1148" s="25"/>
      <c r="K1148" s="26" t="s">
        <v>44</v>
      </c>
      <c r="L1148" s="16"/>
      <c r="M1148" s="21"/>
    </row>
    <row r="1149">
      <c r="A1149" s="28">
        <v>46232.0</v>
      </c>
      <c r="B1149" s="16" t="s">
        <v>5639</v>
      </c>
      <c r="C1149" s="20" t="s">
        <v>5640</v>
      </c>
      <c r="D1149" s="21"/>
      <c r="E1149" s="22" t="s">
        <v>5641</v>
      </c>
      <c r="H1149" s="23" t="s">
        <v>57</v>
      </c>
      <c r="I1149" s="21"/>
      <c r="J1149" s="25"/>
      <c r="K1149" s="26" t="s">
        <v>44</v>
      </c>
      <c r="L1149" s="16"/>
      <c r="M1149" s="21"/>
    </row>
    <row r="1150">
      <c r="A1150" s="28">
        <v>46232.0</v>
      </c>
      <c r="B1150" s="16" t="s">
        <v>5642</v>
      </c>
      <c r="C1150" s="20" t="s">
        <v>5643</v>
      </c>
      <c r="D1150" s="21"/>
      <c r="E1150" s="22" t="s">
        <v>5644</v>
      </c>
      <c r="H1150" s="23" t="s">
        <v>5645</v>
      </c>
      <c r="I1150" s="21"/>
      <c r="J1150" s="25"/>
      <c r="K1150" s="26" t="s">
        <v>44</v>
      </c>
      <c r="L1150" s="16"/>
      <c r="M1150" s="21"/>
    </row>
    <row r="1151">
      <c r="A1151" s="28">
        <v>46232.0</v>
      </c>
      <c r="B1151" s="16" t="s">
        <v>5646</v>
      </c>
      <c r="C1151" s="20" t="s">
        <v>5647</v>
      </c>
      <c r="D1151" s="21"/>
      <c r="E1151" s="22" t="s">
        <v>5648</v>
      </c>
      <c r="H1151" s="23" t="s">
        <v>5649</v>
      </c>
      <c r="I1151" s="21"/>
      <c r="J1151" s="25"/>
      <c r="K1151" s="26" t="s">
        <v>44</v>
      </c>
      <c r="L1151" s="16"/>
      <c r="M1151" s="21"/>
    </row>
    <row r="1152">
      <c r="A1152" s="28">
        <v>46232.0</v>
      </c>
      <c r="B1152" s="16" t="s">
        <v>5650</v>
      </c>
      <c r="C1152" s="20" t="s">
        <v>5651</v>
      </c>
      <c r="D1152" s="21"/>
      <c r="E1152" s="22" t="s">
        <v>5652</v>
      </c>
      <c r="H1152" s="23" t="s">
        <v>5653</v>
      </c>
      <c r="I1152" s="21"/>
      <c r="J1152" s="25"/>
      <c r="K1152" s="26" t="s">
        <v>44</v>
      </c>
      <c r="L1152" s="16"/>
      <c r="M1152" s="21"/>
    </row>
    <row r="1153">
      <c r="A1153" s="28">
        <v>46232.0</v>
      </c>
      <c r="B1153" s="16" t="s">
        <v>5654</v>
      </c>
      <c r="C1153" s="20" t="s">
        <v>5655</v>
      </c>
      <c r="D1153" s="21"/>
      <c r="E1153" s="22" t="s">
        <v>5656</v>
      </c>
      <c r="H1153" s="23" t="s">
        <v>5657</v>
      </c>
      <c r="I1153" s="21"/>
      <c r="J1153" s="25"/>
      <c r="K1153" s="26" t="s">
        <v>44</v>
      </c>
      <c r="L1153" s="16"/>
      <c r="M1153" s="21"/>
    </row>
    <row r="1154">
      <c r="A1154" s="28">
        <v>46232.0</v>
      </c>
      <c r="B1154" s="16" t="s">
        <v>5658</v>
      </c>
      <c r="C1154" s="46" t="s">
        <v>5659</v>
      </c>
      <c r="D1154" s="21"/>
      <c r="E1154" s="22" t="s">
        <v>5660</v>
      </c>
      <c r="H1154" s="23" t="s">
        <v>5661</v>
      </c>
      <c r="I1154" s="21"/>
      <c r="J1154" s="25"/>
      <c r="K1154" s="26" t="s">
        <v>44</v>
      </c>
      <c r="L1154" s="16"/>
      <c r="M1154" s="21"/>
    </row>
    <row r="1155">
      <c r="A1155" s="28">
        <v>46232.0</v>
      </c>
      <c r="B1155" s="16" t="s">
        <v>5662</v>
      </c>
      <c r="C1155" s="20" t="s">
        <v>5663</v>
      </c>
      <c r="D1155" s="21"/>
      <c r="E1155" s="22" t="s">
        <v>5664</v>
      </c>
      <c r="H1155" s="23" t="s">
        <v>5665</v>
      </c>
      <c r="I1155" s="21"/>
      <c r="J1155" s="25"/>
      <c r="K1155" s="26" t="s">
        <v>44</v>
      </c>
      <c r="L1155" s="16"/>
      <c r="M1155" s="21"/>
    </row>
    <row r="1156">
      <c r="A1156" s="28">
        <v>46232.0</v>
      </c>
      <c r="B1156" s="16" t="s">
        <v>5666</v>
      </c>
      <c r="C1156" s="20" t="s">
        <v>5667</v>
      </c>
      <c r="D1156" s="21"/>
      <c r="E1156" s="22" t="s">
        <v>5668</v>
      </c>
      <c r="H1156" s="23" t="s">
        <v>5669</v>
      </c>
      <c r="I1156" s="21"/>
      <c r="J1156" s="25"/>
      <c r="K1156" s="26" t="s">
        <v>44</v>
      </c>
      <c r="L1156" s="16"/>
      <c r="M1156" s="21"/>
    </row>
    <row r="1157">
      <c r="A1157" s="28">
        <v>46232.0</v>
      </c>
      <c r="B1157" s="16" t="s">
        <v>5670</v>
      </c>
      <c r="C1157" s="20" t="s">
        <v>5671</v>
      </c>
      <c r="D1157" s="21"/>
      <c r="E1157" s="22" t="s">
        <v>5672</v>
      </c>
      <c r="H1157" s="23" t="s">
        <v>5673</v>
      </c>
      <c r="I1157" s="21"/>
      <c r="J1157" s="25"/>
      <c r="K1157" s="26" t="s">
        <v>44</v>
      </c>
      <c r="L1157" s="16"/>
      <c r="M1157" s="21"/>
    </row>
    <row r="1158">
      <c r="A1158" s="28">
        <v>46232.0</v>
      </c>
      <c r="B1158" s="16" t="s">
        <v>5674</v>
      </c>
      <c r="C1158" s="20" t="s">
        <v>5675</v>
      </c>
      <c r="D1158" s="21"/>
      <c r="E1158" s="22" t="s">
        <v>5676</v>
      </c>
      <c r="H1158" s="23" t="s">
        <v>1250</v>
      </c>
      <c r="I1158" s="21"/>
      <c r="J1158" s="25"/>
      <c r="K1158" s="26" t="s">
        <v>44</v>
      </c>
      <c r="L1158" s="16"/>
      <c r="M1158" s="21"/>
    </row>
    <row r="1159">
      <c r="A1159" s="28">
        <v>46232.0</v>
      </c>
      <c r="B1159" s="16" t="s">
        <v>5677</v>
      </c>
      <c r="C1159" s="20" t="s">
        <v>5678</v>
      </c>
      <c r="D1159" s="21"/>
      <c r="E1159" s="22" t="s">
        <v>5679</v>
      </c>
      <c r="H1159" s="23" t="s">
        <v>479</v>
      </c>
      <c r="I1159" s="21"/>
      <c r="J1159" s="25"/>
      <c r="K1159" s="26" t="s">
        <v>44</v>
      </c>
      <c r="L1159" s="16"/>
      <c r="M1159" s="21"/>
    </row>
    <row r="1160">
      <c r="A1160" s="28">
        <v>46232.0</v>
      </c>
      <c r="B1160" s="16" t="s">
        <v>5680</v>
      </c>
      <c r="C1160" s="20" t="s">
        <v>5681</v>
      </c>
      <c r="D1160" s="21"/>
      <c r="E1160" s="22" t="s">
        <v>5682</v>
      </c>
      <c r="H1160" s="23" t="s">
        <v>479</v>
      </c>
      <c r="I1160" s="21"/>
      <c r="J1160" s="25"/>
      <c r="K1160" s="26" t="s">
        <v>44</v>
      </c>
      <c r="L1160" s="16"/>
      <c r="M1160" s="21"/>
    </row>
    <row r="1161">
      <c r="A1161" s="28">
        <v>46232.0</v>
      </c>
      <c r="B1161" s="16" t="s">
        <v>5683</v>
      </c>
      <c r="C1161" s="20" t="s">
        <v>5684</v>
      </c>
      <c r="D1161" s="21"/>
      <c r="E1161" s="22" t="s">
        <v>5685</v>
      </c>
      <c r="H1161" s="23" t="s">
        <v>487</v>
      </c>
      <c r="I1161" s="21"/>
      <c r="J1161" s="25"/>
      <c r="K1161" s="26" t="s">
        <v>44</v>
      </c>
      <c r="L1161" s="16"/>
      <c r="M1161" s="21"/>
    </row>
    <row r="1162">
      <c r="A1162" s="28">
        <v>46232.0</v>
      </c>
      <c r="B1162" s="16" t="s">
        <v>5686</v>
      </c>
      <c r="C1162" s="20" t="s">
        <v>5687</v>
      </c>
      <c r="D1162" s="21"/>
      <c r="E1162" s="22" t="s">
        <v>5688</v>
      </c>
      <c r="H1162" s="23" t="s">
        <v>69</v>
      </c>
      <c r="I1162" s="21"/>
      <c r="J1162" s="25"/>
      <c r="K1162" s="26" t="s">
        <v>44</v>
      </c>
      <c r="L1162" s="16"/>
      <c r="M1162" s="21"/>
    </row>
    <row r="1163">
      <c r="A1163" s="28">
        <v>46232.0</v>
      </c>
      <c r="B1163" s="16" t="s">
        <v>5689</v>
      </c>
      <c r="C1163" s="20" t="s">
        <v>5690</v>
      </c>
      <c r="D1163" s="21"/>
      <c r="E1163" s="22" t="s">
        <v>5691</v>
      </c>
      <c r="H1163" s="23" t="s">
        <v>5692</v>
      </c>
      <c r="I1163" s="21"/>
      <c r="J1163" s="25"/>
      <c r="K1163" s="26" t="s">
        <v>44</v>
      </c>
      <c r="L1163" s="16"/>
      <c r="M1163" s="21"/>
    </row>
    <row r="1164">
      <c r="A1164" s="28">
        <v>46232.0</v>
      </c>
      <c r="B1164" s="16" t="s">
        <v>5693</v>
      </c>
      <c r="C1164" s="20" t="s">
        <v>5694</v>
      </c>
      <c r="D1164" s="21"/>
      <c r="E1164" s="22" t="s">
        <v>5695</v>
      </c>
      <c r="H1164" s="23" t="s">
        <v>5696</v>
      </c>
      <c r="I1164" s="21"/>
      <c r="J1164" s="25"/>
      <c r="K1164" s="26" t="s">
        <v>44</v>
      </c>
      <c r="L1164" s="16"/>
      <c r="M1164" s="21"/>
    </row>
    <row r="1165">
      <c r="A1165" s="28">
        <v>46232.0</v>
      </c>
      <c r="B1165" s="16" t="s">
        <v>5697</v>
      </c>
      <c r="C1165" s="46" t="s">
        <v>5698</v>
      </c>
      <c r="D1165" s="21"/>
      <c r="E1165" s="22" t="s">
        <v>5699</v>
      </c>
      <c r="H1165" s="23" t="s">
        <v>1534</v>
      </c>
      <c r="I1165" s="21"/>
      <c r="J1165" s="25"/>
      <c r="K1165" s="26" t="s">
        <v>44</v>
      </c>
      <c r="L1165" s="16"/>
      <c r="M1165" s="21"/>
    </row>
    <row r="1166">
      <c r="A1166" s="28">
        <v>46232.0</v>
      </c>
      <c r="B1166" s="16" t="s">
        <v>5700</v>
      </c>
      <c r="C1166" s="20" t="s">
        <v>5701</v>
      </c>
      <c r="D1166" s="21"/>
      <c r="E1166" s="22" t="s">
        <v>5702</v>
      </c>
      <c r="H1166" s="23" t="s">
        <v>57</v>
      </c>
      <c r="I1166" s="21"/>
      <c r="J1166" s="25"/>
      <c r="K1166" s="26" t="s">
        <v>44</v>
      </c>
      <c r="L1166" s="16"/>
      <c r="M1166" s="21"/>
    </row>
    <row r="1167">
      <c r="A1167" s="28">
        <v>46232.0</v>
      </c>
      <c r="B1167" s="16" t="s">
        <v>5703</v>
      </c>
      <c r="C1167" s="20" t="s">
        <v>5704</v>
      </c>
      <c r="D1167" s="21"/>
      <c r="E1167" s="22" t="s">
        <v>5705</v>
      </c>
      <c r="H1167" s="23" t="s">
        <v>5706</v>
      </c>
      <c r="I1167" s="21"/>
      <c r="J1167" s="25"/>
      <c r="K1167" s="26" t="s">
        <v>44</v>
      </c>
      <c r="L1167" s="16"/>
      <c r="M1167" s="21"/>
    </row>
    <row r="1168">
      <c r="A1168" s="28">
        <v>46232.0</v>
      </c>
      <c r="B1168" s="16" t="s">
        <v>5707</v>
      </c>
      <c r="C1168" s="20" t="s">
        <v>5708</v>
      </c>
      <c r="D1168" s="21"/>
      <c r="E1168" s="22" t="s">
        <v>5709</v>
      </c>
      <c r="H1168" s="23" t="s">
        <v>1368</v>
      </c>
      <c r="I1168" s="21"/>
      <c r="J1168" s="25"/>
      <c r="K1168" s="26" t="s">
        <v>44</v>
      </c>
      <c r="L1168" s="16"/>
      <c r="M1168" s="21"/>
    </row>
    <row r="1169">
      <c r="A1169" s="28">
        <v>46232.0</v>
      </c>
      <c r="B1169" s="16" t="s">
        <v>5710</v>
      </c>
      <c r="C1169" s="20" t="s">
        <v>5711</v>
      </c>
      <c r="D1169" s="21"/>
      <c r="E1169" s="22" t="s">
        <v>5712</v>
      </c>
      <c r="H1169" s="23" t="s">
        <v>2007</v>
      </c>
      <c r="I1169" s="21"/>
      <c r="J1169" s="25"/>
      <c r="K1169" s="26" t="s">
        <v>44</v>
      </c>
      <c r="L1169" s="16"/>
      <c r="M1169" s="21"/>
    </row>
    <row r="1170">
      <c r="A1170" s="28">
        <v>46232.0</v>
      </c>
      <c r="B1170" s="16" t="s">
        <v>5713</v>
      </c>
      <c r="C1170" s="20" t="s">
        <v>5714</v>
      </c>
      <c r="D1170" s="21"/>
      <c r="E1170" s="22" t="s">
        <v>5715</v>
      </c>
      <c r="H1170" s="23" t="s">
        <v>2549</v>
      </c>
      <c r="I1170" s="21"/>
      <c r="J1170" s="25"/>
      <c r="K1170" s="26" t="s">
        <v>44</v>
      </c>
      <c r="L1170" s="16"/>
      <c r="M1170" s="21"/>
    </row>
    <row r="1171">
      <c r="A1171" s="28">
        <v>46232.0</v>
      </c>
      <c r="B1171" s="16" t="s">
        <v>5716</v>
      </c>
      <c r="C1171" s="20" t="s">
        <v>5717</v>
      </c>
      <c r="D1171" s="21"/>
      <c r="E1171" s="22" t="s">
        <v>5718</v>
      </c>
      <c r="H1171" s="23" t="s">
        <v>5719</v>
      </c>
      <c r="I1171" s="21"/>
      <c r="J1171" s="25"/>
      <c r="K1171" s="26" t="s">
        <v>44</v>
      </c>
      <c r="L1171" s="16"/>
      <c r="M1171" s="21"/>
    </row>
    <row r="1172">
      <c r="A1172" s="28">
        <v>46232.0</v>
      </c>
      <c r="B1172" s="16" t="s">
        <v>5720</v>
      </c>
      <c r="C1172" s="20" t="s">
        <v>5721</v>
      </c>
      <c r="D1172" s="21"/>
      <c r="E1172" s="22" t="s">
        <v>5722</v>
      </c>
      <c r="H1172" s="23" t="s">
        <v>960</v>
      </c>
      <c r="I1172" s="21"/>
      <c r="J1172" s="25"/>
      <c r="K1172" s="26" t="s">
        <v>44</v>
      </c>
      <c r="L1172" s="16"/>
      <c r="M1172" s="21"/>
    </row>
    <row r="1173">
      <c r="A1173" s="28">
        <v>46232.0</v>
      </c>
      <c r="B1173" s="16" t="s">
        <v>5723</v>
      </c>
      <c r="C1173" s="20" t="s">
        <v>5724</v>
      </c>
      <c r="D1173" s="21"/>
      <c r="E1173" s="22" t="s">
        <v>5725</v>
      </c>
      <c r="H1173" s="23" t="s">
        <v>1819</v>
      </c>
      <c r="I1173" s="21"/>
      <c r="J1173" s="25"/>
      <c r="K1173" s="26" t="s">
        <v>44</v>
      </c>
      <c r="L1173" s="16"/>
      <c r="M1173" s="21"/>
    </row>
    <row r="1174">
      <c r="A1174" s="28">
        <v>46232.0</v>
      </c>
      <c r="B1174" s="16" t="s">
        <v>5726</v>
      </c>
      <c r="C1174" s="20" t="s">
        <v>5727</v>
      </c>
      <c r="D1174" s="21"/>
      <c r="E1174" s="22" t="s">
        <v>5728</v>
      </c>
      <c r="H1174" s="23" t="s">
        <v>1963</v>
      </c>
      <c r="I1174" s="21"/>
      <c r="J1174" s="25"/>
      <c r="K1174" s="26" t="s">
        <v>44</v>
      </c>
      <c r="L1174" s="16"/>
      <c r="M1174" s="21"/>
    </row>
    <row r="1175">
      <c r="A1175" s="28">
        <v>46232.0</v>
      </c>
      <c r="B1175" s="16" t="s">
        <v>5729</v>
      </c>
      <c r="C1175" s="20" t="s">
        <v>5730</v>
      </c>
      <c r="D1175" s="21"/>
      <c r="E1175" s="22" t="s">
        <v>5731</v>
      </c>
      <c r="H1175" s="23" t="s">
        <v>48</v>
      </c>
      <c r="I1175" s="21"/>
      <c r="J1175" s="25"/>
      <c r="K1175" s="26" t="s">
        <v>44</v>
      </c>
      <c r="L1175" s="16"/>
      <c r="M1175" s="21"/>
    </row>
    <row r="1176">
      <c r="A1176" s="28">
        <v>46232.0</v>
      </c>
      <c r="B1176" s="16" t="s">
        <v>5732</v>
      </c>
      <c r="C1176" s="20" t="s">
        <v>5733</v>
      </c>
      <c r="D1176" s="21"/>
      <c r="E1176" s="22" t="s">
        <v>5734</v>
      </c>
      <c r="H1176" s="23" t="s">
        <v>1331</v>
      </c>
      <c r="I1176" s="21"/>
      <c r="J1176" s="25"/>
      <c r="K1176" s="26" t="s">
        <v>44</v>
      </c>
      <c r="L1176" s="16"/>
      <c r="M1176" s="21"/>
    </row>
    <row r="1177">
      <c r="A1177" s="28">
        <v>46232.0</v>
      </c>
      <c r="B1177" s="16" t="s">
        <v>5735</v>
      </c>
      <c r="C1177" s="20" t="s">
        <v>5736</v>
      </c>
      <c r="D1177" s="21"/>
      <c r="E1177" s="22" t="s">
        <v>5737</v>
      </c>
      <c r="H1177" s="23" t="s">
        <v>5738</v>
      </c>
      <c r="I1177" s="21"/>
      <c r="J1177" s="25"/>
      <c r="K1177" s="26" t="s">
        <v>44</v>
      </c>
      <c r="L1177" s="16"/>
      <c r="M1177" s="21"/>
    </row>
    <row r="1178">
      <c r="A1178" s="28">
        <v>46232.0</v>
      </c>
      <c r="B1178" s="16" t="s">
        <v>5739</v>
      </c>
      <c r="C1178" s="20" t="s">
        <v>5740</v>
      </c>
      <c r="D1178" s="21"/>
      <c r="E1178" s="22" t="s">
        <v>5741</v>
      </c>
      <c r="H1178" s="23" t="s">
        <v>5742</v>
      </c>
      <c r="I1178" s="21"/>
      <c r="J1178" s="25"/>
      <c r="K1178" s="26" t="s">
        <v>44</v>
      </c>
      <c r="L1178" s="16"/>
      <c r="M1178" s="21"/>
    </row>
    <row r="1179">
      <c r="A1179" s="28">
        <v>46232.0</v>
      </c>
      <c r="B1179" s="16" t="s">
        <v>5743</v>
      </c>
      <c r="C1179" s="20" t="s">
        <v>5744</v>
      </c>
      <c r="D1179" s="21"/>
      <c r="E1179" s="22" t="s">
        <v>5745</v>
      </c>
      <c r="H1179" s="23" t="s">
        <v>652</v>
      </c>
      <c r="I1179" s="21"/>
      <c r="J1179" s="25"/>
      <c r="K1179" s="26" t="s">
        <v>44</v>
      </c>
      <c r="L1179" s="16"/>
      <c r="M1179" s="21"/>
    </row>
    <row r="1180">
      <c r="A1180" s="28">
        <v>46232.0</v>
      </c>
      <c r="B1180" s="16" t="s">
        <v>5746</v>
      </c>
      <c r="C1180" s="20" t="s">
        <v>5747</v>
      </c>
      <c r="D1180" s="21"/>
      <c r="E1180" s="22" t="s">
        <v>5748</v>
      </c>
      <c r="H1180" s="23" t="s">
        <v>2096</v>
      </c>
      <c r="I1180" s="21"/>
      <c r="J1180" s="25"/>
      <c r="K1180" s="26" t="s">
        <v>44</v>
      </c>
      <c r="L1180" s="16"/>
      <c r="M1180" s="21"/>
    </row>
    <row r="1181">
      <c r="A1181" s="28">
        <v>46232.0</v>
      </c>
      <c r="B1181" s="16" t="s">
        <v>5749</v>
      </c>
      <c r="C1181" s="20" t="s">
        <v>5750</v>
      </c>
      <c r="D1181" s="21"/>
      <c r="E1181" s="22" t="s">
        <v>5751</v>
      </c>
      <c r="H1181" s="23" t="s">
        <v>69</v>
      </c>
      <c r="I1181" s="21"/>
      <c r="J1181" s="25"/>
      <c r="K1181" s="26" t="s">
        <v>44</v>
      </c>
      <c r="L1181" s="16"/>
      <c r="M1181" s="21"/>
    </row>
    <row r="1182">
      <c r="A1182" s="28">
        <v>46232.0</v>
      </c>
      <c r="B1182" s="16" t="s">
        <v>5752</v>
      </c>
      <c r="C1182" s="20" t="s">
        <v>5753</v>
      </c>
      <c r="D1182" s="21"/>
      <c r="E1182" s="22" t="s">
        <v>5754</v>
      </c>
      <c r="H1182" s="23" t="s">
        <v>80</v>
      </c>
      <c r="I1182" s="21"/>
      <c r="J1182" s="25"/>
      <c r="K1182" s="26" t="s">
        <v>44</v>
      </c>
      <c r="L1182" s="16"/>
      <c r="M1182" s="21"/>
    </row>
    <row r="1183">
      <c r="A1183" s="28">
        <v>46232.0</v>
      </c>
      <c r="B1183" s="16" t="s">
        <v>5755</v>
      </c>
      <c r="C1183" s="20" t="s">
        <v>5756</v>
      </c>
      <c r="D1183" s="21"/>
      <c r="E1183" s="22" t="s">
        <v>5757</v>
      </c>
      <c r="H1183" s="23" t="s">
        <v>1093</v>
      </c>
      <c r="I1183" s="21"/>
      <c r="J1183" s="25"/>
      <c r="K1183" s="26" t="s">
        <v>44</v>
      </c>
      <c r="L1183" s="16"/>
      <c r="M1183" s="21"/>
    </row>
    <row r="1184">
      <c r="A1184" s="28">
        <v>46232.0</v>
      </c>
      <c r="B1184" s="16" t="s">
        <v>5758</v>
      </c>
      <c r="C1184" s="20" t="s">
        <v>5759</v>
      </c>
      <c r="D1184" s="21"/>
      <c r="E1184" s="22" t="s">
        <v>5760</v>
      </c>
      <c r="H1184" s="23" t="s">
        <v>2606</v>
      </c>
      <c r="I1184" s="21"/>
      <c r="J1184" s="25"/>
      <c r="K1184" s="26" t="s">
        <v>44</v>
      </c>
      <c r="L1184" s="16"/>
      <c r="M1184" s="21"/>
    </row>
    <row r="1185">
      <c r="A1185" s="28">
        <v>46232.0</v>
      </c>
      <c r="B1185" s="16" t="s">
        <v>5761</v>
      </c>
      <c r="C1185" s="20" t="s">
        <v>5762</v>
      </c>
      <c r="D1185" s="21"/>
      <c r="E1185" s="22" t="s">
        <v>5763</v>
      </c>
      <c r="H1185" s="23" t="s">
        <v>5764</v>
      </c>
      <c r="I1185" s="21"/>
      <c r="J1185" s="25"/>
      <c r="K1185" s="26" t="s">
        <v>44</v>
      </c>
      <c r="L1185" s="16"/>
      <c r="M1185" s="21"/>
    </row>
    <row r="1186">
      <c r="A1186" s="28">
        <v>46232.0</v>
      </c>
      <c r="B1186" s="16" t="s">
        <v>5765</v>
      </c>
      <c r="C1186" s="20" t="s">
        <v>5766</v>
      </c>
      <c r="D1186" s="21"/>
      <c r="E1186" s="22" t="s">
        <v>5767</v>
      </c>
      <c r="H1186" s="23" t="s">
        <v>713</v>
      </c>
      <c r="I1186" s="21"/>
      <c r="J1186" s="25"/>
      <c r="K1186" s="26" t="s">
        <v>44</v>
      </c>
      <c r="L1186" s="16"/>
      <c r="M1186" s="21"/>
    </row>
    <row r="1187">
      <c r="A1187" s="28">
        <v>46232.0</v>
      </c>
      <c r="B1187" s="16" t="s">
        <v>5768</v>
      </c>
      <c r="C1187" s="20" t="s">
        <v>5769</v>
      </c>
      <c r="D1187" s="21"/>
      <c r="E1187" s="22" t="s">
        <v>5770</v>
      </c>
      <c r="H1187" s="23" t="s">
        <v>5771</v>
      </c>
      <c r="I1187" s="21"/>
      <c r="J1187" s="25"/>
      <c r="K1187" s="26" t="s">
        <v>44</v>
      </c>
      <c r="L1187" s="16"/>
      <c r="M1187" s="21"/>
    </row>
    <row r="1188">
      <c r="A1188" s="28">
        <v>46232.0</v>
      </c>
      <c r="B1188" s="16" t="s">
        <v>5772</v>
      </c>
      <c r="C1188" s="20" t="s">
        <v>5773</v>
      </c>
      <c r="D1188" s="21"/>
      <c r="E1188" s="22" t="s">
        <v>5774</v>
      </c>
      <c r="H1188" s="23" t="s">
        <v>5775</v>
      </c>
      <c r="I1188" s="21"/>
      <c r="J1188" s="25"/>
      <c r="K1188" s="26" t="s">
        <v>44</v>
      </c>
      <c r="L1188" s="16"/>
      <c r="M1188" s="21"/>
    </row>
    <row r="1189">
      <c r="A1189" s="28">
        <v>46232.0</v>
      </c>
      <c r="B1189" s="16" t="s">
        <v>5776</v>
      </c>
      <c r="C1189" s="46" t="s">
        <v>5777</v>
      </c>
      <c r="D1189" s="21"/>
      <c r="E1189" s="22" t="s">
        <v>5778</v>
      </c>
      <c r="H1189" s="23" t="s">
        <v>5779</v>
      </c>
      <c r="I1189" s="21"/>
      <c r="J1189" s="25"/>
      <c r="K1189" s="26" t="s">
        <v>44</v>
      </c>
      <c r="L1189" s="16"/>
      <c r="M1189" s="21"/>
    </row>
    <row r="1190">
      <c r="A1190" s="28">
        <v>46232.0</v>
      </c>
      <c r="B1190" s="16" t="s">
        <v>5780</v>
      </c>
      <c r="C1190" s="20" t="s">
        <v>5781</v>
      </c>
      <c r="D1190" s="21"/>
      <c r="E1190" s="22" t="s">
        <v>5782</v>
      </c>
      <c r="H1190" s="23" t="s">
        <v>5783</v>
      </c>
      <c r="I1190" s="21"/>
      <c r="J1190" s="25"/>
      <c r="K1190" s="26" t="s">
        <v>44</v>
      </c>
      <c r="L1190" s="16"/>
      <c r="M1190" s="21"/>
    </row>
    <row r="1191">
      <c r="A1191" s="28">
        <v>46232.0</v>
      </c>
      <c r="B1191" s="16" t="s">
        <v>5784</v>
      </c>
      <c r="C1191" s="20" t="s">
        <v>5785</v>
      </c>
      <c r="D1191" s="21"/>
      <c r="E1191" s="22" t="s">
        <v>5786</v>
      </c>
      <c r="H1191" s="23" t="s">
        <v>111</v>
      </c>
      <c r="I1191" s="21"/>
      <c r="J1191" s="25"/>
      <c r="K1191" s="26" t="s">
        <v>44</v>
      </c>
      <c r="L1191" s="16"/>
      <c r="M1191" s="21"/>
    </row>
    <row r="1192">
      <c r="A1192" s="28">
        <v>46232.0</v>
      </c>
      <c r="B1192" s="16" t="s">
        <v>5787</v>
      </c>
      <c r="C1192" s="20" t="s">
        <v>5788</v>
      </c>
      <c r="D1192" s="21"/>
      <c r="E1192" s="22" t="s">
        <v>5789</v>
      </c>
      <c r="H1192" s="23" t="s">
        <v>65</v>
      </c>
      <c r="I1192" s="21"/>
      <c r="J1192" s="25"/>
      <c r="K1192" s="26" t="s">
        <v>44</v>
      </c>
      <c r="L1192" s="16"/>
      <c r="M1192" s="21"/>
    </row>
    <row r="1193">
      <c r="A1193" s="28">
        <v>46232.0</v>
      </c>
      <c r="B1193" s="16" t="s">
        <v>5790</v>
      </c>
      <c r="C1193" s="46" t="s">
        <v>5791</v>
      </c>
      <c r="D1193" s="21"/>
      <c r="E1193" s="22" t="s">
        <v>5792</v>
      </c>
      <c r="H1193" s="23" t="s">
        <v>713</v>
      </c>
      <c r="I1193" s="21"/>
      <c r="J1193" s="25"/>
      <c r="K1193" s="26" t="s">
        <v>44</v>
      </c>
      <c r="L1193" s="16"/>
      <c r="M1193" s="21"/>
    </row>
    <row r="1194">
      <c r="A1194" s="28">
        <v>46232.0</v>
      </c>
      <c r="B1194" s="16" t="s">
        <v>5793</v>
      </c>
      <c r="C1194" s="20" t="s">
        <v>5794</v>
      </c>
      <c r="D1194" s="21"/>
      <c r="E1194" s="22" t="s">
        <v>5795</v>
      </c>
      <c r="H1194" s="23" t="s">
        <v>5796</v>
      </c>
      <c r="I1194" s="21"/>
      <c r="J1194" s="25"/>
      <c r="K1194" s="26" t="s">
        <v>44</v>
      </c>
      <c r="L1194" s="16"/>
      <c r="M1194" s="21"/>
    </row>
    <row r="1195">
      <c r="A1195" s="28">
        <v>46232.0</v>
      </c>
      <c r="B1195" s="16" t="s">
        <v>5797</v>
      </c>
      <c r="C1195" s="20" t="s">
        <v>5798</v>
      </c>
      <c r="D1195" s="21"/>
      <c r="E1195" s="22" t="s">
        <v>5799</v>
      </c>
      <c r="H1195" s="23" t="s">
        <v>1196</v>
      </c>
      <c r="I1195" s="21"/>
      <c r="J1195" s="25"/>
      <c r="K1195" s="26" t="s">
        <v>44</v>
      </c>
      <c r="L1195" s="16"/>
      <c r="M1195" s="21"/>
    </row>
    <row r="1196">
      <c r="A1196" s="28">
        <v>46232.0</v>
      </c>
      <c r="B1196" s="16" t="s">
        <v>5800</v>
      </c>
      <c r="C1196" s="20" t="s">
        <v>5801</v>
      </c>
      <c r="D1196" s="21"/>
      <c r="E1196" s="22" t="s">
        <v>5802</v>
      </c>
      <c r="H1196" s="23" t="s">
        <v>5803</v>
      </c>
      <c r="I1196" s="21"/>
      <c r="J1196" s="25"/>
      <c r="K1196" s="26" t="s">
        <v>44</v>
      </c>
      <c r="L1196" s="16"/>
      <c r="M1196" s="21"/>
    </row>
    <row r="1197">
      <c r="A1197" s="28">
        <v>46232.0</v>
      </c>
      <c r="B1197" s="16" t="s">
        <v>5804</v>
      </c>
      <c r="C1197" s="20" t="s">
        <v>5805</v>
      </c>
      <c r="D1197" s="21"/>
      <c r="E1197" s="22" t="s">
        <v>5806</v>
      </c>
      <c r="H1197" s="23" t="s">
        <v>5807</v>
      </c>
      <c r="I1197" s="21"/>
      <c r="J1197" s="25"/>
      <c r="K1197" s="26" t="s">
        <v>44</v>
      </c>
      <c r="L1197" s="16"/>
      <c r="M1197" s="21"/>
    </row>
    <row r="1198">
      <c r="A1198" s="28">
        <v>46232.0</v>
      </c>
      <c r="B1198" s="16" t="s">
        <v>5808</v>
      </c>
      <c r="C1198" s="20" t="s">
        <v>5809</v>
      </c>
      <c r="D1198" s="21"/>
      <c r="E1198" s="22" t="s">
        <v>5810</v>
      </c>
      <c r="H1198" s="23" t="s">
        <v>1608</v>
      </c>
      <c r="I1198" s="21"/>
      <c r="J1198" s="25"/>
      <c r="K1198" s="26" t="s">
        <v>44</v>
      </c>
      <c r="L1198" s="16"/>
      <c r="M1198" s="21"/>
    </row>
    <row r="1199">
      <c r="A1199" s="28">
        <v>46232.0</v>
      </c>
      <c r="B1199" s="16" t="s">
        <v>5811</v>
      </c>
      <c r="C1199" s="20" t="s">
        <v>5812</v>
      </c>
      <c r="D1199" s="21"/>
      <c r="E1199" s="22" t="s">
        <v>5813</v>
      </c>
      <c r="H1199" s="23" t="s">
        <v>2251</v>
      </c>
      <c r="I1199" s="21"/>
      <c r="J1199" s="25"/>
      <c r="K1199" s="26" t="s">
        <v>44</v>
      </c>
      <c r="L1199" s="16"/>
      <c r="M1199" s="21"/>
    </row>
    <row r="1200">
      <c r="A1200" s="28">
        <v>46232.0</v>
      </c>
      <c r="B1200" s="16" t="s">
        <v>5814</v>
      </c>
      <c r="C1200" s="20" t="s">
        <v>5815</v>
      </c>
      <c r="D1200" s="21"/>
      <c r="E1200" s="22" t="s">
        <v>5816</v>
      </c>
      <c r="H1200" s="23" t="s">
        <v>5817</v>
      </c>
      <c r="I1200" s="21"/>
      <c r="J1200" s="25"/>
      <c r="K1200" s="26" t="s">
        <v>44</v>
      </c>
      <c r="L1200" s="16"/>
      <c r="M1200" s="21"/>
    </row>
    <row r="1201">
      <c r="A1201" s="28">
        <v>46232.0</v>
      </c>
      <c r="B1201" s="16" t="s">
        <v>5818</v>
      </c>
      <c r="C1201" s="20" t="s">
        <v>5819</v>
      </c>
      <c r="D1201" s="21"/>
      <c r="E1201" s="22" t="s">
        <v>5820</v>
      </c>
      <c r="H1201" s="23" t="s">
        <v>1819</v>
      </c>
      <c r="I1201" s="21"/>
      <c r="J1201" s="25"/>
      <c r="K1201" s="26" t="s">
        <v>44</v>
      </c>
      <c r="L1201" s="16"/>
      <c r="M1201" s="21"/>
    </row>
    <row r="1202">
      <c r="A1202" s="28">
        <v>46232.0</v>
      </c>
      <c r="B1202" s="16" t="s">
        <v>5821</v>
      </c>
      <c r="C1202" s="20" t="s">
        <v>5822</v>
      </c>
      <c r="D1202" s="21"/>
      <c r="E1202" s="22" t="s">
        <v>5823</v>
      </c>
      <c r="H1202" s="23" t="s">
        <v>1429</v>
      </c>
      <c r="I1202" s="21"/>
      <c r="J1202" s="25"/>
      <c r="K1202" s="26" t="s">
        <v>44</v>
      </c>
      <c r="L1202" s="16"/>
      <c r="M1202" s="21"/>
    </row>
    <row r="1203">
      <c r="A1203" s="28">
        <v>46232.0</v>
      </c>
      <c r="B1203" s="16" t="s">
        <v>5824</v>
      </c>
      <c r="C1203" s="20" t="s">
        <v>5825</v>
      </c>
      <c r="D1203" s="21"/>
      <c r="E1203" s="22" t="s">
        <v>5826</v>
      </c>
      <c r="H1203" s="23" t="s">
        <v>5827</v>
      </c>
      <c r="I1203" s="21"/>
      <c r="J1203" s="25"/>
      <c r="K1203" s="26" t="s">
        <v>44</v>
      </c>
      <c r="L1203" s="16"/>
      <c r="M1203" s="21"/>
    </row>
    <row r="1204">
      <c r="A1204" s="28">
        <v>46232.0</v>
      </c>
      <c r="B1204" s="16" t="s">
        <v>5828</v>
      </c>
      <c r="C1204" s="20" t="s">
        <v>5829</v>
      </c>
      <c r="D1204" s="21"/>
      <c r="E1204" s="22" t="s">
        <v>5830</v>
      </c>
      <c r="H1204" s="23" t="s">
        <v>5831</v>
      </c>
      <c r="I1204" s="21"/>
      <c r="J1204" s="25"/>
      <c r="K1204" s="26" t="s">
        <v>44</v>
      </c>
      <c r="L1204" s="16"/>
      <c r="M1204" s="21"/>
    </row>
    <row r="1205">
      <c r="A1205" s="28">
        <v>46232.0</v>
      </c>
      <c r="B1205" s="16" t="s">
        <v>5832</v>
      </c>
      <c r="C1205" s="20" t="s">
        <v>5833</v>
      </c>
      <c r="D1205" s="21"/>
      <c r="E1205" s="22" t="s">
        <v>5834</v>
      </c>
      <c r="H1205" s="23" t="s">
        <v>1686</v>
      </c>
      <c r="I1205" s="21"/>
      <c r="J1205" s="25"/>
      <c r="K1205" s="26" t="s">
        <v>44</v>
      </c>
      <c r="L1205" s="16"/>
      <c r="M1205" s="21"/>
    </row>
    <row r="1206">
      <c r="A1206" s="28">
        <v>46232.0</v>
      </c>
      <c r="B1206" s="16" t="s">
        <v>5835</v>
      </c>
      <c r="C1206" s="20" t="s">
        <v>5836</v>
      </c>
      <c r="D1206" s="21"/>
      <c r="E1206" s="22" t="s">
        <v>5837</v>
      </c>
      <c r="H1206" s="23" t="s">
        <v>4882</v>
      </c>
      <c r="I1206" s="21"/>
      <c r="J1206" s="25"/>
      <c r="K1206" s="26" t="s">
        <v>44</v>
      </c>
      <c r="L1206" s="16"/>
      <c r="M1206" s="21"/>
    </row>
    <row r="1207">
      <c r="A1207" s="28">
        <v>46232.0</v>
      </c>
      <c r="B1207" s="16" t="s">
        <v>5838</v>
      </c>
      <c r="C1207" s="20" t="s">
        <v>5839</v>
      </c>
      <c r="D1207" s="21"/>
      <c r="E1207" s="22" t="s">
        <v>5840</v>
      </c>
      <c r="H1207" s="23" t="s">
        <v>5841</v>
      </c>
      <c r="I1207" s="21"/>
      <c r="J1207" s="25"/>
      <c r="K1207" s="26" t="s">
        <v>44</v>
      </c>
      <c r="L1207" s="16"/>
      <c r="M1207" s="21"/>
    </row>
    <row r="1208">
      <c r="A1208" s="28">
        <v>46232.0</v>
      </c>
      <c r="B1208" s="16" t="s">
        <v>5842</v>
      </c>
      <c r="C1208" s="20" t="s">
        <v>5843</v>
      </c>
      <c r="D1208" s="21"/>
      <c r="E1208" s="22" t="s">
        <v>5844</v>
      </c>
      <c r="H1208" s="23" t="s">
        <v>487</v>
      </c>
      <c r="I1208" s="21"/>
      <c r="J1208" s="25"/>
      <c r="K1208" s="26" t="s">
        <v>44</v>
      </c>
      <c r="L1208" s="16"/>
      <c r="M1208" s="21"/>
    </row>
    <row r="1209">
      <c r="A1209" s="28">
        <v>46232.0</v>
      </c>
      <c r="B1209" s="16" t="s">
        <v>5845</v>
      </c>
      <c r="C1209" s="20" t="s">
        <v>5846</v>
      </c>
      <c r="D1209" s="21"/>
      <c r="E1209" s="22" t="s">
        <v>5847</v>
      </c>
      <c r="H1209" s="23" t="s">
        <v>69</v>
      </c>
      <c r="I1209" s="21"/>
      <c r="J1209" s="25"/>
      <c r="K1209" s="26" t="s">
        <v>44</v>
      </c>
      <c r="L1209" s="16"/>
      <c r="M1209" s="21"/>
    </row>
    <row r="1210">
      <c r="A1210" s="28">
        <v>46232.0</v>
      </c>
      <c r="B1210" s="16" t="s">
        <v>5848</v>
      </c>
      <c r="C1210" s="20" t="s">
        <v>5849</v>
      </c>
      <c r="D1210" s="21"/>
      <c r="E1210" s="22" t="s">
        <v>5850</v>
      </c>
      <c r="H1210" s="23" t="s">
        <v>5851</v>
      </c>
      <c r="I1210" s="21"/>
      <c r="J1210" s="25"/>
      <c r="K1210" s="26" t="s">
        <v>44</v>
      </c>
      <c r="L1210" s="16"/>
      <c r="M1210" s="21"/>
    </row>
    <row r="1211">
      <c r="A1211" s="28">
        <v>46232.0</v>
      </c>
      <c r="B1211" s="16" t="s">
        <v>5852</v>
      </c>
      <c r="C1211" s="20" t="s">
        <v>5853</v>
      </c>
      <c r="D1211" s="21"/>
      <c r="E1211" s="22" t="s">
        <v>5854</v>
      </c>
      <c r="H1211" s="23" t="s">
        <v>800</v>
      </c>
      <c r="I1211" s="21"/>
      <c r="J1211" s="25"/>
      <c r="K1211" s="26" t="s">
        <v>44</v>
      </c>
      <c r="L1211" s="16"/>
      <c r="M1211" s="21"/>
    </row>
    <row r="1212">
      <c r="A1212" s="28">
        <v>46232.0</v>
      </c>
      <c r="B1212" s="16" t="s">
        <v>5855</v>
      </c>
      <c r="C1212" s="20" t="s">
        <v>5856</v>
      </c>
      <c r="D1212" s="21"/>
      <c r="E1212" s="22" t="s">
        <v>5857</v>
      </c>
      <c r="H1212" s="23" t="s">
        <v>5858</v>
      </c>
      <c r="I1212" s="21"/>
      <c r="J1212" s="25"/>
      <c r="K1212" s="26" t="s">
        <v>44</v>
      </c>
      <c r="L1212" s="16"/>
      <c r="M1212" s="21"/>
    </row>
    <row r="1213">
      <c r="A1213" s="28">
        <v>46232.0</v>
      </c>
      <c r="B1213" s="16" t="s">
        <v>5859</v>
      </c>
      <c r="C1213" s="20" t="s">
        <v>5860</v>
      </c>
      <c r="D1213" s="21"/>
      <c r="E1213" s="22" t="s">
        <v>5861</v>
      </c>
      <c r="H1213" s="23" t="s">
        <v>5862</v>
      </c>
      <c r="I1213" s="21"/>
      <c r="J1213" s="25"/>
      <c r="K1213" s="26" t="s">
        <v>44</v>
      </c>
      <c r="L1213" s="16"/>
      <c r="M1213" s="21"/>
    </row>
    <row r="1214">
      <c r="A1214" s="28">
        <v>46232.0</v>
      </c>
      <c r="B1214" s="16" t="s">
        <v>5863</v>
      </c>
      <c r="C1214" s="20" t="s">
        <v>5864</v>
      </c>
      <c r="D1214" s="21"/>
      <c r="E1214" s="22" t="s">
        <v>5865</v>
      </c>
      <c r="H1214" s="23" t="s">
        <v>1149</v>
      </c>
      <c r="I1214" s="21"/>
      <c r="J1214" s="25"/>
      <c r="K1214" s="26" t="s">
        <v>44</v>
      </c>
      <c r="L1214" s="16"/>
      <c r="M1214" s="21"/>
    </row>
    <row r="1215">
      <c r="A1215" s="28">
        <v>46232.0</v>
      </c>
      <c r="B1215" s="16" t="s">
        <v>5866</v>
      </c>
      <c r="C1215" s="20" t="s">
        <v>5867</v>
      </c>
      <c r="D1215" s="21"/>
      <c r="E1215" s="22" t="s">
        <v>5868</v>
      </c>
      <c r="H1215" s="23" t="s">
        <v>856</v>
      </c>
      <c r="I1215" s="21"/>
      <c r="J1215" s="25"/>
      <c r="K1215" s="26" t="s">
        <v>44</v>
      </c>
      <c r="L1215" s="16"/>
      <c r="M1215" s="21"/>
    </row>
    <row r="1216">
      <c r="A1216" s="28">
        <v>46232.0</v>
      </c>
      <c r="B1216" s="16" t="s">
        <v>5869</v>
      </c>
      <c r="C1216" s="20" t="s">
        <v>5870</v>
      </c>
      <c r="D1216" s="21"/>
      <c r="E1216" s="22" t="s">
        <v>5871</v>
      </c>
      <c r="H1216" s="23" t="s">
        <v>5872</v>
      </c>
      <c r="I1216" s="21"/>
      <c r="J1216" s="25"/>
      <c r="K1216" s="26" t="s">
        <v>44</v>
      </c>
      <c r="L1216" s="16"/>
      <c r="M1216" s="21"/>
    </row>
    <row r="1217">
      <c r="A1217" s="28">
        <v>46232.0</v>
      </c>
      <c r="B1217" s="16" t="s">
        <v>5873</v>
      </c>
      <c r="C1217" s="20" t="s">
        <v>5874</v>
      </c>
      <c r="D1217" s="21"/>
      <c r="E1217" s="22" t="s">
        <v>5875</v>
      </c>
      <c r="H1217" s="23" t="s">
        <v>5876</v>
      </c>
      <c r="I1217" s="21"/>
      <c r="J1217" s="25"/>
      <c r="K1217" s="26" t="s">
        <v>44</v>
      </c>
      <c r="L1217" s="16"/>
      <c r="M1217" s="21"/>
    </row>
    <row r="1218">
      <c r="A1218" s="28">
        <v>46232.0</v>
      </c>
      <c r="B1218" s="16" t="s">
        <v>5877</v>
      </c>
      <c r="C1218" s="20" t="s">
        <v>5878</v>
      </c>
      <c r="D1218" s="21"/>
      <c r="E1218" s="22" t="s">
        <v>5879</v>
      </c>
      <c r="H1218" s="23" t="s">
        <v>5880</v>
      </c>
      <c r="I1218" s="21"/>
      <c r="J1218" s="25"/>
      <c r="K1218" s="26" t="s">
        <v>44</v>
      </c>
      <c r="L1218" s="16"/>
      <c r="M1218" s="21"/>
    </row>
    <row r="1219">
      <c r="A1219" s="28">
        <v>46232.0</v>
      </c>
      <c r="B1219" s="16" t="s">
        <v>5881</v>
      </c>
      <c r="C1219" s="20" t="s">
        <v>5882</v>
      </c>
      <c r="D1219" s="21"/>
      <c r="E1219" s="22" t="s">
        <v>5883</v>
      </c>
      <c r="H1219" s="23" t="s">
        <v>57</v>
      </c>
      <c r="I1219" s="21"/>
      <c r="J1219" s="25"/>
      <c r="K1219" s="26" t="s">
        <v>44</v>
      </c>
      <c r="L1219" s="16"/>
      <c r="M1219" s="21"/>
    </row>
    <row r="1220">
      <c r="A1220" s="28">
        <v>46232.0</v>
      </c>
      <c r="B1220" s="16" t="s">
        <v>5884</v>
      </c>
      <c r="C1220" s="20" t="s">
        <v>5885</v>
      </c>
      <c r="D1220" s="21"/>
      <c r="E1220" s="22" t="s">
        <v>5886</v>
      </c>
      <c r="H1220" s="23" t="s">
        <v>5887</v>
      </c>
      <c r="I1220" s="21"/>
      <c r="J1220" s="25"/>
      <c r="K1220" s="26" t="s">
        <v>44</v>
      </c>
      <c r="L1220" s="16"/>
      <c r="M1220" s="21"/>
    </row>
    <row r="1221">
      <c r="A1221" s="28">
        <v>46232.0</v>
      </c>
      <c r="B1221" s="16" t="s">
        <v>5888</v>
      </c>
      <c r="C1221" s="20" t="s">
        <v>5889</v>
      </c>
      <c r="D1221" s="21"/>
      <c r="E1221" s="22" t="s">
        <v>5890</v>
      </c>
      <c r="H1221" s="23" t="s">
        <v>1530</v>
      </c>
      <c r="I1221" s="21"/>
      <c r="J1221" s="25"/>
      <c r="K1221" s="26" t="s">
        <v>44</v>
      </c>
      <c r="L1221" s="16"/>
      <c r="M1221" s="21"/>
    </row>
    <row r="1222">
      <c r="A1222" s="28">
        <v>46232.0</v>
      </c>
      <c r="B1222" s="16" t="s">
        <v>5891</v>
      </c>
      <c r="C1222" s="20" t="s">
        <v>5892</v>
      </c>
      <c r="D1222" s="21"/>
      <c r="E1222" s="22" t="s">
        <v>5893</v>
      </c>
      <c r="H1222" s="23" t="s">
        <v>5894</v>
      </c>
      <c r="I1222" s="21"/>
      <c r="J1222" s="25"/>
      <c r="K1222" s="26" t="s">
        <v>44</v>
      </c>
      <c r="L1222" s="16"/>
      <c r="M1222" s="21"/>
    </row>
    <row r="1223">
      <c r="A1223" s="28">
        <v>46232.0</v>
      </c>
      <c r="B1223" s="16" t="s">
        <v>5895</v>
      </c>
      <c r="C1223" s="20" t="s">
        <v>5896</v>
      </c>
      <c r="D1223" s="21"/>
      <c r="E1223" s="22" t="s">
        <v>5897</v>
      </c>
      <c r="H1223" s="23" t="s">
        <v>590</v>
      </c>
      <c r="I1223" s="21"/>
      <c r="J1223" s="25"/>
      <c r="K1223" s="26" t="s">
        <v>44</v>
      </c>
      <c r="L1223" s="16"/>
      <c r="M1223" s="21"/>
    </row>
    <row r="1224">
      <c r="A1224" s="28">
        <v>46232.0</v>
      </c>
      <c r="B1224" s="16" t="s">
        <v>5898</v>
      </c>
      <c r="C1224" s="20" t="s">
        <v>5899</v>
      </c>
      <c r="D1224" s="21"/>
      <c r="E1224" s="22" t="s">
        <v>5900</v>
      </c>
      <c r="H1224" s="23" t="s">
        <v>5901</v>
      </c>
      <c r="I1224" s="21"/>
      <c r="J1224" s="25"/>
      <c r="K1224" s="26" t="s">
        <v>44</v>
      </c>
      <c r="L1224" s="16"/>
      <c r="M1224" s="21"/>
    </row>
    <row r="1225">
      <c r="A1225" s="28">
        <v>46232.0</v>
      </c>
      <c r="B1225" s="16" t="s">
        <v>5902</v>
      </c>
      <c r="C1225" s="20" t="s">
        <v>5903</v>
      </c>
      <c r="D1225" s="21"/>
      <c r="E1225" s="22" t="s">
        <v>5904</v>
      </c>
      <c r="H1225" s="23" t="s">
        <v>5905</v>
      </c>
      <c r="I1225" s="21"/>
      <c r="J1225" s="25"/>
      <c r="K1225" s="26" t="s">
        <v>44</v>
      </c>
      <c r="L1225" s="16"/>
      <c r="M1225" s="21"/>
    </row>
    <row r="1226">
      <c r="A1226" s="28">
        <v>46232.0</v>
      </c>
      <c r="B1226" s="16" t="s">
        <v>5906</v>
      </c>
      <c r="C1226" s="20" t="s">
        <v>5907</v>
      </c>
      <c r="D1226" s="21"/>
      <c r="E1226" s="22" t="s">
        <v>5908</v>
      </c>
      <c r="H1226" s="23" t="s">
        <v>2549</v>
      </c>
      <c r="I1226" s="21"/>
      <c r="J1226" s="25"/>
      <c r="K1226" s="26" t="s">
        <v>44</v>
      </c>
      <c r="L1226" s="16"/>
      <c r="M1226" s="21"/>
    </row>
    <row r="1227">
      <c r="A1227" s="28">
        <v>46232.0</v>
      </c>
      <c r="B1227" s="16" t="s">
        <v>5909</v>
      </c>
      <c r="C1227" s="20" t="s">
        <v>5910</v>
      </c>
      <c r="D1227" s="21"/>
      <c r="E1227" s="22" t="s">
        <v>5911</v>
      </c>
      <c r="H1227" s="23" t="s">
        <v>1815</v>
      </c>
      <c r="I1227" s="21"/>
      <c r="J1227" s="25"/>
      <c r="K1227" s="26" t="s">
        <v>44</v>
      </c>
      <c r="L1227" s="16"/>
      <c r="M1227" s="21"/>
    </row>
    <row r="1228">
      <c r="A1228" s="28">
        <v>46232.0</v>
      </c>
      <c r="B1228" s="16" t="s">
        <v>5912</v>
      </c>
      <c r="C1228" s="20" t="s">
        <v>5913</v>
      </c>
      <c r="D1228" s="21"/>
      <c r="E1228" s="22" t="s">
        <v>5914</v>
      </c>
      <c r="H1228" s="23" t="s">
        <v>5915</v>
      </c>
      <c r="I1228" s="21"/>
      <c r="J1228" s="25"/>
      <c r="K1228" s="26" t="s">
        <v>44</v>
      </c>
      <c r="L1228" s="16"/>
      <c r="M1228" s="21"/>
    </row>
    <row r="1229">
      <c r="A1229" s="28">
        <v>46232.0</v>
      </c>
      <c r="B1229" s="16" t="s">
        <v>5916</v>
      </c>
      <c r="C1229" s="20" t="s">
        <v>5917</v>
      </c>
      <c r="D1229" s="21"/>
      <c r="E1229" s="22" t="s">
        <v>5918</v>
      </c>
      <c r="H1229" s="23" t="s">
        <v>5919</v>
      </c>
      <c r="I1229" s="21"/>
      <c r="J1229" s="25"/>
      <c r="K1229" s="26" t="s">
        <v>44</v>
      </c>
      <c r="L1229" s="16"/>
      <c r="M1229" s="21"/>
    </row>
    <row r="1230">
      <c r="A1230" s="28">
        <v>46232.0</v>
      </c>
      <c r="B1230" s="16" t="s">
        <v>5920</v>
      </c>
      <c r="C1230" s="20" t="s">
        <v>5921</v>
      </c>
      <c r="D1230" s="21"/>
      <c r="E1230" s="22" t="s">
        <v>5922</v>
      </c>
      <c r="H1230" s="23" t="s">
        <v>57</v>
      </c>
      <c r="I1230" s="21"/>
      <c r="J1230" s="25"/>
      <c r="K1230" s="26" t="s">
        <v>44</v>
      </c>
      <c r="L1230" s="16"/>
      <c r="M1230" s="21"/>
    </row>
    <row r="1231">
      <c r="A1231" s="28">
        <v>46232.0</v>
      </c>
      <c r="B1231" s="16" t="s">
        <v>5923</v>
      </c>
      <c r="C1231" s="20" t="s">
        <v>5924</v>
      </c>
      <c r="D1231" s="21"/>
      <c r="E1231" s="22" t="s">
        <v>5925</v>
      </c>
      <c r="H1231" s="23" t="s">
        <v>5926</v>
      </c>
      <c r="I1231" s="21"/>
      <c r="J1231" s="25"/>
      <c r="K1231" s="26" t="s">
        <v>44</v>
      </c>
      <c r="L1231" s="16"/>
      <c r="M1231" s="21"/>
    </row>
    <row r="1232">
      <c r="A1232" s="28">
        <v>46232.0</v>
      </c>
      <c r="B1232" s="16" t="s">
        <v>5927</v>
      </c>
      <c r="C1232" s="20" t="s">
        <v>5928</v>
      </c>
      <c r="D1232" s="21"/>
      <c r="E1232" s="22" t="s">
        <v>5929</v>
      </c>
      <c r="H1232" s="23" t="s">
        <v>5930</v>
      </c>
      <c r="I1232" s="21"/>
      <c r="J1232" s="25"/>
      <c r="K1232" s="26" t="s">
        <v>44</v>
      </c>
      <c r="L1232" s="16"/>
      <c r="M1232" s="21"/>
    </row>
    <row r="1233">
      <c r="A1233" s="28">
        <v>46232.0</v>
      </c>
      <c r="B1233" s="16" t="s">
        <v>5931</v>
      </c>
      <c r="C1233" s="20" t="s">
        <v>5932</v>
      </c>
      <c r="D1233" s="21"/>
      <c r="E1233" s="22" t="s">
        <v>5933</v>
      </c>
      <c r="H1233" s="23" t="s">
        <v>1819</v>
      </c>
      <c r="I1233" s="21"/>
      <c r="J1233" s="25"/>
      <c r="K1233" s="26" t="s">
        <v>44</v>
      </c>
      <c r="L1233" s="16"/>
      <c r="M1233" s="21"/>
    </row>
    <row r="1234">
      <c r="A1234" s="28">
        <v>46232.0</v>
      </c>
      <c r="B1234" s="16" t="s">
        <v>5934</v>
      </c>
      <c r="C1234" s="20" t="s">
        <v>5935</v>
      </c>
      <c r="D1234" s="21"/>
      <c r="E1234" s="22" t="s">
        <v>5936</v>
      </c>
      <c r="H1234" s="23" t="s">
        <v>5937</v>
      </c>
      <c r="I1234" s="21"/>
      <c r="J1234" s="25"/>
      <c r="K1234" s="26" t="s">
        <v>44</v>
      </c>
      <c r="L1234" s="16"/>
      <c r="M1234" s="21"/>
    </row>
    <row r="1235">
      <c r="A1235" s="28">
        <v>46232.0</v>
      </c>
      <c r="B1235" s="16" t="s">
        <v>5938</v>
      </c>
      <c r="C1235" s="20" t="s">
        <v>5939</v>
      </c>
      <c r="D1235" s="21"/>
      <c r="E1235" s="22" t="s">
        <v>5940</v>
      </c>
      <c r="H1235" s="23" t="s">
        <v>2113</v>
      </c>
      <c r="I1235" s="21"/>
      <c r="J1235" s="25"/>
      <c r="K1235" s="26" t="s">
        <v>44</v>
      </c>
      <c r="L1235" s="16"/>
      <c r="M1235" s="21"/>
    </row>
    <row r="1236">
      <c r="A1236" s="28">
        <v>46232.0</v>
      </c>
      <c r="B1236" s="16" t="s">
        <v>5941</v>
      </c>
      <c r="C1236" s="20" t="s">
        <v>5942</v>
      </c>
      <c r="D1236" s="21"/>
      <c r="E1236" s="22" t="s">
        <v>5943</v>
      </c>
      <c r="H1236" s="23" t="s">
        <v>2445</v>
      </c>
      <c r="I1236" s="21"/>
      <c r="J1236" s="25"/>
      <c r="K1236" s="26" t="s">
        <v>44</v>
      </c>
      <c r="L1236" s="16"/>
      <c r="M1236" s="21"/>
    </row>
    <row r="1237">
      <c r="A1237" s="28">
        <v>46232.0</v>
      </c>
      <c r="B1237" s="16" t="s">
        <v>5944</v>
      </c>
      <c r="C1237" s="20" t="s">
        <v>5945</v>
      </c>
      <c r="D1237" s="21"/>
      <c r="E1237" s="22" t="s">
        <v>5946</v>
      </c>
      <c r="H1237" s="23" t="s">
        <v>1250</v>
      </c>
      <c r="I1237" s="21"/>
      <c r="J1237" s="25"/>
      <c r="K1237" s="26" t="s">
        <v>44</v>
      </c>
      <c r="L1237" s="16"/>
      <c r="M1237" s="21"/>
    </row>
    <row r="1238">
      <c r="A1238" s="28">
        <v>46232.0</v>
      </c>
      <c r="B1238" s="16" t="s">
        <v>5947</v>
      </c>
      <c r="C1238" s="20" t="s">
        <v>5948</v>
      </c>
      <c r="D1238" s="21"/>
      <c r="E1238" s="22" t="s">
        <v>5949</v>
      </c>
      <c r="H1238" s="23" t="s">
        <v>5817</v>
      </c>
      <c r="I1238" s="21"/>
      <c r="J1238" s="25"/>
      <c r="K1238" s="26" t="s">
        <v>44</v>
      </c>
      <c r="L1238" s="16"/>
      <c r="M1238" s="21"/>
    </row>
    <row r="1239">
      <c r="A1239" s="28">
        <v>46232.0</v>
      </c>
      <c r="B1239" s="16" t="s">
        <v>5950</v>
      </c>
      <c r="C1239" s="20" t="s">
        <v>5951</v>
      </c>
      <c r="D1239" s="21"/>
      <c r="E1239" s="22" t="s">
        <v>5952</v>
      </c>
      <c r="H1239" s="23" t="s">
        <v>5953</v>
      </c>
      <c r="I1239" s="21"/>
      <c r="J1239" s="25"/>
      <c r="K1239" s="26" t="s">
        <v>44</v>
      </c>
      <c r="L1239" s="16"/>
      <c r="M1239" s="21"/>
    </row>
    <row r="1240">
      <c r="A1240" s="28">
        <v>46232.0</v>
      </c>
      <c r="B1240" s="16" t="s">
        <v>5954</v>
      </c>
      <c r="C1240" s="20" t="s">
        <v>5955</v>
      </c>
      <c r="D1240" s="21"/>
      <c r="E1240" s="22" t="s">
        <v>5956</v>
      </c>
      <c r="H1240" s="23" t="s">
        <v>590</v>
      </c>
      <c r="I1240" s="21"/>
      <c r="J1240" s="25"/>
      <c r="K1240" s="26" t="s">
        <v>44</v>
      </c>
      <c r="L1240" s="16"/>
      <c r="M1240" s="21"/>
    </row>
    <row r="1241">
      <c r="A1241" s="28">
        <v>46232.0</v>
      </c>
      <c r="B1241" s="16" t="s">
        <v>5957</v>
      </c>
      <c r="C1241" s="20" t="s">
        <v>5958</v>
      </c>
      <c r="D1241" s="21"/>
      <c r="E1241" s="22" t="s">
        <v>5959</v>
      </c>
      <c r="H1241" s="23" t="s">
        <v>5960</v>
      </c>
      <c r="I1241" s="21"/>
      <c r="J1241" s="25"/>
      <c r="K1241" s="26" t="s">
        <v>44</v>
      </c>
      <c r="L1241" s="16"/>
      <c r="M1241" s="21"/>
    </row>
    <row r="1242">
      <c r="A1242" s="28">
        <v>46232.0</v>
      </c>
      <c r="B1242" s="16" t="s">
        <v>5961</v>
      </c>
      <c r="C1242" s="20" t="s">
        <v>5962</v>
      </c>
      <c r="D1242" s="21"/>
      <c r="E1242" s="22" t="s">
        <v>5963</v>
      </c>
      <c r="H1242" s="23" t="s">
        <v>5964</v>
      </c>
      <c r="I1242" s="21"/>
      <c r="J1242" s="25"/>
      <c r="K1242" s="26" t="s">
        <v>44</v>
      </c>
      <c r="L1242" s="16"/>
      <c r="M1242" s="21"/>
    </row>
    <row r="1243">
      <c r="A1243" s="28">
        <v>46232.0</v>
      </c>
      <c r="B1243" s="16" t="s">
        <v>5965</v>
      </c>
      <c r="C1243" s="20" t="s">
        <v>5966</v>
      </c>
      <c r="D1243" s="21"/>
      <c r="E1243" s="22" t="s">
        <v>5967</v>
      </c>
      <c r="H1243" s="23" t="s">
        <v>5968</v>
      </c>
      <c r="I1243" s="21"/>
      <c r="J1243" s="25"/>
      <c r="K1243" s="26" t="s">
        <v>44</v>
      </c>
      <c r="L1243" s="16"/>
      <c r="M1243" s="21"/>
    </row>
    <row r="1244">
      <c r="A1244" s="28">
        <v>46232.0</v>
      </c>
      <c r="B1244" s="16" t="s">
        <v>5969</v>
      </c>
      <c r="C1244" s="20" t="s">
        <v>5970</v>
      </c>
      <c r="D1244" s="21"/>
      <c r="E1244" s="22" t="s">
        <v>5971</v>
      </c>
      <c r="H1244" s="23" t="s">
        <v>583</v>
      </c>
      <c r="I1244" s="21"/>
      <c r="J1244" s="25"/>
      <c r="K1244" s="26" t="s">
        <v>44</v>
      </c>
      <c r="L1244" s="16"/>
      <c r="M1244" s="21"/>
    </row>
    <row r="1245">
      <c r="A1245" s="28">
        <v>46232.0</v>
      </c>
      <c r="B1245" s="16" t="s">
        <v>5972</v>
      </c>
      <c r="C1245" s="20" t="s">
        <v>5973</v>
      </c>
      <c r="D1245" s="21"/>
      <c r="E1245" s="22" t="s">
        <v>5974</v>
      </c>
      <c r="H1245" s="23" t="s">
        <v>57</v>
      </c>
      <c r="I1245" s="21"/>
      <c r="J1245" s="25"/>
      <c r="K1245" s="26" t="s">
        <v>44</v>
      </c>
      <c r="L1245" s="16"/>
      <c r="M1245" s="21"/>
    </row>
    <row r="1246">
      <c r="A1246" s="28">
        <v>46232.0</v>
      </c>
      <c r="B1246" s="16" t="s">
        <v>5975</v>
      </c>
      <c r="C1246" s="20" t="s">
        <v>5976</v>
      </c>
      <c r="D1246" s="21"/>
      <c r="E1246" s="22" t="s">
        <v>5977</v>
      </c>
      <c r="H1246" s="23" t="s">
        <v>2867</v>
      </c>
      <c r="I1246" s="21"/>
      <c r="J1246" s="25"/>
      <c r="K1246" s="26" t="s">
        <v>44</v>
      </c>
      <c r="L1246" s="16"/>
      <c r="M1246" s="21"/>
    </row>
    <row r="1247">
      <c r="A1247" s="28">
        <v>46232.0</v>
      </c>
      <c r="B1247" s="16" t="s">
        <v>5978</v>
      </c>
      <c r="C1247" s="20" t="s">
        <v>5979</v>
      </c>
      <c r="D1247" s="21"/>
      <c r="E1247" s="22" t="s">
        <v>5980</v>
      </c>
      <c r="H1247" s="23" t="s">
        <v>5981</v>
      </c>
      <c r="I1247" s="21"/>
      <c r="J1247" s="25"/>
      <c r="K1247" s="26" t="s">
        <v>44</v>
      </c>
      <c r="L1247" s="16"/>
      <c r="M1247" s="21"/>
    </row>
    <row r="1248">
      <c r="A1248" s="28">
        <v>46232.0</v>
      </c>
      <c r="B1248" s="16" t="s">
        <v>5982</v>
      </c>
      <c r="C1248" s="20" t="s">
        <v>5983</v>
      </c>
      <c r="D1248" s="21"/>
      <c r="E1248" s="22" t="s">
        <v>5984</v>
      </c>
      <c r="H1248" s="23" t="s">
        <v>2598</v>
      </c>
      <c r="I1248" s="21"/>
      <c r="J1248" s="25"/>
      <c r="K1248" s="26" t="s">
        <v>44</v>
      </c>
      <c r="L1248" s="16"/>
      <c r="M1248" s="21"/>
    </row>
    <row r="1249">
      <c r="A1249" s="28">
        <v>46232.0</v>
      </c>
      <c r="B1249" s="16" t="s">
        <v>5985</v>
      </c>
      <c r="C1249" s="20" t="s">
        <v>5986</v>
      </c>
      <c r="D1249" s="21"/>
      <c r="E1249" s="22" t="s">
        <v>5987</v>
      </c>
      <c r="H1249" s="23" t="s">
        <v>5988</v>
      </c>
      <c r="I1249" s="21"/>
      <c r="J1249" s="25"/>
      <c r="K1249" s="26" t="s">
        <v>44</v>
      </c>
      <c r="L1249" s="16"/>
      <c r="M1249" s="21"/>
    </row>
    <row r="1250">
      <c r="A1250" s="28">
        <v>46232.0</v>
      </c>
      <c r="B1250" s="16" t="s">
        <v>5989</v>
      </c>
      <c r="C1250" s="20" t="s">
        <v>5990</v>
      </c>
      <c r="D1250" s="21"/>
      <c r="E1250" s="22" t="s">
        <v>5991</v>
      </c>
      <c r="H1250" s="23" t="s">
        <v>1888</v>
      </c>
      <c r="I1250" s="21"/>
      <c r="J1250" s="25"/>
      <c r="K1250" s="26" t="s">
        <v>44</v>
      </c>
      <c r="L1250" s="16"/>
      <c r="M1250" s="21"/>
    </row>
    <row r="1251">
      <c r="A1251" s="28">
        <v>46232.0</v>
      </c>
      <c r="B1251" s="16" t="s">
        <v>5992</v>
      </c>
      <c r="C1251" s="20" t="s">
        <v>5993</v>
      </c>
      <c r="D1251" s="21"/>
      <c r="E1251" s="22" t="s">
        <v>5994</v>
      </c>
      <c r="H1251" s="23" t="s">
        <v>1595</v>
      </c>
      <c r="I1251" s="21"/>
      <c r="J1251" s="25"/>
      <c r="K1251" s="26" t="s">
        <v>44</v>
      </c>
      <c r="L1251" s="16"/>
      <c r="M1251" s="21"/>
    </row>
    <row r="1252">
      <c r="A1252" s="28">
        <v>46232.0</v>
      </c>
      <c r="B1252" s="16" t="s">
        <v>5995</v>
      </c>
      <c r="C1252" s="20" t="s">
        <v>5996</v>
      </c>
      <c r="D1252" s="21"/>
      <c r="E1252" s="22" t="s">
        <v>5997</v>
      </c>
      <c r="H1252" s="23" t="s">
        <v>1250</v>
      </c>
      <c r="I1252" s="21"/>
      <c r="J1252" s="25"/>
      <c r="K1252" s="26" t="s">
        <v>44</v>
      </c>
      <c r="L1252" s="16"/>
      <c r="M1252" s="21"/>
    </row>
    <row r="1253">
      <c r="A1253" s="28">
        <v>46232.0</v>
      </c>
      <c r="B1253" s="16" t="s">
        <v>5998</v>
      </c>
      <c r="C1253" s="20" t="s">
        <v>5999</v>
      </c>
      <c r="D1253" s="21"/>
      <c r="E1253" s="22" t="s">
        <v>6000</v>
      </c>
      <c r="H1253" s="23" t="s">
        <v>6001</v>
      </c>
      <c r="I1253" s="21"/>
      <c r="J1253" s="25"/>
      <c r="K1253" s="26" t="s">
        <v>44</v>
      </c>
      <c r="L1253" s="16"/>
      <c r="M1253" s="21"/>
    </row>
    <row r="1254">
      <c r="A1254" s="28">
        <v>46232.0</v>
      </c>
      <c r="B1254" s="16" t="s">
        <v>6002</v>
      </c>
      <c r="C1254" s="20" t="s">
        <v>6003</v>
      </c>
      <c r="D1254" s="21"/>
      <c r="E1254" s="22" t="s">
        <v>6004</v>
      </c>
      <c r="H1254" s="23" t="s">
        <v>4711</v>
      </c>
      <c r="I1254" s="21"/>
      <c r="J1254" s="25"/>
      <c r="K1254" s="26" t="s">
        <v>44</v>
      </c>
      <c r="L1254" s="16"/>
      <c r="M1254" s="21"/>
    </row>
    <row r="1255">
      <c r="A1255" s="28">
        <v>46232.0</v>
      </c>
      <c r="B1255" s="16" t="s">
        <v>6005</v>
      </c>
      <c r="C1255" s="20" t="s">
        <v>6006</v>
      </c>
      <c r="D1255" s="21"/>
      <c r="E1255" s="22" t="s">
        <v>6007</v>
      </c>
      <c r="H1255" s="23" t="s">
        <v>2478</v>
      </c>
      <c r="I1255" s="21"/>
      <c r="J1255" s="25"/>
      <c r="K1255" s="26" t="s">
        <v>44</v>
      </c>
      <c r="L1255" s="16"/>
      <c r="M1255" s="21"/>
    </row>
    <row r="1256">
      <c r="A1256" s="28">
        <v>46232.0</v>
      </c>
      <c r="B1256" s="16" t="s">
        <v>6008</v>
      </c>
      <c r="C1256" s="20" t="s">
        <v>6009</v>
      </c>
      <c r="D1256" s="21"/>
      <c r="E1256" s="22" t="s">
        <v>6010</v>
      </c>
      <c r="H1256" s="23" t="s">
        <v>6011</v>
      </c>
      <c r="I1256" s="21"/>
      <c r="J1256" s="25"/>
      <c r="K1256" s="26" t="s">
        <v>44</v>
      </c>
      <c r="L1256" s="16"/>
      <c r="M1256" s="21"/>
    </row>
    <row r="1257">
      <c r="A1257" s="28">
        <v>46232.0</v>
      </c>
      <c r="B1257" s="16" t="s">
        <v>6012</v>
      </c>
      <c r="C1257" s="20" t="s">
        <v>6013</v>
      </c>
      <c r="D1257" s="21"/>
      <c r="E1257" s="22" t="s">
        <v>6014</v>
      </c>
      <c r="H1257" s="23" t="s">
        <v>57</v>
      </c>
      <c r="I1257" s="21"/>
      <c r="J1257" s="25"/>
      <c r="K1257" s="26" t="s">
        <v>44</v>
      </c>
      <c r="L1257" s="16"/>
      <c r="M1257" s="21"/>
    </row>
    <row r="1258">
      <c r="A1258" s="28">
        <v>46232.0</v>
      </c>
      <c r="B1258" s="16" t="s">
        <v>6015</v>
      </c>
      <c r="C1258" s="20" t="s">
        <v>6016</v>
      </c>
      <c r="D1258" s="21"/>
      <c r="E1258" s="22" t="s">
        <v>6017</v>
      </c>
      <c r="H1258" s="23" t="s">
        <v>94</v>
      </c>
      <c r="I1258" s="21"/>
      <c r="J1258" s="25"/>
      <c r="K1258" s="26" t="s">
        <v>44</v>
      </c>
      <c r="L1258" s="16"/>
      <c r="M1258" s="21"/>
    </row>
    <row r="1259">
      <c r="A1259" s="28">
        <v>46232.0</v>
      </c>
      <c r="B1259" s="16" t="s">
        <v>6018</v>
      </c>
      <c r="C1259" s="20" t="s">
        <v>6019</v>
      </c>
      <c r="D1259" s="21"/>
      <c r="E1259" s="22" t="s">
        <v>6020</v>
      </c>
      <c r="H1259" s="23" t="s">
        <v>6021</v>
      </c>
      <c r="I1259" s="21"/>
      <c r="J1259" s="25"/>
      <c r="K1259" s="26" t="s">
        <v>44</v>
      </c>
      <c r="L1259" s="16"/>
      <c r="M1259" s="21"/>
    </row>
    <row r="1260">
      <c r="A1260" s="28">
        <v>46232.0</v>
      </c>
      <c r="B1260" s="16" t="s">
        <v>6022</v>
      </c>
      <c r="C1260" s="20" t="s">
        <v>6023</v>
      </c>
      <c r="D1260" s="21"/>
      <c r="E1260" s="22" t="s">
        <v>6024</v>
      </c>
      <c r="H1260" s="23" t="s">
        <v>5527</v>
      </c>
      <c r="I1260" s="21"/>
      <c r="J1260" s="25"/>
      <c r="K1260" s="26" t="s">
        <v>44</v>
      </c>
      <c r="L1260" s="16"/>
      <c r="M1260" s="21"/>
    </row>
    <row r="1261">
      <c r="A1261" s="28">
        <v>46232.0</v>
      </c>
      <c r="B1261" s="16" t="s">
        <v>6025</v>
      </c>
      <c r="C1261" s="20" t="s">
        <v>6026</v>
      </c>
      <c r="D1261" s="21"/>
      <c r="E1261" s="22" t="s">
        <v>6027</v>
      </c>
      <c r="H1261" s="23" t="s">
        <v>6028</v>
      </c>
      <c r="I1261" s="21"/>
      <c r="J1261" s="25"/>
      <c r="K1261" s="26" t="s">
        <v>44</v>
      </c>
      <c r="L1261" s="16"/>
      <c r="M1261" s="21"/>
    </row>
    <row r="1262">
      <c r="A1262" s="28">
        <v>46232.0</v>
      </c>
      <c r="B1262" s="16" t="s">
        <v>6029</v>
      </c>
      <c r="C1262" s="20" t="s">
        <v>6030</v>
      </c>
      <c r="D1262" s="21"/>
      <c r="E1262" s="22" t="s">
        <v>6031</v>
      </c>
      <c r="H1262" s="23" t="s">
        <v>6032</v>
      </c>
      <c r="I1262" s="21"/>
      <c r="J1262" s="25"/>
      <c r="K1262" s="26" t="s">
        <v>44</v>
      </c>
      <c r="L1262" s="16"/>
      <c r="M1262" s="21"/>
    </row>
    <row r="1263">
      <c r="A1263" s="28">
        <v>46232.0</v>
      </c>
      <c r="B1263" s="16" t="s">
        <v>6033</v>
      </c>
      <c r="C1263" s="20" t="s">
        <v>6034</v>
      </c>
      <c r="D1263" s="21"/>
      <c r="E1263" s="22" t="s">
        <v>6035</v>
      </c>
      <c r="H1263" s="23" t="s">
        <v>622</v>
      </c>
      <c r="I1263" s="21"/>
      <c r="J1263" s="25"/>
      <c r="K1263" s="26" t="s">
        <v>44</v>
      </c>
      <c r="L1263" s="16"/>
      <c r="M1263" s="21"/>
    </row>
    <row r="1264">
      <c r="A1264" s="28">
        <v>46232.0</v>
      </c>
      <c r="B1264" s="16" t="s">
        <v>6036</v>
      </c>
      <c r="C1264" s="20" t="s">
        <v>6037</v>
      </c>
      <c r="D1264" s="21"/>
      <c r="E1264" s="22" t="s">
        <v>6038</v>
      </c>
      <c r="H1264" s="23" t="s">
        <v>6039</v>
      </c>
      <c r="I1264" s="21"/>
      <c r="J1264" s="25"/>
      <c r="K1264" s="26" t="s">
        <v>44</v>
      </c>
      <c r="L1264" s="16"/>
      <c r="M1264" s="21"/>
    </row>
    <row r="1265">
      <c r="A1265" s="28">
        <v>46232.0</v>
      </c>
      <c r="B1265" s="16" t="s">
        <v>6040</v>
      </c>
      <c r="C1265" s="20" t="s">
        <v>6041</v>
      </c>
      <c r="D1265" s="21"/>
      <c r="E1265" s="22" t="s">
        <v>6042</v>
      </c>
      <c r="H1265" s="23" t="s">
        <v>6043</v>
      </c>
      <c r="I1265" s="21"/>
      <c r="J1265" s="25"/>
      <c r="K1265" s="26" t="s">
        <v>44</v>
      </c>
      <c r="L1265" s="16"/>
      <c r="M1265" s="21"/>
    </row>
    <row r="1266">
      <c r="A1266" s="28">
        <v>46232.0</v>
      </c>
      <c r="B1266" s="16" t="s">
        <v>6044</v>
      </c>
      <c r="C1266" s="20" t="s">
        <v>6045</v>
      </c>
      <c r="D1266" s="21"/>
      <c r="E1266" s="22" t="s">
        <v>6046</v>
      </c>
      <c r="H1266" s="23" t="s">
        <v>1448</v>
      </c>
      <c r="I1266" s="21"/>
      <c r="J1266" s="25"/>
      <c r="K1266" s="26" t="s">
        <v>44</v>
      </c>
      <c r="L1266" s="16"/>
      <c r="M1266" s="21"/>
    </row>
    <row r="1267">
      <c r="A1267" s="28">
        <v>46232.0</v>
      </c>
      <c r="B1267" s="16" t="s">
        <v>6047</v>
      </c>
      <c r="C1267" s="20" t="s">
        <v>6048</v>
      </c>
      <c r="D1267" s="21"/>
      <c r="E1267" s="22" t="s">
        <v>6049</v>
      </c>
      <c r="H1267" s="23" t="s">
        <v>6050</v>
      </c>
      <c r="I1267" s="21"/>
      <c r="J1267" s="25"/>
      <c r="K1267" s="26" t="s">
        <v>44</v>
      </c>
      <c r="L1267" s="16"/>
      <c r="M1267" s="21"/>
    </row>
    <row r="1268">
      <c r="A1268" s="28">
        <v>46232.0</v>
      </c>
      <c r="B1268" s="16" t="s">
        <v>6051</v>
      </c>
      <c r="C1268" s="20" t="s">
        <v>6052</v>
      </c>
      <c r="D1268" s="21"/>
      <c r="E1268" s="22" t="s">
        <v>6053</v>
      </c>
      <c r="H1268" s="23" t="s">
        <v>6054</v>
      </c>
      <c r="I1268" s="21"/>
      <c r="J1268" s="25"/>
      <c r="K1268" s="26" t="s">
        <v>44</v>
      </c>
      <c r="L1268" s="16"/>
      <c r="M1268" s="21"/>
    </row>
    <row r="1269">
      <c r="A1269" s="28">
        <v>46232.0</v>
      </c>
      <c r="B1269" s="16" t="s">
        <v>6055</v>
      </c>
      <c r="C1269" s="20" t="s">
        <v>6056</v>
      </c>
      <c r="D1269" s="21"/>
      <c r="E1269" s="22" t="s">
        <v>6057</v>
      </c>
      <c r="H1269" s="23" t="s">
        <v>6058</v>
      </c>
      <c r="I1269" s="21"/>
      <c r="J1269" s="25"/>
      <c r="K1269" s="26" t="s">
        <v>44</v>
      </c>
      <c r="L1269" s="16"/>
      <c r="M1269" s="21"/>
    </row>
    <row r="1270">
      <c r="A1270" s="28">
        <v>46232.0</v>
      </c>
      <c r="B1270" s="16" t="s">
        <v>6059</v>
      </c>
      <c r="C1270" s="20" t="s">
        <v>6060</v>
      </c>
      <c r="D1270" s="21"/>
      <c r="E1270" s="22" t="s">
        <v>6061</v>
      </c>
      <c r="H1270" s="23" t="s">
        <v>6062</v>
      </c>
      <c r="I1270" s="21"/>
      <c r="J1270" s="25"/>
      <c r="K1270" s="26" t="s">
        <v>44</v>
      </c>
      <c r="L1270" s="16"/>
      <c r="M1270" s="21"/>
    </row>
    <row r="1271">
      <c r="A1271" s="28">
        <v>46232.0</v>
      </c>
      <c r="B1271" s="16" t="s">
        <v>6063</v>
      </c>
      <c r="C1271" s="20" t="s">
        <v>6064</v>
      </c>
      <c r="D1271" s="21"/>
      <c r="E1271" s="22" t="s">
        <v>6065</v>
      </c>
      <c r="H1271" s="23" t="s">
        <v>4889</v>
      </c>
      <c r="I1271" s="21"/>
      <c r="J1271" s="25"/>
      <c r="K1271" s="26" t="s">
        <v>44</v>
      </c>
      <c r="L1271" s="16"/>
      <c r="M1271" s="21"/>
    </row>
    <row r="1272">
      <c r="A1272" s="28">
        <v>46232.0</v>
      </c>
      <c r="B1272" s="16" t="s">
        <v>6066</v>
      </c>
      <c r="C1272" s="20" t="s">
        <v>6067</v>
      </c>
      <c r="D1272" s="21"/>
      <c r="E1272" s="22" t="s">
        <v>6068</v>
      </c>
      <c r="H1272" s="23" t="s">
        <v>6069</v>
      </c>
      <c r="I1272" s="21"/>
      <c r="J1272" s="25"/>
      <c r="K1272" s="26" t="s">
        <v>44</v>
      </c>
      <c r="L1272" s="16"/>
      <c r="M1272" s="21"/>
    </row>
    <row r="1273">
      <c r="A1273" s="28">
        <v>46232.0</v>
      </c>
      <c r="B1273" s="16" t="s">
        <v>6070</v>
      </c>
      <c r="C1273" s="20" t="s">
        <v>6071</v>
      </c>
      <c r="D1273" s="21"/>
      <c r="E1273" s="22" t="s">
        <v>6072</v>
      </c>
      <c r="H1273" s="23" t="s">
        <v>6073</v>
      </c>
      <c r="I1273" s="21"/>
      <c r="J1273" s="25"/>
      <c r="K1273" s="26" t="s">
        <v>44</v>
      </c>
      <c r="L1273" s="16"/>
      <c r="M1273" s="21"/>
    </row>
    <row r="1274">
      <c r="A1274" s="28">
        <v>46232.0</v>
      </c>
      <c r="B1274" s="16" t="s">
        <v>6074</v>
      </c>
      <c r="C1274" s="20" t="s">
        <v>6075</v>
      </c>
      <c r="D1274" s="21"/>
      <c r="E1274" s="22" t="s">
        <v>6076</v>
      </c>
      <c r="H1274" s="23" t="s">
        <v>6077</v>
      </c>
      <c r="I1274" s="21"/>
      <c r="J1274" s="25"/>
      <c r="K1274" s="26" t="s">
        <v>44</v>
      </c>
      <c r="L1274" s="16"/>
      <c r="M1274" s="21"/>
    </row>
    <row r="1275">
      <c r="A1275" s="28">
        <v>46232.0</v>
      </c>
      <c r="B1275" s="16" t="s">
        <v>6078</v>
      </c>
      <c r="C1275" s="20" t="s">
        <v>6079</v>
      </c>
      <c r="D1275" s="21"/>
      <c r="E1275" s="22" t="s">
        <v>6080</v>
      </c>
      <c r="H1275" s="23" t="s">
        <v>2445</v>
      </c>
      <c r="I1275" s="21"/>
      <c r="J1275" s="25"/>
      <c r="K1275" s="26" t="s">
        <v>44</v>
      </c>
      <c r="L1275" s="16"/>
      <c r="M1275" s="21"/>
    </row>
    <row r="1276">
      <c r="A1276" s="28">
        <v>46232.0</v>
      </c>
      <c r="B1276" s="16" t="s">
        <v>6081</v>
      </c>
      <c r="C1276" s="20" t="s">
        <v>6082</v>
      </c>
      <c r="D1276" s="21"/>
      <c r="E1276" s="22" t="s">
        <v>6083</v>
      </c>
      <c r="H1276" s="23" t="s">
        <v>1534</v>
      </c>
      <c r="I1276" s="21"/>
      <c r="J1276" s="25"/>
      <c r="K1276" s="26" t="s">
        <v>44</v>
      </c>
      <c r="L1276" s="16"/>
      <c r="M1276" s="21"/>
    </row>
    <row r="1277">
      <c r="A1277" s="28">
        <v>46232.0</v>
      </c>
      <c r="B1277" s="16" t="s">
        <v>6084</v>
      </c>
      <c r="C1277" s="20" t="s">
        <v>6085</v>
      </c>
      <c r="D1277" s="21"/>
      <c r="E1277" s="22" t="s">
        <v>6086</v>
      </c>
      <c r="H1277" s="23" t="s">
        <v>1250</v>
      </c>
      <c r="I1277" s="21"/>
      <c r="J1277" s="25"/>
      <c r="K1277" s="26" t="s">
        <v>44</v>
      </c>
      <c r="L1277" s="16"/>
      <c r="M1277" s="21"/>
    </row>
    <row r="1278">
      <c r="A1278" s="28">
        <v>46232.0</v>
      </c>
      <c r="B1278" s="16" t="s">
        <v>6087</v>
      </c>
      <c r="C1278" s="20" t="s">
        <v>6088</v>
      </c>
      <c r="D1278" s="21"/>
      <c r="E1278" s="22" t="s">
        <v>6089</v>
      </c>
      <c r="H1278" s="23" t="s">
        <v>6090</v>
      </c>
      <c r="I1278" s="21"/>
      <c r="J1278" s="25"/>
      <c r="K1278" s="26" t="s">
        <v>44</v>
      </c>
      <c r="L1278" s="16"/>
      <c r="M1278" s="21"/>
    </row>
    <row r="1279">
      <c r="A1279" s="28">
        <v>46232.0</v>
      </c>
      <c r="B1279" s="16" t="s">
        <v>6091</v>
      </c>
      <c r="C1279" s="20" t="s">
        <v>6092</v>
      </c>
      <c r="D1279" s="21"/>
      <c r="E1279" s="22" t="s">
        <v>6093</v>
      </c>
      <c r="H1279" s="23" t="s">
        <v>6094</v>
      </c>
      <c r="I1279" s="21"/>
      <c r="J1279" s="25"/>
      <c r="K1279" s="26" t="s">
        <v>44</v>
      </c>
      <c r="L1279" s="16"/>
      <c r="M1279" s="21"/>
    </row>
    <row r="1280">
      <c r="A1280" s="28">
        <v>46232.0</v>
      </c>
      <c r="B1280" s="16" t="s">
        <v>6095</v>
      </c>
      <c r="C1280" s="20" t="s">
        <v>6096</v>
      </c>
      <c r="D1280" s="21"/>
      <c r="E1280" s="22" t="s">
        <v>6097</v>
      </c>
      <c r="H1280" s="23" t="s">
        <v>487</v>
      </c>
      <c r="I1280" s="21"/>
      <c r="J1280" s="25"/>
      <c r="K1280" s="26" t="s">
        <v>44</v>
      </c>
      <c r="L1280" s="16"/>
      <c r="M1280" s="21"/>
    </row>
    <row r="1281">
      <c r="A1281" s="28">
        <v>46232.0</v>
      </c>
      <c r="B1281" s="16" t="s">
        <v>6098</v>
      </c>
      <c r="C1281" s="20" t="s">
        <v>6099</v>
      </c>
      <c r="D1281" s="21"/>
      <c r="E1281" s="22" t="s">
        <v>6100</v>
      </c>
      <c r="H1281" s="23" t="s">
        <v>1153</v>
      </c>
      <c r="I1281" s="21"/>
      <c r="J1281" s="25"/>
      <c r="K1281" s="26" t="s">
        <v>44</v>
      </c>
      <c r="L1281" s="16"/>
      <c r="M1281" s="21"/>
    </row>
    <row r="1282">
      <c r="A1282" s="28">
        <v>46232.0</v>
      </c>
      <c r="B1282" s="16" t="s">
        <v>6101</v>
      </c>
      <c r="C1282" s="20" t="s">
        <v>6102</v>
      </c>
      <c r="D1282" s="21"/>
      <c r="E1282" s="22" t="s">
        <v>6103</v>
      </c>
      <c r="H1282" s="23" t="s">
        <v>69</v>
      </c>
      <c r="I1282" s="21"/>
      <c r="J1282" s="25"/>
      <c r="K1282" s="26" t="s">
        <v>44</v>
      </c>
      <c r="L1282" s="16"/>
      <c r="M1282" s="21"/>
    </row>
    <row r="1283">
      <c r="A1283" s="28">
        <v>46232.0</v>
      </c>
      <c r="B1283" s="16" t="s">
        <v>6104</v>
      </c>
      <c r="C1283" s="20" t="s">
        <v>6105</v>
      </c>
      <c r="D1283" s="21"/>
      <c r="E1283" s="22" t="s">
        <v>6106</v>
      </c>
      <c r="H1283" s="23" t="s">
        <v>751</v>
      </c>
      <c r="I1283" s="21"/>
      <c r="J1283" s="25"/>
      <c r="K1283" s="26" t="s">
        <v>44</v>
      </c>
      <c r="L1283" s="16"/>
      <c r="M1283" s="21"/>
    </row>
    <row r="1284">
      <c r="A1284" s="28">
        <v>46232.0</v>
      </c>
      <c r="B1284" s="16" t="s">
        <v>6107</v>
      </c>
      <c r="C1284" s="20" t="s">
        <v>6108</v>
      </c>
      <c r="D1284" s="21"/>
      <c r="E1284" s="22" t="s">
        <v>6109</v>
      </c>
      <c r="H1284" s="23" t="s">
        <v>6110</v>
      </c>
      <c r="I1284" s="21"/>
      <c r="J1284" s="25"/>
      <c r="K1284" s="26" t="s">
        <v>44</v>
      </c>
      <c r="L1284" s="16"/>
      <c r="M1284" s="21"/>
    </row>
    <row r="1285">
      <c r="A1285" s="28">
        <v>46232.0</v>
      </c>
      <c r="B1285" s="16" t="s">
        <v>6111</v>
      </c>
      <c r="C1285" s="20" t="s">
        <v>6112</v>
      </c>
      <c r="D1285" s="21"/>
      <c r="E1285" s="22" t="s">
        <v>6113</v>
      </c>
      <c r="H1285" s="23" t="s">
        <v>751</v>
      </c>
      <c r="I1285" s="21"/>
      <c r="J1285" s="25"/>
      <c r="K1285" s="26" t="s">
        <v>44</v>
      </c>
      <c r="L1285" s="16"/>
      <c r="M1285" s="21"/>
    </row>
    <row r="1286">
      <c r="A1286" s="28">
        <v>46232.0</v>
      </c>
      <c r="B1286" s="16" t="s">
        <v>6114</v>
      </c>
      <c r="C1286" s="20" t="s">
        <v>6115</v>
      </c>
      <c r="D1286" s="21"/>
      <c r="E1286" s="22" t="s">
        <v>6116</v>
      </c>
      <c r="H1286" s="23" t="s">
        <v>6117</v>
      </c>
      <c r="I1286" s="21"/>
      <c r="J1286" s="25"/>
      <c r="K1286" s="26" t="s">
        <v>44</v>
      </c>
      <c r="L1286" s="16"/>
      <c r="M1286" s="21"/>
    </row>
    <row r="1287">
      <c r="A1287" s="28">
        <v>46232.0</v>
      </c>
      <c r="B1287" s="16" t="s">
        <v>6118</v>
      </c>
      <c r="C1287" s="20" t="s">
        <v>6119</v>
      </c>
      <c r="D1287" s="21"/>
      <c r="E1287" s="22" t="s">
        <v>6120</v>
      </c>
      <c r="H1287" s="23" t="s">
        <v>57</v>
      </c>
      <c r="I1287" s="21"/>
      <c r="J1287" s="25"/>
      <c r="K1287" s="26" t="s">
        <v>44</v>
      </c>
      <c r="L1287" s="16"/>
      <c r="M1287" s="21"/>
    </row>
    <row r="1288">
      <c r="A1288" s="28">
        <v>46232.0</v>
      </c>
      <c r="B1288" s="16" t="s">
        <v>6121</v>
      </c>
      <c r="C1288" s="20" t="s">
        <v>6122</v>
      </c>
      <c r="D1288" s="21"/>
      <c r="E1288" s="22" t="s">
        <v>6123</v>
      </c>
      <c r="H1288" s="23" t="s">
        <v>6124</v>
      </c>
      <c r="I1288" s="21"/>
      <c r="J1288" s="25"/>
      <c r="K1288" s="26" t="s">
        <v>44</v>
      </c>
      <c r="L1288" s="16"/>
      <c r="M1288" s="21"/>
    </row>
    <row r="1289">
      <c r="A1289" s="28">
        <v>46232.0</v>
      </c>
      <c r="B1289" s="16" t="s">
        <v>6125</v>
      </c>
      <c r="C1289" s="20" t="s">
        <v>6126</v>
      </c>
      <c r="D1289" s="21"/>
      <c r="E1289" s="22" t="s">
        <v>6127</v>
      </c>
      <c r="H1289" s="23" t="s">
        <v>1819</v>
      </c>
      <c r="I1289" s="21"/>
      <c r="J1289" s="25"/>
      <c r="K1289" s="26" t="s">
        <v>44</v>
      </c>
      <c r="L1289" s="16"/>
      <c r="M1289" s="21"/>
    </row>
    <row r="1290">
      <c r="A1290" s="28">
        <v>46232.0</v>
      </c>
      <c r="B1290" s="16" t="s">
        <v>6128</v>
      </c>
      <c r="C1290" s="20" t="s">
        <v>6129</v>
      </c>
      <c r="D1290" s="21"/>
      <c r="E1290" s="22" t="s">
        <v>6130</v>
      </c>
      <c r="H1290" s="23" t="s">
        <v>1200</v>
      </c>
      <c r="I1290" s="21"/>
      <c r="J1290" s="25"/>
      <c r="K1290" s="26" t="s">
        <v>44</v>
      </c>
      <c r="L1290" s="16"/>
      <c r="M1290" s="21"/>
    </row>
    <row r="1291">
      <c r="A1291" s="28">
        <v>46232.0</v>
      </c>
      <c r="B1291" s="16" t="s">
        <v>6131</v>
      </c>
      <c r="C1291" s="20" t="s">
        <v>6132</v>
      </c>
      <c r="D1291" s="21"/>
      <c r="E1291" s="22" t="s">
        <v>6133</v>
      </c>
      <c r="H1291" s="23" t="s">
        <v>5382</v>
      </c>
      <c r="I1291" s="21"/>
      <c r="J1291" s="25"/>
      <c r="K1291" s="26" t="s">
        <v>44</v>
      </c>
      <c r="L1291" s="16"/>
      <c r="M1291" s="21"/>
    </row>
    <row r="1292">
      <c r="A1292" s="28">
        <v>46232.0</v>
      </c>
      <c r="B1292" s="16" t="s">
        <v>6134</v>
      </c>
      <c r="C1292" s="20" t="s">
        <v>6135</v>
      </c>
      <c r="D1292" s="21"/>
      <c r="E1292" s="22" t="s">
        <v>6136</v>
      </c>
      <c r="H1292" s="23" t="s">
        <v>5862</v>
      </c>
      <c r="I1292" s="21"/>
      <c r="J1292" s="25"/>
      <c r="K1292" s="26" t="s">
        <v>44</v>
      </c>
      <c r="L1292" s="16"/>
      <c r="M1292" s="21"/>
    </row>
    <row r="1293">
      <c r="A1293" s="28">
        <v>46232.0</v>
      </c>
      <c r="B1293" s="16" t="s">
        <v>6137</v>
      </c>
      <c r="C1293" s="20" t="s">
        <v>6138</v>
      </c>
      <c r="D1293" s="21"/>
      <c r="E1293" s="22" t="s">
        <v>6139</v>
      </c>
      <c r="H1293" s="23" t="s">
        <v>69</v>
      </c>
      <c r="I1293" s="21"/>
      <c r="J1293" s="25"/>
      <c r="K1293" s="26" t="s">
        <v>44</v>
      </c>
      <c r="L1293" s="16"/>
      <c r="M1293" s="21"/>
    </row>
    <row r="1294">
      <c r="A1294" s="28">
        <v>46232.0</v>
      </c>
      <c r="B1294" s="16" t="s">
        <v>6140</v>
      </c>
      <c r="C1294" s="20" t="s">
        <v>6141</v>
      </c>
      <c r="D1294" s="21"/>
      <c r="E1294" s="22" t="s">
        <v>6142</v>
      </c>
      <c r="H1294" s="23" t="s">
        <v>2268</v>
      </c>
      <c r="I1294" s="21"/>
      <c r="J1294" s="25"/>
      <c r="K1294" s="26" t="s">
        <v>44</v>
      </c>
      <c r="L1294" s="16"/>
      <c r="M1294" s="21"/>
    </row>
    <row r="1295">
      <c r="A1295" s="28">
        <v>46232.0</v>
      </c>
      <c r="B1295" s="16" t="s">
        <v>6143</v>
      </c>
      <c r="C1295" s="20" t="s">
        <v>6144</v>
      </c>
      <c r="D1295" s="21"/>
      <c r="E1295" s="22" t="s">
        <v>6145</v>
      </c>
      <c r="H1295" s="23" t="s">
        <v>6146</v>
      </c>
      <c r="I1295" s="21"/>
      <c r="J1295" s="25"/>
      <c r="K1295" s="26" t="s">
        <v>44</v>
      </c>
      <c r="L1295" s="16"/>
      <c r="M1295" s="21"/>
    </row>
    <row r="1296">
      <c r="A1296" s="28">
        <v>46232.0</v>
      </c>
      <c r="B1296" s="16" t="s">
        <v>6147</v>
      </c>
      <c r="C1296" s="20" t="s">
        <v>6148</v>
      </c>
      <c r="D1296" s="21"/>
      <c r="E1296" s="22" t="s">
        <v>6149</v>
      </c>
      <c r="H1296" s="23" t="s">
        <v>6150</v>
      </c>
      <c r="I1296" s="21"/>
      <c r="J1296" s="25"/>
      <c r="K1296" s="26" t="s">
        <v>44</v>
      </c>
      <c r="L1296" s="16"/>
      <c r="M1296" s="21"/>
    </row>
    <row r="1297">
      <c r="A1297" s="28">
        <v>46232.0</v>
      </c>
      <c r="B1297" s="16" t="s">
        <v>6151</v>
      </c>
      <c r="C1297" s="20" t="s">
        <v>6152</v>
      </c>
      <c r="D1297" s="21"/>
      <c r="E1297" s="22" t="s">
        <v>6153</v>
      </c>
      <c r="H1297" s="23" t="s">
        <v>983</v>
      </c>
      <c r="I1297" s="21"/>
      <c r="J1297" s="25"/>
      <c r="K1297" s="26" t="s">
        <v>44</v>
      </c>
      <c r="L1297" s="16"/>
      <c r="M1297" s="21"/>
    </row>
    <row r="1298">
      <c r="A1298" s="28">
        <v>46232.0</v>
      </c>
      <c r="B1298" s="16" t="s">
        <v>6154</v>
      </c>
      <c r="C1298" s="20" t="s">
        <v>6155</v>
      </c>
      <c r="D1298" s="21"/>
      <c r="E1298" s="22" t="s">
        <v>6156</v>
      </c>
      <c r="H1298" s="23" t="s">
        <v>6157</v>
      </c>
      <c r="I1298" s="21"/>
      <c r="J1298" s="25"/>
      <c r="K1298" s="26" t="s">
        <v>44</v>
      </c>
      <c r="L1298" s="16"/>
      <c r="M1298" s="21"/>
    </row>
    <row r="1299">
      <c r="A1299" s="28">
        <v>46232.0</v>
      </c>
      <c r="B1299" s="16" t="s">
        <v>6158</v>
      </c>
      <c r="C1299" s="20" t="s">
        <v>6159</v>
      </c>
      <c r="D1299" s="21"/>
      <c r="E1299" s="22" t="s">
        <v>6160</v>
      </c>
      <c r="H1299" s="23" t="s">
        <v>6161</v>
      </c>
      <c r="I1299" s="21"/>
      <c r="J1299" s="25"/>
      <c r="K1299" s="26" t="s">
        <v>44</v>
      </c>
      <c r="L1299" s="16"/>
      <c r="M1299" s="21"/>
    </row>
    <row r="1300">
      <c r="A1300" s="28">
        <v>46232.0</v>
      </c>
      <c r="B1300" s="16" t="s">
        <v>6162</v>
      </c>
      <c r="C1300" s="20" t="s">
        <v>6163</v>
      </c>
      <c r="D1300" s="21"/>
      <c r="E1300" s="22" t="s">
        <v>6164</v>
      </c>
      <c r="H1300" s="23" t="s">
        <v>69</v>
      </c>
      <c r="I1300" s="21"/>
      <c r="J1300" s="25"/>
      <c r="K1300" s="26" t="s">
        <v>44</v>
      </c>
      <c r="L1300" s="16"/>
      <c r="M1300" s="21"/>
    </row>
    <row r="1301">
      <c r="A1301" s="28">
        <v>46232.0</v>
      </c>
      <c r="B1301" s="16" t="s">
        <v>6165</v>
      </c>
      <c r="C1301" s="20" t="s">
        <v>6166</v>
      </c>
      <c r="D1301" s="21"/>
      <c r="E1301" s="22" t="s">
        <v>6167</v>
      </c>
      <c r="H1301" s="23" t="s">
        <v>6168</v>
      </c>
      <c r="I1301" s="21"/>
      <c r="J1301" s="25"/>
      <c r="K1301" s="26" t="s">
        <v>44</v>
      </c>
      <c r="L1301" s="16"/>
      <c r="M1301" s="21"/>
    </row>
    <row r="1302">
      <c r="A1302" s="28">
        <v>46232.0</v>
      </c>
      <c r="B1302" s="16" t="s">
        <v>6169</v>
      </c>
      <c r="C1302" s="20" t="s">
        <v>6170</v>
      </c>
      <c r="D1302" s="21"/>
      <c r="E1302" s="22" t="s">
        <v>6171</v>
      </c>
      <c r="H1302" s="23" t="s">
        <v>6172</v>
      </c>
      <c r="I1302" s="21"/>
      <c r="J1302" s="25"/>
      <c r="K1302" s="26" t="s">
        <v>44</v>
      </c>
      <c r="L1302" s="16"/>
      <c r="M1302" s="21"/>
    </row>
    <row r="1303">
      <c r="A1303" s="28">
        <v>46232.0</v>
      </c>
      <c r="B1303" s="16" t="s">
        <v>6173</v>
      </c>
      <c r="C1303" s="20" t="s">
        <v>6174</v>
      </c>
      <c r="D1303" s="21"/>
      <c r="E1303" s="22" t="s">
        <v>6175</v>
      </c>
      <c r="H1303" s="23" t="s">
        <v>6176</v>
      </c>
      <c r="I1303" s="21"/>
      <c r="J1303" s="25"/>
      <c r="K1303" s="26" t="s">
        <v>44</v>
      </c>
      <c r="L1303" s="16"/>
      <c r="M1303" s="21"/>
    </row>
    <row r="1304">
      <c r="A1304" s="28">
        <v>46232.0</v>
      </c>
      <c r="B1304" s="16" t="s">
        <v>6177</v>
      </c>
      <c r="C1304" s="20" t="s">
        <v>6178</v>
      </c>
      <c r="D1304" s="21"/>
      <c r="E1304" s="22" t="s">
        <v>6179</v>
      </c>
      <c r="H1304" s="23" t="s">
        <v>1250</v>
      </c>
      <c r="I1304" s="21"/>
      <c r="J1304" s="25"/>
      <c r="K1304" s="26" t="s">
        <v>44</v>
      </c>
      <c r="L1304" s="16"/>
      <c r="M1304" s="21"/>
    </row>
    <row r="1305">
      <c r="A1305" s="28">
        <v>46232.0</v>
      </c>
      <c r="B1305" s="16" t="s">
        <v>6180</v>
      </c>
      <c r="C1305" s="20" t="s">
        <v>6181</v>
      </c>
      <c r="D1305" s="21"/>
      <c r="E1305" s="22" t="s">
        <v>6182</v>
      </c>
      <c r="H1305" s="23" t="s">
        <v>2606</v>
      </c>
      <c r="I1305" s="21"/>
      <c r="J1305" s="25"/>
      <c r="K1305" s="26" t="s">
        <v>44</v>
      </c>
      <c r="L1305" s="16"/>
      <c r="M1305" s="21"/>
    </row>
    <row r="1306">
      <c r="A1306" s="28">
        <v>46232.0</v>
      </c>
      <c r="B1306" s="16" t="s">
        <v>6183</v>
      </c>
      <c r="C1306" s="20" t="s">
        <v>6184</v>
      </c>
      <c r="D1306" s="21"/>
      <c r="E1306" s="22" t="s">
        <v>6185</v>
      </c>
      <c r="H1306" s="23" t="s">
        <v>713</v>
      </c>
      <c r="I1306" s="21"/>
      <c r="J1306" s="25"/>
      <c r="K1306" s="26" t="s">
        <v>44</v>
      </c>
      <c r="L1306" s="16"/>
      <c r="M1306" s="21"/>
    </row>
    <row r="1307">
      <c r="A1307" s="28">
        <v>46232.0</v>
      </c>
      <c r="B1307" s="16" t="s">
        <v>6186</v>
      </c>
      <c r="C1307" s="20" t="s">
        <v>6187</v>
      </c>
      <c r="D1307" s="21"/>
      <c r="E1307" s="22" t="s">
        <v>6188</v>
      </c>
      <c r="H1307" s="23" t="s">
        <v>6189</v>
      </c>
      <c r="I1307" s="21"/>
      <c r="J1307" s="25"/>
      <c r="K1307" s="26" t="s">
        <v>44</v>
      </c>
      <c r="L1307" s="16"/>
      <c r="M1307" s="21"/>
    </row>
    <row r="1308">
      <c r="A1308" s="28">
        <v>46232.0</v>
      </c>
      <c r="B1308" s="16" t="s">
        <v>6190</v>
      </c>
      <c r="C1308" s="20" t="s">
        <v>6191</v>
      </c>
      <c r="D1308" s="21"/>
      <c r="E1308" s="22" t="s">
        <v>6192</v>
      </c>
      <c r="H1308" s="23" t="s">
        <v>1963</v>
      </c>
      <c r="I1308" s="21"/>
      <c r="J1308" s="25"/>
      <c r="K1308" s="26" t="s">
        <v>44</v>
      </c>
      <c r="L1308" s="16"/>
      <c r="M1308" s="21"/>
    </row>
    <row r="1309">
      <c r="A1309" s="28">
        <v>46232.0</v>
      </c>
      <c r="B1309" s="16" t="s">
        <v>6193</v>
      </c>
      <c r="C1309" s="20" t="s">
        <v>6194</v>
      </c>
      <c r="D1309" s="21"/>
      <c r="E1309" s="22" t="s">
        <v>6195</v>
      </c>
      <c r="H1309" s="23" t="s">
        <v>1141</v>
      </c>
      <c r="I1309" s="21"/>
      <c r="J1309" s="25"/>
      <c r="K1309" s="26" t="s">
        <v>44</v>
      </c>
      <c r="L1309" s="16"/>
      <c r="M1309" s="21"/>
    </row>
    <row r="1310">
      <c r="A1310" s="28">
        <v>46232.0</v>
      </c>
      <c r="B1310" s="16" t="s">
        <v>6196</v>
      </c>
      <c r="C1310" s="20" t="s">
        <v>155</v>
      </c>
      <c r="D1310" s="21"/>
      <c r="E1310" s="22" t="s">
        <v>6197</v>
      </c>
      <c r="H1310" s="23" t="s">
        <v>69</v>
      </c>
      <c r="I1310" s="21"/>
      <c r="J1310" s="25"/>
      <c r="K1310" s="26" t="s">
        <v>44</v>
      </c>
      <c r="L1310" s="16"/>
      <c r="M1310" s="21"/>
    </row>
    <row r="1311">
      <c r="A1311" s="28">
        <v>46232.0</v>
      </c>
      <c r="B1311" s="16" t="s">
        <v>6198</v>
      </c>
      <c r="C1311" s="20" t="s">
        <v>6199</v>
      </c>
      <c r="D1311" s="21"/>
      <c r="E1311" s="22" t="s">
        <v>6200</v>
      </c>
      <c r="H1311" s="23" t="s">
        <v>6201</v>
      </c>
      <c r="I1311" s="21"/>
      <c r="J1311" s="25"/>
      <c r="K1311" s="26" t="s">
        <v>44</v>
      </c>
      <c r="L1311" s="16"/>
      <c r="M1311" s="21"/>
    </row>
    <row r="1312">
      <c r="A1312" s="28">
        <v>46232.0</v>
      </c>
      <c r="B1312" s="16" t="s">
        <v>6202</v>
      </c>
      <c r="C1312" s="20" t="s">
        <v>6203</v>
      </c>
      <c r="D1312" s="21"/>
      <c r="E1312" s="22" t="s">
        <v>6204</v>
      </c>
      <c r="H1312" s="23" t="s">
        <v>6205</v>
      </c>
      <c r="I1312" s="21"/>
      <c r="J1312" s="25"/>
      <c r="K1312" s="26" t="s">
        <v>44</v>
      </c>
      <c r="L1312" s="16"/>
      <c r="M1312" s="21"/>
    </row>
    <row r="1313">
      <c r="A1313" s="28">
        <v>46232.0</v>
      </c>
      <c r="B1313" s="16" t="s">
        <v>6206</v>
      </c>
      <c r="C1313" s="20" t="s">
        <v>6207</v>
      </c>
      <c r="D1313" s="21"/>
      <c r="E1313" s="22" t="s">
        <v>6208</v>
      </c>
      <c r="H1313" s="23" t="s">
        <v>6209</v>
      </c>
      <c r="I1313" s="21"/>
      <c r="J1313" s="25"/>
      <c r="K1313" s="26" t="s">
        <v>44</v>
      </c>
      <c r="L1313" s="16"/>
      <c r="M1313" s="21"/>
    </row>
    <row r="1314">
      <c r="A1314" s="28">
        <v>46232.0</v>
      </c>
      <c r="B1314" s="16" t="s">
        <v>6210</v>
      </c>
      <c r="C1314" s="20" t="s">
        <v>6211</v>
      </c>
      <c r="D1314" s="21"/>
      <c r="E1314" s="22" t="s">
        <v>6212</v>
      </c>
      <c r="H1314" s="23" t="s">
        <v>622</v>
      </c>
      <c r="I1314" s="21"/>
      <c r="J1314" s="25"/>
      <c r="K1314" s="26" t="s">
        <v>44</v>
      </c>
      <c r="L1314" s="16"/>
      <c r="M1314" s="21"/>
    </row>
    <row r="1315">
      <c r="A1315" s="28">
        <v>46232.0</v>
      </c>
      <c r="B1315" s="16" t="s">
        <v>6213</v>
      </c>
      <c r="C1315" s="20" t="s">
        <v>6214</v>
      </c>
      <c r="D1315" s="21"/>
      <c r="E1315" s="22" t="s">
        <v>6215</v>
      </c>
      <c r="H1315" s="23" t="s">
        <v>6216</v>
      </c>
      <c r="I1315" s="21"/>
      <c r="J1315" s="25"/>
      <c r="K1315" s="26" t="s">
        <v>44</v>
      </c>
      <c r="L1315" s="16"/>
      <c r="M1315" s="21"/>
    </row>
    <row r="1316">
      <c r="A1316" s="28">
        <v>46232.0</v>
      </c>
      <c r="B1316" s="16" t="s">
        <v>6217</v>
      </c>
      <c r="C1316" s="20" t="s">
        <v>6218</v>
      </c>
      <c r="D1316" s="21"/>
      <c r="E1316" s="22" t="s">
        <v>6219</v>
      </c>
      <c r="H1316" s="23" t="s">
        <v>1608</v>
      </c>
      <c r="I1316" s="21"/>
      <c r="J1316" s="25"/>
      <c r="K1316" s="26" t="s">
        <v>44</v>
      </c>
      <c r="L1316" s="16"/>
      <c r="M1316" s="21"/>
    </row>
    <row r="1317">
      <c r="A1317" s="28">
        <v>46232.0</v>
      </c>
      <c r="B1317" s="16" t="s">
        <v>6220</v>
      </c>
      <c r="C1317" s="20" t="s">
        <v>6221</v>
      </c>
      <c r="D1317" s="21"/>
      <c r="E1317" s="22" t="s">
        <v>6222</v>
      </c>
      <c r="H1317" s="23" t="s">
        <v>6223</v>
      </c>
      <c r="I1317" s="21"/>
      <c r="J1317" s="25"/>
      <c r="K1317" s="26" t="s">
        <v>44</v>
      </c>
      <c r="L1317" s="16"/>
      <c r="M1317" s="21"/>
    </row>
    <row r="1318">
      <c r="A1318" s="28">
        <v>46232.0</v>
      </c>
      <c r="B1318" s="16" t="s">
        <v>6224</v>
      </c>
      <c r="C1318" s="20" t="s">
        <v>6225</v>
      </c>
      <c r="D1318" s="21"/>
      <c r="E1318" s="22" t="s">
        <v>6226</v>
      </c>
      <c r="H1318" s="23" t="s">
        <v>6227</v>
      </c>
      <c r="I1318" s="21"/>
      <c r="J1318" s="25"/>
      <c r="K1318" s="26" t="s">
        <v>44</v>
      </c>
      <c r="L1318" s="16"/>
      <c r="M1318" s="21"/>
    </row>
    <row r="1319">
      <c r="A1319" s="28">
        <v>46232.0</v>
      </c>
      <c r="B1319" s="16" t="s">
        <v>6228</v>
      </c>
      <c r="C1319" s="20" t="s">
        <v>6229</v>
      </c>
      <c r="D1319" s="21"/>
      <c r="E1319" s="22" t="s">
        <v>6230</v>
      </c>
      <c r="H1319" s="23" t="s">
        <v>1520</v>
      </c>
      <c r="I1319" s="21"/>
      <c r="J1319" s="25"/>
      <c r="K1319" s="26" t="s">
        <v>44</v>
      </c>
      <c r="L1319" s="16"/>
      <c r="M1319" s="21"/>
    </row>
    <row r="1320">
      <c r="A1320" s="28">
        <v>46232.0</v>
      </c>
      <c r="B1320" s="16" t="s">
        <v>6231</v>
      </c>
      <c r="C1320" s="20" t="s">
        <v>6232</v>
      </c>
      <c r="D1320" s="21"/>
      <c r="E1320" s="22" t="s">
        <v>6233</v>
      </c>
      <c r="H1320" s="23" t="s">
        <v>1819</v>
      </c>
      <c r="I1320" s="21"/>
      <c r="J1320" s="25"/>
      <c r="K1320" s="26" t="s">
        <v>44</v>
      </c>
      <c r="L1320" s="16"/>
      <c r="M1320" s="21"/>
    </row>
    <row r="1321">
      <c r="A1321" s="28">
        <v>46232.0</v>
      </c>
      <c r="B1321" s="16" t="s">
        <v>6234</v>
      </c>
      <c r="C1321" s="20" t="s">
        <v>6235</v>
      </c>
      <c r="D1321" s="21"/>
      <c r="E1321" s="22" t="s">
        <v>6236</v>
      </c>
      <c r="H1321" s="23" t="s">
        <v>6237</v>
      </c>
      <c r="I1321" s="21"/>
      <c r="J1321" s="25"/>
      <c r="K1321" s="26" t="s">
        <v>44</v>
      </c>
      <c r="L1321" s="16"/>
      <c r="M1321" s="21"/>
    </row>
    <row r="1322">
      <c r="A1322" s="28">
        <v>46232.0</v>
      </c>
      <c r="B1322" s="16" t="s">
        <v>6238</v>
      </c>
      <c r="C1322" s="20" t="s">
        <v>6239</v>
      </c>
      <c r="D1322" s="21"/>
      <c r="E1322" s="22" t="s">
        <v>6240</v>
      </c>
      <c r="H1322" s="23" t="s">
        <v>6241</v>
      </c>
      <c r="I1322" s="21"/>
      <c r="J1322" s="25"/>
      <c r="K1322" s="26" t="s">
        <v>44</v>
      </c>
      <c r="L1322" s="16"/>
      <c r="M1322" s="21"/>
    </row>
    <row r="1323">
      <c r="A1323" s="28">
        <v>46232.0</v>
      </c>
      <c r="B1323" s="16" t="s">
        <v>6242</v>
      </c>
      <c r="C1323" s="20" t="s">
        <v>6243</v>
      </c>
      <c r="D1323" s="21"/>
      <c r="E1323" s="22" t="s">
        <v>6244</v>
      </c>
      <c r="H1323" s="23" t="s">
        <v>6245</v>
      </c>
      <c r="I1323" s="21"/>
      <c r="J1323" s="25"/>
      <c r="K1323" s="26" t="s">
        <v>44</v>
      </c>
      <c r="L1323" s="16"/>
      <c r="M1323" s="21"/>
    </row>
    <row r="1324">
      <c r="A1324" s="28">
        <v>46232.0</v>
      </c>
      <c r="B1324" s="16" t="s">
        <v>6246</v>
      </c>
      <c r="C1324" s="20" t="s">
        <v>6247</v>
      </c>
      <c r="D1324" s="21"/>
      <c r="E1324" s="22" t="s">
        <v>6248</v>
      </c>
      <c r="H1324" s="23" t="s">
        <v>6249</v>
      </c>
      <c r="I1324" s="21"/>
      <c r="J1324" s="25"/>
      <c r="K1324" s="26" t="s">
        <v>44</v>
      </c>
      <c r="L1324" s="16"/>
      <c r="M1324" s="21"/>
    </row>
    <row r="1325">
      <c r="A1325" s="28">
        <v>46232.0</v>
      </c>
      <c r="B1325" s="16" t="s">
        <v>6250</v>
      </c>
      <c r="C1325" s="20" t="s">
        <v>6251</v>
      </c>
      <c r="D1325" s="21"/>
      <c r="E1325" s="22" t="s">
        <v>6252</v>
      </c>
      <c r="H1325" s="23" t="s">
        <v>6253</v>
      </c>
      <c r="I1325" s="21"/>
      <c r="J1325" s="25"/>
      <c r="K1325" s="26" t="s">
        <v>44</v>
      </c>
      <c r="L1325" s="16"/>
      <c r="M1325" s="21"/>
    </row>
    <row r="1326">
      <c r="A1326" s="28">
        <v>46232.0</v>
      </c>
      <c r="B1326" s="16" t="s">
        <v>6254</v>
      </c>
      <c r="C1326" s="20" t="s">
        <v>6255</v>
      </c>
      <c r="D1326" s="21"/>
      <c r="E1326" s="22" t="s">
        <v>6256</v>
      </c>
      <c r="H1326" s="23" t="s">
        <v>6257</v>
      </c>
      <c r="I1326" s="21"/>
      <c r="J1326" s="25"/>
      <c r="K1326" s="26" t="s">
        <v>44</v>
      </c>
      <c r="L1326" s="16"/>
      <c r="M1326" s="21"/>
    </row>
    <row r="1327">
      <c r="A1327" s="28">
        <v>46232.0</v>
      </c>
      <c r="B1327" s="16" t="s">
        <v>6258</v>
      </c>
      <c r="C1327" s="20" t="s">
        <v>6259</v>
      </c>
      <c r="D1327" s="21"/>
      <c r="E1327" s="22" t="s">
        <v>6260</v>
      </c>
      <c r="H1327" s="23" t="s">
        <v>6261</v>
      </c>
      <c r="I1327" s="21"/>
      <c r="J1327" s="25"/>
      <c r="K1327" s="26" t="s">
        <v>44</v>
      </c>
      <c r="L1327" s="16"/>
      <c r="M1327" s="21"/>
    </row>
    <row r="1328">
      <c r="A1328" s="28">
        <v>46232.0</v>
      </c>
      <c r="B1328" s="16" t="s">
        <v>6262</v>
      </c>
      <c r="C1328" s="20" t="s">
        <v>6263</v>
      </c>
      <c r="D1328" s="21"/>
      <c r="E1328" s="22" t="s">
        <v>6264</v>
      </c>
      <c r="H1328" s="23" t="s">
        <v>4575</v>
      </c>
      <c r="I1328" s="21"/>
      <c r="J1328" s="25"/>
      <c r="K1328" s="26" t="s">
        <v>44</v>
      </c>
      <c r="L1328" s="16"/>
      <c r="M1328" s="21"/>
    </row>
    <row r="1329">
      <c r="A1329" s="28">
        <v>46232.0</v>
      </c>
      <c r="B1329" s="16" t="s">
        <v>6265</v>
      </c>
      <c r="C1329" s="46" t="s">
        <v>6266</v>
      </c>
      <c r="D1329" s="21"/>
      <c r="E1329" s="22" t="s">
        <v>6267</v>
      </c>
      <c r="H1329" s="23" t="s">
        <v>2085</v>
      </c>
      <c r="I1329" s="21"/>
      <c r="J1329" s="25"/>
      <c r="K1329" s="26" t="s">
        <v>44</v>
      </c>
      <c r="L1329" s="16"/>
      <c r="M1329" s="21"/>
    </row>
    <row r="1330">
      <c r="A1330" s="28">
        <v>46232.0</v>
      </c>
      <c r="B1330" s="16" t="s">
        <v>6268</v>
      </c>
      <c r="C1330" s="20" t="s">
        <v>6269</v>
      </c>
      <c r="D1330" s="21"/>
      <c r="E1330" s="22" t="s">
        <v>6270</v>
      </c>
      <c r="H1330" s="23" t="s">
        <v>6271</v>
      </c>
      <c r="I1330" s="21"/>
      <c r="J1330" s="25"/>
      <c r="K1330" s="26" t="s">
        <v>44</v>
      </c>
      <c r="L1330" s="16"/>
      <c r="M1330" s="21"/>
    </row>
    <row r="1331">
      <c r="A1331" s="28">
        <v>46232.0</v>
      </c>
      <c r="B1331" s="16" t="s">
        <v>6272</v>
      </c>
      <c r="C1331" s="20" t="s">
        <v>6273</v>
      </c>
      <c r="D1331" s="21"/>
      <c r="E1331" s="22" t="s">
        <v>6274</v>
      </c>
      <c r="H1331" s="23" t="s">
        <v>42</v>
      </c>
      <c r="I1331" s="21"/>
      <c r="J1331" s="25"/>
      <c r="K1331" s="26" t="s">
        <v>44</v>
      </c>
      <c r="L1331" s="16"/>
      <c r="M1331" s="21"/>
    </row>
    <row r="1332">
      <c r="A1332" s="28">
        <v>46232.0</v>
      </c>
      <c r="B1332" s="16" t="s">
        <v>6275</v>
      </c>
      <c r="C1332" s="20" t="s">
        <v>6276</v>
      </c>
      <c r="D1332" s="21"/>
      <c r="E1332" s="22" t="s">
        <v>6277</v>
      </c>
      <c r="H1332" s="23" t="s">
        <v>6278</v>
      </c>
      <c r="I1332" s="21"/>
      <c r="J1332" s="25"/>
      <c r="K1332" s="26" t="s">
        <v>44</v>
      </c>
      <c r="L1332" s="16"/>
      <c r="M1332" s="21"/>
    </row>
    <row r="1333">
      <c r="A1333" s="28">
        <v>46232.0</v>
      </c>
      <c r="B1333" s="16" t="s">
        <v>6279</v>
      </c>
      <c r="C1333" s="20" t="s">
        <v>6280</v>
      </c>
      <c r="D1333" s="21"/>
      <c r="E1333" s="22" t="s">
        <v>6281</v>
      </c>
      <c r="H1333" s="23" t="s">
        <v>6282</v>
      </c>
      <c r="I1333" s="21"/>
      <c r="J1333" s="25"/>
      <c r="K1333" s="26" t="s">
        <v>44</v>
      </c>
      <c r="L1333" s="16"/>
      <c r="M1333" s="21"/>
    </row>
    <row r="1334">
      <c r="A1334" s="28">
        <v>46232.0</v>
      </c>
      <c r="B1334" s="16" t="s">
        <v>6283</v>
      </c>
      <c r="C1334" s="20" t="s">
        <v>6284</v>
      </c>
      <c r="D1334" s="21"/>
      <c r="E1334" s="22" t="s">
        <v>6285</v>
      </c>
      <c r="H1334" s="23" t="s">
        <v>1411</v>
      </c>
      <c r="I1334" s="21"/>
      <c r="J1334" s="25"/>
      <c r="K1334" s="26" t="s">
        <v>44</v>
      </c>
      <c r="L1334" s="16"/>
      <c r="M1334" s="21"/>
    </row>
    <row r="1335">
      <c r="A1335" s="28">
        <v>46232.0</v>
      </c>
      <c r="B1335" s="16" t="s">
        <v>6286</v>
      </c>
      <c r="C1335" s="20" t="s">
        <v>6287</v>
      </c>
      <c r="D1335" s="21"/>
      <c r="E1335" s="22" t="s">
        <v>6288</v>
      </c>
      <c r="H1335" s="23" t="s">
        <v>5096</v>
      </c>
      <c r="I1335" s="21"/>
      <c r="J1335" s="25"/>
      <c r="K1335" s="26" t="s">
        <v>44</v>
      </c>
      <c r="L1335" s="16"/>
      <c r="M1335" s="21"/>
    </row>
    <row r="1336">
      <c r="A1336" s="28">
        <v>46232.0</v>
      </c>
      <c r="B1336" s="16" t="s">
        <v>6289</v>
      </c>
      <c r="C1336" s="20" t="s">
        <v>6290</v>
      </c>
      <c r="D1336" s="21"/>
      <c r="E1336" s="22" t="s">
        <v>6291</v>
      </c>
      <c r="H1336" s="23" t="s">
        <v>6292</v>
      </c>
      <c r="I1336" s="21"/>
      <c r="J1336" s="25"/>
      <c r="K1336" s="26" t="s">
        <v>44</v>
      </c>
      <c r="L1336" s="16"/>
      <c r="M1336" s="21"/>
    </row>
    <row r="1337">
      <c r="A1337" s="28">
        <v>46232.0</v>
      </c>
      <c r="B1337" s="16" t="s">
        <v>6293</v>
      </c>
      <c r="C1337" s="46" t="s">
        <v>6294</v>
      </c>
      <c r="D1337" s="21"/>
      <c r="E1337" s="22" t="s">
        <v>6295</v>
      </c>
      <c r="H1337" s="23" t="s">
        <v>69</v>
      </c>
      <c r="I1337" s="21"/>
      <c r="J1337" s="25"/>
      <c r="K1337" s="26" t="s">
        <v>44</v>
      </c>
      <c r="L1337" s="16"/>
      <c r="M1337" s="21"/>
    </row>
    <row r="1338">
      <c r="A1338" s="28">
        <v>46232.0</v>
      </c>
      <c r="B1338" s="16" t="s">
        <v>6296</v>
      </c>
      <c r="C1338" s="20" t="s">
        <v>6297</v>
      </c>
      <c r="D1338" s="21"/>
      <c r="E1338" s="22" t="s">
        <v>6298</v>
      </c>
      <c r="H1338" s="23" t="s">
        <v>2598</v>
      </c>
      <c r="I1338" s="21"/>
      <c r="J1338" s="25"/>
      <c r="K1338" s="26" t="s">
        <v>44</v>
      </c>
      <c r="L1338" s="16"/>
      <c r="M1338" s="21"/>
    </row>
    <row r="1339">
      <c r="A1339" s="28">
        <v>46232.0</v>
      </c>
      <c r="B1339" s="16" t="s">
        <v>6299</v>
      </c>
      <c r="C1339" s="20" t="s">
        <v>6300</v>
      </c>
      <c r="D1339" s="21"/>
      <c r="E1339" s="22" t="s">
        <v>6301</v>
      </c>
      <c r="H1339" s="23" t="s">
        <v>1971</v>
      </c>
      <c r="I1339" s="21"/>
      <c r="J1339" s="25"/>
      <c r="K1339" s="26" t="s">
        <v>44</v>
      </c>
      <c r="L1339" s="16"/>
      <c r="M1339" s="21"/>
    </row>
    <row r="1340">
      <c r="A1340" s="28">
        <v>46232.0</v>
      </c>
      <c r="B1340" s="16" t="s">
        <v>6302</v>
      </c>
      <c r="C1340" s="20" t="s">
        <v>6303</v>
      </c>
      <c r="D1340" s="21"/>
      <c r="E1340" s="22" t="s">
        <v>6304</v>
      </c>
      <c r="H1340" s="23" t="s">
        <v>5964</v>
      </c>
      <c r="I1340" s="21"/>
      <c r="J1340" s="25"/>
      <c r="K1340" s="26" t="s">
        <v>44</v>
      </c>
      <c r="L1340" s="16"/>
      <c r="M1340" s="21"/>
    </row>
    <row r="1341">
      <c r="A1341" s="28">
        <v>46232.0</v>
      </c>
      <c r="B1341" s="16" t="s">
        <v>6305</v>
      </c>
      <c r="C1341" s="20" t="s">
        <v>6306</v>
      </c>
      <c r="D1341" s="21"/>
      <c r="E1341" s="22" t="s">
        <v>6307</v>
      </c>
      <c r="H1341" s="23" t="s">
        <v>3595</v>
      </c>
      <c r="I1341" s="21"/>
      <c r="J1341" s="25"/>
      <c r="K1341" s="26" t="s">
        <v>44</v>
      </c>
      <c r="L1341" s="16"/>
      <c r="M1341" s="21"/>
    </row>
    <row r="1342">
      <c r="A1342" s="28">
        <v>46232.0</v>
      </c>
      <c r="B1342" s="16" t="s">
        <v>6308</v>
      </c>
      <c r="C1342" s="20" t="s">
        <v>6309</v>
      </c>
      <c r="D1342" s="21"/>
      <c r="E1342" s="22" t="s">
        <v>6310</v>
      </c>
      <c r="H1342" s="23" t="s">
        <v>6311</v>
      </c>
      <c r="I1342" s="21"/>
      <c r="J1342" s="25"/>
      <c r="K1342" s="26" t="s">
        <v>44</v>
      </c>
      <c r="L1342" s="16"/>
      <c r="M1342" s="21"/>
    </row>
    <row r="1343">
      <c r="A1343" s="28">
        <v>46232.0</v>
      </c>
      <c r="B1343" s="16" t="s">
        <v>6312</v>
      </c>
      <c r="C1343" s="20" t="s">
        <v>6313</v>
      </c>
      <c r="D1343" s="21"/>
      <c r="E1343" s="22" t="s">
        <v>6314</v>
      </c>
      <c r="H1343" s="23" t="s">
        <v>1433</v>
      </c>
      <c r="I1343" s="21"/>
      <c r="J1343" s="25"/>
      <c r="K1343" s="26" t="s">
        <v>44</v>
      </c>
      <c r="L1343" s="16"/>
      <c r="M1343" s="21"/>
    </row>
    <row r="1344">
      <c r="A1344" s="28">
        <v>46232.0</v>
      </c>
      <c r="B1344" s="16" t="s">
        <v>6315</v>
      </c>
      <c r="C1344" s="20" t="s">
        <v>6316</v>
      </c>
      <c r="D1344" s="21"/>
      <c r="E1344" s="22" t="s">
        <v>6317</v>
      </c>
      <c r="H1344" s="23" t="s">
        <v>479</v>
      </c>
      <c r="I1344" s="21"/>
      <c r="J1344" s="25"/>
      <c r="K1344" s="26" t="s">
        <v>44</v>
      </c>
      <c r="L1344" s="16"/>
      <c r="M1344" s="21"/>
    </row>
    <row r="1345">
      <c r="A1345" s="28">
        <v>46232.0</v>
      </c>
      <c r="B1345" s="16" t="s">
        <v>6318</v>
      </c>
      <c r="C1345" s="20" t="s">
        <v>6319</v>
      </c>
      <c r="D1345" s="21"/>
      <c r="E1345" s="22" t="s">
        <v>6320</v>
      </c>
      <c r="H1345" s="23" t="s">
        <v>6321</v>
      </c>
      <c r="I1345" s="21"/>
      <c r="J1345" s="25"/>
      <c r="K1345" s="26" t="s">
        <v>44</v>
      </c>
      <c r="L1345" s="16"/>
      <c r="M1345" s="21"/>
    </row>
    <row r="1346">
      <c r="A1346" s="28">
        <v>46232.0</v>
      </c>
      <c r="B1346" s="16" t="s">
        <v>6322</v>
      </c>
      <c r="C1346" s="20" t="s">
        <v>6323</v>
      </c>
      <c r="D1346" s="21"/>
      <c r="E1346" s="22" t="s">
        <v>6324</v>
      </c>
      <c r="H1346" s="23" t="s">
        <v>2549</v>
      </c>
      <c r="I1346" s="21"/>
      <c r="J1346" s="25"/>
      <c r="K1346" s="26" t="s">
        <v>44</v>
      </c>
      <c r="L1346" s="16"/>
      <c r="M1346" s="21"/>
    </row>
    <row r="1347">
      <c r="A1347" s="28">
        <v>46232.0</v>
      </c>
      <c r="B1347" s="16" t="s">
        <v>6325</v>
      </c>
      <c r="C1347" s="20" t="s">
        <v>6326</v>
      </c>
      <c r="D1347" s="21"/>
      <c r="E1347" s="22" t="s">
        <v>6327</v>
      </c>
      <c r="H1347" s="23" t="s">
        <v>6205</v>
      </c>
      <c r="I1347" s="21"/>
      <c r="J1347" s="25"/>
      <c r="K1347" s="26" t="s">
        <v>44</v>
      </c>
      <c r="L1347" s="16"/>
      <c r="M1347" s="21"/>
    </row>
    <row r="1348">
      <c r="A1348" s="28">
        <v>46232.0</v>
      </c>
      <c r="B1348" s="16" t="s">
        <v>6328</v>
      </c>
      <c r="C1348" s="20" t="s">
        <v>6329</v>
      </c>
      <c r="D1348" s="21"/>
      <c r="E1348" s="22" t="s">
        <v>6330</v>
      </c>
      <c r="H1348" s="23" t="s">
        <v>6331</v>
      </c>
      <c r="I1348" s="21"/>
      <c r="J1348" s="25"/>
      <c r="K1348" s="26" t="s">
        <v>44</v>
      </c>
      <c r="L1348" s="16"/>
      <c r="M1348" s="21"/>
    </row>
    <row r="1349">
      <c r="A1349" s="28">
        <v>46232.0</v>
      </c>
      <c r="B1349" s="16" t="s">
        <v>6332</v>
      </c>
      <c r="C1349" s="20" t="s">
        <v>6333</v>
      </c>
      <c r="D1349" s="21"/>
      <c r="E1349" s="22" t="s">
        <v>6334</v>
      </c>
      <c r="H1349" s="23" t="s">
        <v>536</v>
      </c>
      <c r="I1349" s="21"/>
      <c r="J1349" s="25"/>
      <c r="K1349" s="26" t="s">
        <v>44</v>
      </c>
      <c r="L1349" s="16"/>
      <c r="M1349" s="21"/>
    </row>
    <row r="1350">
      <c r="A1350" s="28">
        <v>46232.0</v>
      </c>
      <c r="B1350" s="16" t="s">
        <v>6335</v>
      </c>
      <c r="C1350" s="20" t="s">
        <v>6336</v>
      </c>
      <c r="D1350" s="21"/>
      <c r="E1350" s="22" t="s">
        <v>6337</v>
      </c>
      <c r="H1350" s="23" t="s">
        <v>6338</v>
      </c>
      <c r="I1350" s="21"/>
      <c r="J1350" s="25"/>
      <c r="K1350" s="26" t="s">
        <v>44</v>
      </c>
      <c r="L1350" s="16"/>
      <c r="M1350" s="21"/>
    </row>
    <row r="1351">
      <c r="A1351" s="28">
        <v>46232.0</v>
      </c>
      <c r="B1351" s="16" t="s">
        <v>6339</v>
      </c>
      <c r="C1351" s="20" t="s">
        <v>6340</v>
      </c>
      <c r="D1351" s="21"/>
      <c r="E1351" s="22" t="s">
        <v>6341</v>
      </c>
      <c r="H1351" s="23" t="s">
        <v>6342</v>
      </c>
      <c r="I1351" s="21"/>
      <c r="J1351" s="25"/>
      <c r="K1351" s="26" t="s">
        <v>44</v>
      </c>
      <c r="L1351" s="16"/>
      <c r="M1351" s="21"/>
    </row>
    <row r="1352">
      <c r="A1352" s="28">
        <v>46232.0</v>
      </c>
      <c r="B1352" s="16" t="s">
        <v>6343</v>
      </c>
      <c r="C1352" s="20" t="s">
        <v>6344</v>
      </c>
      <c r="D1352" s="21"/>
      <c r="E1352" s="22" t="s">
        <v>6345</v>
      </c>
      <c r="H1352" s="23" t="s">
        <v>1595</v>
      </c>
      <c r="I1352" s="21"/>
      <c r="J1352" s="25"/>
      <c r="K1352" s="26" t="s">
        <v>44</v>
      </c>
      <c r="L1352" s="16"/>
      <c r="M1352" s="21"/>
    </row>
    <row r="1353">
      <c r="A1353" s="28">
        <v>46232.0</v>
      </c>
      <c r="B1353" s="16" t="s">
        <v>6346</v>
      </c>
      <c r="C1353" s="20" t="s">
        <v>6347</v>
      </c>
      <c r="D1353" s="21"/>
      <c r="E1353" s="22" t="s">
        <v>6348</v>
      </c>
      <c r="H1353" s="23" t="s">
        <v>983</v>
      </c>
      <c r="I1353" s="21"/>
      <c r="J1353" s="25"/>
      <c r="K1353" s="26" t="s">
        <v>44</v>
      </c>
      <c r="L1353" s="16"/>
      <c r="M1353" s="21"/>
    </row>
    <row r="1354">
      <c r="A1354" s="28">
        <v>46232.0</v>
      </c>
      <c r="B1354" s="16" t="s">
        <v>6349</v>
      </c>
      <c r="C1354" s="20" t="s">
        <v>6350</v>
      </c>
      <c r="D1354" s="21"/>
      <c r="E1354" s="22" t="s">
        <v>6351</v>
      </c>
      <c r="H1354" s="23" t="s">
        <v>6352</v>
      </c>
      <c r="I1354" s="21"/>
      <c r="J1354" s="25"/>
      <c r="K1354" s="26" t="s">
        <v>44</v>
      </c>
      <c r="L1354" s="16"/>
      <c r="M1354" s="21"/>
    </row>
    <row r="1355">
      <c r="A1355" s="28">
        <v>46232.0</v>
      </c>
      <c r="B1355" s="16" t="s">
        <v>6353</v>
      </c>
      <c r="C1355" s="20" t="s">
        <v>6354</v>
      </c>
      <c r="D1355" s="21"/>
      <c r="E1355" s="22" t="s">
        <v>6355</v>
      </c>
      <c r="H1355" s="23" t="s">
        <v>1608</v>
      </c>
      <c r="I1355" s="21"/>
      <c r="J1355" s="25"/>
      <c r="K1355" s="26" t="s">
        <v>44</v>
      </c>
      <c r="L1355" s="16"/>
      <c r="M1355" s="21"/>
    </row>
    <row r="1356">
      <c r="A1356" s="28">
        <v>46232.0</v>
      </c>
      <c r="B1356" s="16" t="s">
        <v>6356</v>
      </c>
      <c r="C1356" s="20" t="s">
        <v>6357</v>
      </c>
      <c r="D1356" s="21"/>
      <c r="E1356" s="22" t="s">
        <v>6358</v>
      </c>
      <c r="H1356" s="23" t="s">
        <v>1608</v>
      </c>
      <c r="I1356" s="21"/>
      <c r="J1356" s="25"/>
      <c r="K1356" s="26" t="s">
        <v>44</v>
      </c>
      <c r="L1356" s="16"/>
      <c r="M1356" s="21"/>
    </row>
    <row r="1357">
      <c r="A1357" s="28">
        <v>46232.0</v>
      </c>
      <c r="B1357" s="16" t="s">
        <v>6359</v>
      </c>
      <c r="C1357" s="20" t="s">
        <v>6360</v>
      </c>
      <c r="D1357" s="21"/>
      <c r="E1357" s="22" t="s">
        <v>6361</v>
      </c>
      <c r="H1357" s="23" t="s">
        <v>6362</v>
      </c>
      <c r="I1357" s="21"/>
      <c r="J1357" s="25"/>
      <c r="K1357" s="26" t="s">
        <v>44</v>
      </c>
      <c r="L1357" s="16"/>
      <c r="M1357" s="21"/>
    </row>
    <row r="1358">
      <c r="A1358" s="28">
        <v>46232.0</v>
      </c>
      <c r="B1358" s="16" t="s">
        <v>6363</v>
      </c>
      <c r="C1358" s="20" t="s">
        <v>6364</v>
      </c>
      <c r="D1358" s="21"/>
      <c r="E1358" s="22" t="s">
        <v>6365</v>
      </c>
      <c r="H1358" s="23" t="s">
        <v>6366</v>
      </c>
      <c r="I1358" s="21"/>
      <c r="J1358" s="25"/>
      <c r="K1358" s="26" t="s">
        <v>44</v>
      </c>
      <c r="L1358" s="16"/>
      <c r="M1358" s="21"/>
    </row>
    <row r="1359">
      <c r="A1359" s="28">
        <v>46232.0</v>
      </c>
      <c r="B1359" s="16" t="s">
        <v>6367</v>
      </c>
      <c r="C1359" s="20" t="s">
        <v>6368</v>
      </c>
      <c r="D1359" s="21"/>
      <c r="E1359" s="22" t="s">
        <v>6369</v>
      </c>
      <c r="H1359" s="23" t="s">
        <v>751</v>
      </c>
      <c r="I1359" s="21"/>
      <c r="J1359" s="25"/>
      <c r="K1359" s="26" t="s">
        <v>44</v>
      </c>
      <c r="L1359" s="16"/>
      <c r="M1359" s="21"/>
    </row>
    <row r="1360">
      <c r="A1360" s="28">
        <v>46232.0</v>
      </c>
      <c r="B1360" s="16" t="s">
        <v>6370</v>
      </c>
      <c r="C1360" s="20" t="s">
        <v>6371</v>
      </c>
      <c r="D1360" s="21"/>
      <c r="E1360" s="22" t="s">
        <v>6372</v>
      </c>
      <c r="H1360" s="23" t="s">
        <v>6373</v>
      </c>
      <c r="I1360" s="21"/>
      <c r="J1360" s="25"/>
      <c r="K1360" s="26" t="s">
        <v>44</v>
      </c>
      <c r="L1360" s="16"/>
      <c r="M1360" s="21"/>
    </row>
    <row r="1361">
      <c r="A1361" s="28">
        <v>46232.0</v>
      </c>
      <c r="B1361" s="16" t="s">
        <v>6374</v>
      </c>
      <c r="C1361" s="20" t="s">
        <v>6375</v>
      </c>
      <c r="D1361" s="21"/>
      <c r="E1361" s="22" t="s">
        <v>6376</v>
      </c>
      <c r="H1361" s="23" t="s">
        <v>6377</v>
      </c>
      <c r="I1361" s="21"/>
      <c r="J1361" s="25"/>
      <c r="K1361" s="26" t="s">
        <v>44</v>
      </c>
      <c r="L1361" s="16"/>
      <c r="M1361" s="21"/>
    </row>
    <row r="1362">
      <c r="A1362" s="28">
        <v>46232.0</v>
      </c>
      <c r="B1362" s="16" t="s">
        <v>6378</v>
      </c>
      <c r="C1362" s="20" t="s">
        <v>6379</v>
      </c>
      <c r="D1362" s="21"/>
      <c r="E1362" s="22" t="s">
        <v>6380</v>
      </c>
      <c r="H1362" s="23" t="s">
        <v>1693</v>
      </c>
      <c r="I1362" s="21"/>
      <c r="J1362" s="25"/>
      <c r="K1362" s="26" t="s">
        <v>44</v>
      </c>
      <c r="L1362" s="16"/>
      <c r="M1362" s="21"/>
    </row>
    <row r="1363">
      <c r="A1363" s="28">
        <v>46232.0</v>
      </c>
      <c r="B1363" s="16" t="s">
        <v>6381</v>
      </c>
      <c r="C1363" s="46" t="s">
        <v>6382</v>
      </c>
      <c r="D1363" s="21"/>
      <c r="E1363" s="22" t="s">
        <v>6383</v>
      </c>
      <c r="H1363" s="23" t="s">
        <v>6384</v>
      </c>
      <c r="I1363" s="21"/>
      <c r="J1363" s="25"/>
      <c r="K1363" s="26" t="s">
        <v>44</v>
      </c>
      <c r="L1363" s="16"/>
      <c r="M1363" s="21"/>
    </row>
    <row r="1364">
      <c r="A1364" s="28">
        <v>46232.0</v>
      </c>
      <c r="B1364" s="16" t="s">
        <v>6385</v>
      </c>
      <c r="C1364" s="20" t="s">
        <v>6386</v>
      </c>
      <c r="D1364" s="21"/>
      <c r="E1364" s="22" t="s">
        <v>6387</v>
      </c>
      <c r="H1364" s="23" t="s">
        <v>6388</v>
      </c>
      <c r="I1364" s="21"/>
      <c r="J1364" s="25"/>
      <c r="K1364" s="26" t="s">
        <v>44</v>
      </c>
      <c r="L1364" s="16"/>
      <c r="M1364" s="21"/>
    </row>
    <row r="1365">
      <c r="A1365" s="28">
        <v>46232.0</v>
      </c>
      <c r="B1365" s="16" t="s">
        <v>6389</v>
      </c>
      <c r="C1365" s="20" t="s">
        <v>6390</v>
      </c>
      <c r="D1365" s="21"/>
      <c r="E1365" s="22" t="s">
        <v>6391</v>
      </c>
      <c r="H1365" s="23" t="s">
        <v>6392</v>
      </c>
      <c r="I1365" s="21"/>
      <c r="J1365" s="25"/>
      <c r="K1365" s="26" t="s">
        <v>44</v>
      </c>
      <c r="L1365" s="16"/>
      <c r="M1365" s="21"/>
    </row>
    <row r="1366">
      <c r="A1366" s="28">
        <v>46232.0</v>
      </c>
      <c r="B1366" s="16" t="s">
        <v>6393</v>
      </c>
      <c r="C1366" s="20" t="s">
        <v>6394</v>
      </c>
      <c r="D1366" s="21"/>
      <c r="E1366" s="22" t="s">
        <v>6395</v>
      </c>
      <c r="H1366" s="23" t="s">
        <v>2920</v>
      </c>
      <c r="I1366" s="21"/>
      <c r="J1366" s="25"/>
      <c r="K1366" s="26" t="s">
        <v>44</v>
      </c>
      <c r="L1366" s="16"/>
      <c r="M1366" s="21"/>
    </row>
    <row r="1367">
      <c r="A1367" s="28">
        <v>46232.0</v>
      </c>
      <c r="B1367" s="16" t="s">
        <v>6396</v>
      </c>
      <c r="C1367" s="20" t="s">
        <v>6397</v>
      </c>
      <c r="D1367" s="21"/>
      <c r="E1367" s="22" t="s">
        <v>6398</v>
      </c>
      <c r="H1367" s="23" t="s">
        <v>6399</v>
      </c>
      <c r="I1367" s="21"/>
      <c r="J1367" s="25"/>
      <c r="K1367" s="26" t="s">
        <v>44</v>
      </c>
      <c r="L1367" s="16"/>
      <c r="M1367" s="21"/>
    </row>
    <row r="1368">
      <c r="A1368" s="28">
        <v>46232.0</v>
      </c>
      <c r="B1368" s="16" t="s">
        <v>6400</v>
      </c>
      <c r="C1368" s="20" t="s">
        <v>6401</v>
      </c>
      <c r="D1368" s="21"/>
      <c r="E1368" s="22" t="s">
        <v>6402</v>
      </c>
      <c r="H1368" s="23" t="s">
        <v>6403</v>
      </c>
      <c r="I1368" s="21"/>
      <c r="J1368" s="25"/>
      <c r="K1368" s="26" t="s">
        <v>44</v>
      </c>
      <c r="L1368" s="16"/>
      <c r="M1368" s="21"/>
    </row>
    <row r="1369">
      <c r="A1369" s="28">
        <v>46232.0</v>
      </c>
      <c r="B1369" s="16" t="s">
        <v>6404</v>
      </c>
      <c r="C1369" s="20" t="s">
        <v>6405</v>
      </c>
      <c r="D1369" s="21"/>
      <c r="E1369" s="22" t="s">
        <v>6406</v>
      </c>
      <c r="H1369" s="23" t="s">
        <v>6407</v>
      </c>
      <c r="I1369" s="21"/>
      <c r="J1369" s="25"/>
      <c r="K1369" s="26" t="s">
        <v>44</v>
      </c>
      <c r="L1369" s="16"/>
      <c r="M1369" s="21"/>
    </row>
    <row r="1370">
      <c r="A1370" s="28">
        <v>46232.0</v>
      </c>
      <c r="B1370" s="16" t="s">
        <v>6408</v>
      </c>
      <c r="C1370" s="20" t="s">
        <v>6409</v>
      </c>
      <c r="D1370" s="21"/>
      <c r="E1370" s="22" t="s">
        <v>6410</v>
      </c>
      <c r="H1370" s="23" t="s">
        <v>976</v>
      </c>
      <c r="I1370" s="21"/>
      <c r="J1370" s="25"/>
      <c r="K1370" s="26" t="s">
        <v>44</v>
      </c>
      <c r="L1370" s="16"/>
      <c r="M1370" s="21"/>
    </row>
    <row r="1371">
      <c r="A1371" s="28">
        <v>46232.0</v>
      </c>
      <c r="B1371" s="16" t="s">
        <v>6411</v>
      </c>
      <c r="C1371" s="20" t="s">
        <v>6412</v>
      </c>
      <c r="D1371" s="21"/>
      <c r="E1371" s="22" t="s">
        <v>6413</v>
      </c>
      <c r="H1371" s="23" t="s">
        <v>2220</v>
      </c>
      <c r="I1371" s="21"/>
      <c r="J1371" s="25"/>
      <c r="K1371" s="26" t="s">
        <v>44</v>
      </c>
      <c r="L1371" s="16"/>
      <c r="M1371" s="21"/>
    </row>
    <row r="1372">
      <c r="A1372" s="28">
        <v>46232.0</v>
      </c>
      <c r="B1372" s="16" t="s">
        <v>6414</v>
      </c>
      <c r="C1372" s="20" t="s">
        <v>6415</v>
      </c>
      <c r="D1372" s="21"/>
      <c r="E1372" s="22" t="s">
        <v>6416</v>
      </c>
      <c r="H1372" s="23" t="s">
        <v>6417</v>
      </c>
      <c r="I1372" s="21"/>
      <c r="J1372" s="25"/>
      <c r="K1372" s="26" t="s">
        <v>44</v>
      </c>
      <c r="L1372" s="16"/>
      <c r="M1372" s="21"/>
    </row>
    <row r="1373">
      <c r="A1373" s="28">
        <v>46232.0</v>
      </c>
      <c r="B1373" s="16" t="s">
        <v>6418</v>
      </c>
      <c r="C1373" s="20" t="s">
        <v>6419</v>
      </c>
      <c r="D1373" s="21"/>
      <c r="E1373" s="22" t="s">
        <v>6420</v>
      </c>
      <c r="H1373" s="23" t="s">
        <v>6421</v>
      </c>
      <c r="I1373" s="21"/>
      <c r="J1373" s="25"/>
      <c r="K1373" s="26" t="s">
        <v>44</v>
      </c>
      <c r="L1373" s="16"/>
      <c r="M1373" s="21"/>
    </row>
    <row r="1374">
      <c r="A1374" s="28">
        <v>46232.0</v>
      </c>
      <c r="B1374" s="16" t="s">
        <v>6422</v>
      </c>
      <c r="C1374" s="20" t="s">
        <v>6423</v>
      </c>
      <c r="D1374" s="21"/>
      <c r="E1374" s="22" t="s">
        <v>6424</v>
      </c>
      <c r="H1374" s="23" t="s">
        <v>463</v>
      </c>
      <c r="I1374" s="21"/>
      <c r="J1374" s="25"/>
      <c r="K1374" s="26" t="s">
        <v>44</v>
      </c>
      <c r="L1374" s="16"/>
      <c r="M1374" s="21"/>
    </row>
    <row r="1375">
      <c r="A1375" s="28">
        <v>46232.0</v>
      </c>
      <c r="B1375" s="16" t="s">
        <v>6425</v>
      </c>
      <c r="C1375" s="20" t="s">
        <v>6426</v>
      </c>
      <c r="D1375" s="21"/>
      <c r="E1375" s="22" t="s">
        <v>6427</v>
      </c>
      <c r="H1375" s="23" t="s">
        <v>6428</v>
      </c>
      <c r="I1375" s="21"/>
      <c r="J1375" s="25"/>
      <c r="K1375" s="26" t="s">
        <v>44</v>
      </c>
      <c r="L1375" s="16"/>
      <c r="M1375" s="21"/>
    </row>
    <row r="1376">
      <c r="A1376" s="28">
        <v>46232.0</v>
      </c>
      <c r="B1376" s="16" t="s">
        <v>6429</v>
      </c>
      <c r="C1376" s="20" t="s">
        <v>6430</v>
      </c>
      <c r="D1376" s="21"/>
      <c r="E1376" s="22" t="s">
        <v>6431</v>
      </c>
      <c r="H1376" s="23" t="s">
        <v>6432</v>
      </c>
      <c r="I1376" s="21"/>
      <c r="J1376" s="25"/>
      <c r="K1376" s="26" t="s">
        <v>44</v>
      </c>
      <c r="L1376" s="16"/>
      <c r="M1376" s="21"/>
    </row>
    <row r="1377">
      <c r="A1377" s="28">
        <v>46232.0</v>
      </c>
      <c r="B1377" s="16" t="s">
        <v>6433</v>
      </c>
      <c r="C1377" s="20" t="s">
        <v>6434</v>
      </c>
      <c r="D1377" s="21"/>
      <c r="E1377" s="22" t="s">
        <v>6435</v>
      </c>
      <c r="H1377" s="23" t="s">
        <v>800</v>
      </c>
      <c r="I1377" s="21"/>
      <c r="J1377" s="25"/>
      <c r="K1377" s="26" t="s">
        <v>44</v>
      </c>
      <c r="L1377" s="16"/>
      <c r="M1377" s="21"/>
    </row>
    <row r="1378">
      <c r="A1378" s="28">
        <v>46232.0</v>
      </c>
      <c r="B1378" s="16" t="s">
        <v>6436</v>
      </c>
      <c r="C1378" s="20" t="s">
        <v>6437</v>
      </c>
      <c r="D1378" s="21"/>
      <c r="E1378" s="22" t="s">
        <v>6438</v>
      </c>
      <c r="H1378" s="23" t="s">
        <v>983</v>
      </c>
      <c r="I1378" s="21"/>
      <c r="J1378" s="25"/>
      <c r="K1378" s="26" t="s">
        <v>44</v>
      </c>
      <c r="L1378" s="16"/>
      <c r="M1378" s="21"/>
    </row>
    <row r="1379">
      <c r="A1379" s="28">
        <v>46232.0</v>
      </c>
      <c r="B1379" s="16" t="s">
        <v>6439</v>
      </c>
      <c r="C1379" s="20" t="s">
        <v>6440</v>
      </c>
      <c r="D1379" s="21"/>
      <c r="E1379" s="22" t="s">
        <v>6441</v>
      </c>
      <c r="H1379" s="23" t="s">
        <v>1595</v>
      </c>
      <c r="I1379" s="21"/>
      <c r="J1379" s="25"/>
      <c r="K1379" s="26" t="s">
        <v>44</v>
      </c>
      <c r="L1379" s="16"/>
      <c r="M1379" s="21"/>
    </row>
    <row r="1380">
      <c r="A1380" s="28">
        <v>46232.0</v>
      </c>
      <c r="B1380" s="16" t="s">
        <v>6442</v>
      </c>
      <c r="C1380" s="20" t="s">
        <v>6443</v>
      </c>
      <c r="D1380" s="21"/>
      <c r="E1380" s="22" t="s">
        <v>6444</v>
      </c>
      <c r="H1380" s="23" t="s">
        <v>1996</v>
      </c>
      <c r="I1380" s="21"/>
      <c r="J1380" s="25"/>
      <c r="K1380" s="26" t="s">
        <v>44</v>
      </c>
      <c r="L1380" s="16"/>
      <c r="M1380" s="21"/>
    </row>
    <row r="1381">
      <c r="A1381" s="28">
        <v>46232.0</v>
      </c>
      <c r="B1381" s="16" t="s">
        <v>6445</v>
      </c>
      <c r="C1381" s="20" t="s">
        <v>6446</v>
      </c>
      <c r="D1381" s="21"/>
      <c r="E1381" s="22" t="s">
        <v>6447</v>
      </c>
      <c r="H1381" s="23" t="s">
        <v>2707</v>
      </c>
      <c r="I1381" s="21"/>
      <c r="J1381" s="25"/>
      <c r="K1381" s="26" t="s">
        <v>44</v>
      </c>
      <c r="L1381" s="16"/>
      <c r="M1381" s="21"/>
    </row>
    <row r="1382">
      <c r="A1382" s="28">
        <v>46232.0</v>
      </c>
      <c r="B1382" s="16" t="s">
        <v>6448</v>
      </c>
      <c r="C1382" s="20" t="s">
        <v>6449</v>
      </c>
      <c r="D1382" s="21"/>
      <c r="E1382" s="22" t="s">
        <v>6450</v>
      </c>
      <c r="H1382" s="23" t="s">
        <v>57</v>
      </c>
      <c r="I1382" s="21"/>
      <c r="J1382" s="25"/>
      <c r="K1382" s="26" t="s">
        <v>44</v>
      </c>
      <c r="L1382" s="16"/>
      <c r="M1382" s="21"/>
    </row>
    <row r="1383">
      <c r="A1383" s="28">
        <v>46232.0</v>
      </c>
      <c r="B1383" s="16" t="s">
        <v>6451</v>
      </c>
      <c r="C1383" s="20" t="s">
        <v>6452</v>
      </c>
      <c r="D1383" s="21"/>
      <c r="E1383" s="22" t="s">
        <v>6453</v>
      </c>
      <c r="H1383" s="23" t="s">
        <v>2268</v>
      </c>
      <c r="I1383" s="21"/>
      <c r="J1383" s="25"/>
      <c r="K1383" s="26" t="s">
        <v>44</v>
      </c>
      <c r="L1383" s="16"/>
      <c r="M1383" s="21"/>
    </row>
    <row r="1384">
      <c r="A1384" s="28">
        <v>46232.0</v>
      </c>
      <c r="B1384" s="16" t="s">
        <v>6454</v>
      </c>
      <c r="C1384" s="20" t="s">
        <v>6455</v>
      </c>
      <c r="D1384" s="21"/>
      <c r="E1384" s="22" t="s">
        <v>6456</v>
      </c>
      <c r="H1384" s="23" t="s">
        <v>2637</v>
      </c>
      <c r="I1384" s="21"/>
      <c r="J1384" s="25"/>
      <c r="K1384" s="26" t="s">
        <v>44</v>
      </c>
      <c r="L1384" s="16"/>
      <c r="M1384" s="21"/>
    </row>
    <row r="1385">
      <c r="A1385" s="28">
        <v>46232.0</v>
      </c>
      <c r="B1385" s="16" t="s">
        <v>6457</v>
      </c>
      <c r="C1385" s="20" t="s">
        <v>6458</v>
      </c>
      <c r="D1385" s="21"/>
      <c r="E1385" s="22" t="s">
        <v>6459</v>
      </c>
      <c r="H1385" s="23" t="s">
        <v>800</v>
      </c>
      <c r="I1385" s="21"/>
      <c r="J1385" s="25"/>
      <c r="K1385" s="26" t="s">
        <v>44</v>
      </c>
      <c r="L1385" s="16"/>
      <c r="M1385" s="21"/>
    </row>
    <row r="1386">
      <c r="A1386" s="28">
        <v>46232.0</v>
      </c>
      <c r="B1386" s="16" t="s">
        <v>6460</v>
      </c>
      <c r="C1386" s="20" t="s">
        <v>6461</v>
      </c>
      <c r="D1386" s="21"/>
      <c r="E1386" s="22" t="s">
        <v>6462</v>
      </c>
      <c r="H1386" s="23" t="s">
        <v>2549</v>
      </c>
      <c r="I1386" s="21"/>
      <c r="J1386" s="25"/>
      <c r="K1386" s="26" t="s">
        <v>44</v>
      </c>
      <c r="L1386" s="16"/>
      <c r="M1386" s="21"/>
    </row>
    <row r="1387">
      <c r="A1387" s="28">
        <v>46232.0</v>
      </c>
      <c r="B1387" s="16" t="s">
        <v>6463</v>
      </c>
      <c r="C1387" s="20" t="s">
        <v>6464</v>
      </c>
      <c r="D1387" s="21"/>
      <c r="E1387" s="22" t="s">
        <v>6465</v>
      </c>
      <c r="H1387" s="23" t="s">
        <v>2697</v>
      </c>
      <c r="I1387" s="21"/>
      <c r="J1387" s="25"/>
      <c r="K1387" s="26" t="s">
        <v>44</v>
      </c>
      <c r="L1387" s="16"/>
      <c r="M1387" s="21"/>
    </row>
    <row r="1388">
      <c r="A1388" s="28">
        <v>46232.0</v>
      </c>
      <c r="B1388" s="16" t="s">
        <v>6466</v>
      </c>
      <c r="C1388" s="20" t="s">
        <v>6467</v>
      </c>
      <c r="D1388" s="21"/>
      <c r="E1388" s="22" t="s">
        <v>6468</v>
      </c>
      <c r="H1388" s="23" t="s">
        <v>69</v>
      </c>
      <c r="I1388" s="21"/>
      <c r="J1388" s="25"/>
      <c r="K1388" s="26" t="s">
        <v>44</v>
      </c>
      <c r="L1388" s="16"/>
      <c r="M1388" s="21"/>
    </row>
    <row r="1389">
      <c r="A1389" s="28">
        <v>46232.0</v>
      </c>
      <c r="B1389" s="16" t="s">
        <v>6469</v>
      </c>
      <c r="C1389" s="20" t="s">
        <v>6470</v>
      </c>
      <c r="D1389" s="21"/>
      <c r="E1389" s="22" t="s">
        <v>6471</v>
      </c>
      <c r="H1389" s="23" t="s">
        <v>4986</v>
      </c>
      <c r="I1389" s="21"/>
      <c r="J1389" s="25"/>
      <c r="K1389" s="26" t="s">
        <v>44</v>
      </c>
      <c r="L1389" s="16"/>
      <c r="M1389" s="21"/>
    </row>
    <row r="1390">
      <c r="A1390" s="28">
        <v>46232.0</v>
      </c>
      <c r="B1390" s="16" t="s">
        <v>6472</v>
      </c>
      <c r="C1390" s="20" t="s">
        <v>6473</v>
      </c>
      <c r="D1390" s="21"/>
      <c r="E1390" s="22" t="s">
        <v>6474</v>
      </c>
      <c r="H1390" s="23" t="s">
        <v>6475</v>
      </c>
      <c r="I1390" s="21"/>
      <c r="J1390" s="25"/>
      <c r="K1390" s="26" t="s">
        <v>44</v>
      </c>
      <c r="L1390" s="16"/>
      <c r="M1390" s="21"/>
    </row>
    <row r="1391">
      <c r="A1391" s="28">
        <v>46232.0</v>
      </c>
      <c r="B1391" s="16" t="s">
        <v>6476</v>
      </c>
      <c r="C1391" s="20" t="s">
        <v>6477</v>
      </c>
      <c r="D1391" s="21"/>
      <c r="E1391" s="22" t="s">
        <v>6478</v>
      </c>
      <c r="H1391" s="23" t="s">
        <v>6479</v>
      </c>
      <c r="I1391" s="21"/>
      <c r="J1391" s="25"/>
      <c r="K1391" s="26" t="s">
        <v>44</v>
      </c>
      <c r="L1391" s="16"/>
      <c r="M1391" s="21"/>
    </row>
    <row r="1392">
      <c r="A1392" s="28">
        <v>46232.0</v>
      </c>
      <c r="B1392" s="16" t="s">
        <v>6480</v>
      </c>
      <c r="C1392" s="20" t="s">
        <v>6481</v>
      </c>
      <c r="D1392" s="21"/>
      <c r="E1392" s="22" t="s">
        <v>6482</v>
      </c>
      <c r="H1392" s="23" t="s">
        <v>6483</v>
      </c>
      <c r="I1392" s="21"/>
      <c r="J1392" s="25"/>
      <c r="K1392" s="26" t="s">
        <v>44</v>
      </c>
      <c r="L1392" s="16"/>
      <c r="M1392" s="21"/>
    </row>
    <row r="1393">
      <c r="A1393" s="28">
        <v>46232.0</v>
      </c>
      <c r="B1393" s="16" t="s">
        <v>6484</v>
      </c>
      <c r="C1393" s="20" t="s">
        <v>6485</v>
      </c>
      <c r="D1393" s="21"/>
      <c r="E1393" s="22" t="s">
        <v>6486</v>
      </c>
      <c r="H1393" s="23" t="s">
        <v>1671</v>
      </c>
      <c r="I1393" s="21"/>
      <c r="J1393" s="25"/>
      <c r="K1393" s="26" t="s">
        <v>44</v>
      </c>
      <c r="L1393" s="16"/>
      <c r="M1393" s="21"/>
    </row>
    <row r="1394">
      <c r="A1394" s="28">
        <v>46232.0</v>
      </c>
      <c r="B1394" s="16" t="s">
        <v>6487</v>
      </c>
      <c r="C1394" s="20" t="s">
        <v>6488</v>
      </c>
      <c r="D1394" s="21"/>
      <c r="E1394" s="22" t="s">
        <v>6489</v>
      </c>
      <c r="H1394" s="23" t="s">
        <v>487</v>
      </c>
      <c r="I1394" s="21"/>
      <c r="J1394" s="25"/>
      <c r="K1394" s="26" t="s">
        <v>44</v>
      </c>
      <c r="L1394" s="16"/>
      <c r="M1394" s="21"/>
    </row>
    <row r="1395">
      <c r="A1395" s="28">
        <v>46232.0</v>
      </c>
      <c r="B1395" s="16" t="s">
        <v>6490</v>
      </c>
      <c r="C1395" s="20" t="s">
        <v>6491</v>
      </c>
      <c r="D1395" s="21"/>
      <c r="E1395" s="22" t="s">
        <v>6492</v>
      </c>
      <c r="H1395" s="23" t="s">
        <v>57</v>
      </c>
      <c r="I1395" s="21"/>
      <c r="J1395" s="25"/>
      <c r="K1395" s="26" t="s">
        <v>44</v>
      </c>
      <c r="L1395" s="16"/>
      <c r="M1395" s="21"/>
    </row>
    <row r="1396">
      <c r="A1396" s="28">
        <v>46232.0</v>
      </c>
      <c r="B1396" s="16" t="s">
        <v>6493</v>
      </c>
      <c r="C1396" s="20" t="s">
        <v>6494</v>
      </c>
      <c r="D1396" s="21"/>
      <c r="E1396" s="22" t="s">
        <v>6495</v>
      </c>
      <c r="H1396" s="23" t="s">
        <v>6496</v>
      </c>
      <c r="I1396" s="21"/>
      <c r="J1396" s="25"/>
      <c r="K1396" s="26" t="s">
        <v>44</v>
      </c>
      <c r="L1396" s="16"/>
      <c r="M1396" s="21"/>
    </row>
    <row r="1397">
      <c r="A1397" s="28">
        <v>46232.0</v>
      </c>
      <c r="B1397" s="16" t="s">
        <v>6497</v>
      </c>
      <c r="C1397" s="20" t="s">
        <v>6498</v>
      </c>
      <c r="D1397" s="21"/>
      <c r="E1397" s="22" t="s">
        <v>6499</v>
      </c>
      <c r="H1397" s="23" t="s">
        <v>1200</v>
      </c>
      <c r="I1397" s="21"/>
      <c r="J1397" s="25"/>
      <c r="K1397" s="26" t="s">
        <v>44</v>
      </c>
      <c r="L1397" s="16"/>
      <c r="M1397" s="21"/>
    </row>
    <row r="1398">
      <c r="A1398" s="28">
        <v>46232.0</v>
      </c>
      <c r="B1398" s="16" t="s">
        <v>6500</v>
      </c>
      <c r="C1398" s="20" t="s">
        <v>6501</v>
      </c>
      <c r="D1398" s="21"/>
      <c r="E1398" s="22" t="s">
        <v>6502</v>
      </c>
      <c r="H1398" s="23" t="s">
        <v>1327</v>
      </c>
      <c r="I1398" s="21"/>
      <c r="J1398" s="25"/>
      <c r="K1398" s="26" t="s">
        <v>44</v>
      </c>
      <c r="L1398" s="16"/>
      <c r="M1398" s="21"/>
    </row>
    <row r="1399">
      <c r="A1399" s="28">
        <v>46232.0</v>
      </c>
      <c r="B1399" s="16" t="s">
        <v>6503</v>
      </c>
      <c r="C1399" s="20" t="s">
        <v>6504</v>
      </c>
      <c r="D1399" s="21"/>
      <c r="E1399" s="22" t="s">
        <v>6505</v>
      </c>
      <c r="H1399" s="23" t="s">
        <v>6506</v>
      </c>
      <c r="I1399" s="21"/>
      <c r="J1399" s="25"/>
      <c r="K1399" s="26" t="s">
        <v>44</v>
      </c>
      <c r="L1399" s="16"/>
      <c r="M1399" s="21"/>
    </row>
    <row r="1400">
      <c r="A1400" s="28">
        <v>46232.0</v>
      </c>
      <c r="B1400" s="16" t="s">
        <v>6507</v>
      </c>
      <c r="C1400" s="20" t="s">
        <v>6508</v>
      </c>
      <c r="D1400" s="21"/>
      <c r="E1400" s="22" t="s">
        <v>6509</v>
      </c>
      <c r="H1400" s="23" t="s">
        <v>6510</v>
      </c>
      <c r="I1400" s="21"/>
      <c r="J1400" s="25"/>
      <c r="K1400" s="26" t="s">
        <v>44</v>
      </c>
      <c r="L1400" s="16"/>
      <c r="M1400" s="21"/>
    </row>
    <row r="1401">
      <c r="A1401" s="28">
        <v>46232.0</v>
      </c>
      <c r="B1401" s="16" t="s">
        <v>6511</v>
      </c>
      <c r="C1401" s="20" t="s">
        <v>6512</v>
      </c>
      <c r="D1401" s="21"/>
      <c r="E1401" s="22" t="s">
        <v>6513</v>
      </c>
      <c r="H1401" s="23" t="s">
        <v>6514</v>
      </c>
      <c r="I1401" s="21"/>
      <c r="J1401" s="25"/>
      <c r="K1401" s="26" t="s">
        <v>44</v>
      </c>
      <c r="L1401" s="16"/>
      <c r="M1401" s="21"/>
    </row>
    <row r="1402">
      <c r="A1402" s="28">
        <v>46232.0</v>
      </c>
      <c r="B1402" s="16" t="s">
        <v>6515</v>
      </c>
      <c r="C1402" s="20" t="s">
        <v>6516</v>
      </c>
      <c r="D1402" s="21"/>
      <c r="E1402" s="22" t="s">
        <v>6517</v>
      </c>
      <c r="H1402" s="23" t="s">
        <v>6518</v>
      </c>
      <c r="I1402" s="21"/>
      <c r="J1402" s="25"/>
      <c r="K1402" s="26" t="s">
        <v>44</v>
      </c>
      <c r="L1402" s="16"/>
      <c r="M1402" s="21"/>
    </row>
    <row r="1403">
      <c r="A1403" s="28">
        <v>46232.0</v>
      </c>
      <c r="B1403" s="16" t="s">
        <v>6519</v>
      </c>
      <c r="C1403" s="20" t="s">
        <v>6520</v>
      </c>
      <c r="D1403" s="21"/>
      <c r="E1403" s="22" t="s">
        <v>6521</v>
      </c>
      <c r="H1403" s="23" t="s">
        <v>6522</v>
      </c>
      <c r="I1403" s="21"/>
      <c r="J1403" s="25"/>
      <c r="K1403" s="26" t="s">
        <v>44</v>
      </c>
      <c r="L1403" s="16"/>
      <c r="M1403" s="21"/>
    </row>
    <row r="1404">
      <c r="A1404" s="28">
        <v>46232.0</v>
      </c>
      <c r="B1404" s="16" t="s">
        <v>6523</v>
      </c>
      <c r="C1404" s="20" t="s">
        <v>6524</v>
      </c>
      <c r="D1404" s="21"/>
      <c r="E1404" s="22" t="s">
        <v>6525</v>
      </c>
      <c r="H1404" s="23" t="s">
        <v>1608</v>
      </c>
      <c r="I1404" s="21"/>
      <c r="J1404" s="25"/>
      <c r="K1404" s="26" t="s">
        <v>44</v>
      </c>
      <c r="L1404" s="16"/>
      <c r="M1404" s="21"/>
    </row>
    <row r="1405">
      <c r="A1405" s="28">
        <v>46232.0</v>
      </c>
      <c r="B1405" s="16" t="s">
        <v>6526</v>
      </c>
      <c r="C1405" s="20" t="s">
        <v>6527</v>
      </c>
      <c r="D1405" s="21"/>
      <c r="E1405" s="22" t="s">
        <v>6528</v>
      </c>
      <c r="H1405" s="23" t="s">
        <v>1356</v>
      </c>
      <c r="I1405" s="21"/>
      <c r="J1405" s="25"/>
      <c r="K1405" s="26" t="s">
        <v>44</v>
      </c>
      <c r="L1405" s="16"/>
      <c r="M1405" s="21"/>
    </row>
    <row r="1406">
      <c r="A1406" s="28">
        <v>46232.0</v>
      </c>
      <c r="B1406" s="16" t="s">
        <v>6529</v>
      </c>
      <c r="C1406" s="20" t="s">
        <v>6530</v>
      </c>
      <c r="D1406" s="21"/>
      <c r="E1406" s="22" t="s">
        <v>6531</v>
      </c>
      <c r="H1406" s="23" t="s">
        <v>751</v>
      </c>
      <c r="I1406" s="21"/>
      <c r="J1406" s="25"/>
      <c r="K1406" s="26" t="s">
        <v>44</v>
      </c>
      <c r="L1406" s="16"/>
      <c r="M1406" s="21"/>
    </row>
    <row r="1407">
      <c r="A1407" s="28">
        <v>46232.0</v>
      </c>
      <c r="B1407" s="16" t="s">
        <v>6532</v>
      </c>
      <c r="C1407" s="20" t="s">
        <v>6533</v>
      </c>
      <c r="D1407" s="21"/>
      <c r="E1407" s="22" t="s">
        <v>6534</v>
      </c>
      <c r="H1407" s="23" t="s">
        <v>69</v>
      </c>
      <c r="I1407" s="21"/>
      <c r="J1407" s="25"/>
      <c r="K1407" s="26" t="s">
        <v>44</v>
      </c>
      <c r="L1407" s="16"/>
      <c r="M1407" s="21"/>
    </row>
    <row r="1408">
      <c r="A1408" s="28">
        <v>46232.0</v>
      </c>
      <c r="B1408" s="16" t="s">
        <v>6535</v>
      </c>
      <c r="C1408" s="20" t="s">
        <v>6536</v>
      </c>
      <c r="D1408" s="21"/>
      <c r="E1408" s="22" t="s">
        <v>6537</v>
      </c>
      <c r="H1408" s="23" t="s">
        <v>6538</v>
      </c>
      <c r="I1408" s="21"/>
      <c r="J1408" s="25"/>
      <c r="K1408" s="26" t="s">
        <v>44</v>
      </c>
      <c r="L1408" s="16"/>
      <c r="M1408" s="21"/>
    </row>
    <row r="1409">
      <c r="A1409" s="28">
        <v>46232.0</v>
      </c>
      <c r="B1409" s="16" t="s">
        <v>6539</v>
      </c>
      <c r="C1409" s="20" t="s">
        <v>6540</v>
      </c>
      <c r="D1409" s="21"/>
      <c r="E1409" s="22" t="s">
        <v>6541</v>
      </c>
      <c r="H1409" s="23" t="s">
        <v>6542</v>
      </c>
      <c r="I1409" s="21"/>
      <c r="J1409" s="25"/>
      <c r="K1409" s="26" t="s">
        <v>44</v>
      </c>
      <c r="L1409" s="16"/>
      <c r="M1409" s="21"/>
    </row>
    <row r="1410">
      <c r="A1410" s="28">
        <v>46232.0</v>
      </c>
      <c r="B1410" s="16" t="s">
        <v>6543</v>
      </c>
      <c r="C1410" s="20" t="s">
        <v>6544</v>
      </c>
      <c r="D1410" s="21"/>
      <c r="E1410" s="22" t="s">
        <v>6545</v>
      </c>
      <c r="H1410" s="23" t="s">
        <v>57</v>
      </c>
      <c r="I1410" s="21"/>
      <c r="J1410" s="25"/>
      <c r="K1410" s="26" t="s">
        <v>44</v>
      </c>
      <c r="L1410" s="16"/>
      <c r="M1410" s="21"/>
    </row>
    <row r="1411">
      <c r="A1411" s="28">
        <v>46232.0</v>
      </c>
      <c r="B1411" s="16" t="s">
        <v>6546</v>
      </c>
      <c r="C1411" s="20" t="s">
        <v>6547</v>
      </c>
      <c r="D1411" s="21"/>
      <c r="E1411" s="22" t="s">
        <v>6548</v>
      </c>
      <c r="H1411" s="23" t="s">
        <v>4711</v>
      </c>
      <c r="I1411" s="21"/>
      <c r="J1411" s="25"/>
      <c r="K1411" s="26" t="s">
        <v>44</v>
      </c>
      <c r="L1411" s="16"/>
      <c r="M1411" s="21"/>
    </row>
    <row r="1412">
      <c r="A1412" s="28">
        <v>46232.0</v>
      </c>
      <c r="B1412" s="16" t="s">
        <v>6549</v>
      </c>
      <c r="C1412" s="20" t="s">
        <v>6550</v>
      </c>
      <c r="D1412" s="21"/>
      <c r="E1412" s="22" t="s">
        <v>6551</v>
      </c>
      <c r="H1412" s="23" t="s">
        <v>6552</v>
      </c>
      <c r="I1412" s="21"/>
      <c r="J1412" s="25"/>
      <c r="K1412" s="26" t="s">
        <v>44</v>
      </c>
      <c r="L1412" s="16"/>
      <c r="M1412" s="21"/>
    </row>
    <row r="1413">
      <c r="A1413" s="28">
        <v>46232.0</v>
      </c>
      <c r="B1413" s="16" t="s">
        <v>6553</v>
      </c>
      <c r="C1413" s="20" t="s">
        <v>6554</v>
      </c>
      <c r="D1413" s="21"/>
      <c r="E1413" s="22" t="s">
        <v>6555</v>
      </c>
      <c r="H1413" s="23" t="s">
        <v>904</v>
      </c>
      <c r="I1413" s="21"/>
      <c r="J1413" s="25"/>
      <c r="K1413" s="26" t="s">
        <v>44</v>
      </c>
      <c r="L1413" s="16"/>
      <c r="M1413" s="21"/>
    </row>
    <row r="1414">
      <c r="A1414" s="28">
        <v>46232.0</v>
      </c>
      <c r="B1414" s="16" t="s">
        <v>6556</v>
      </c>
      <c r="C1414" s="20" t="s">
        <v>6557</v>
      </c>
      <c r="D1414" s="21"/>
      <c r="E1414" s="22" t="s">
        <v>6558</v>
      </c>
      <c r="H1414" s="23" t="s">
        <v>396</v>
      </c>
      <c r="I1414" s="21"/>
      <c r="J1414" s="25"/>
      <c r="K1414" s="26" t="s">
        <v>44</v>
      </c>
      <c r="L1414" s="16"/>
      <c r="M1414" s="21"/>
    </row>
    <row r="1415">
      <c r="A1415" s="28">
        <v>46232.0</v>
      </c>
      <c r="B1415" s="16" t="s">
        <v>6559</v>
      </c>
      <c r="C1415" s="20" t="s">
        <v>6560</v>
      </c>
      <c r="D1415" s="21"/>
      <c r="E1415" s="22" t="s">
        <v>6561</v>
      </c>
      <c r="H1415" s="23" t="s">
        <v>6562</v>
      </c>
      <c r="I1415" s="21"/>
      <c r="J1415" s="25"/>
      <c r="K1415" s="26" t="s">
        <v>44</v>
      </c>
      <c r="L1415" s="16"/>
      <c r="M1415" s="21"/>
    </row>
    <row r="1416">
      <c r="A1416" s="28">
        <v>46232.0</v>
      </c>
      <c r="B1416" s="16" t="s">
        <v>6563</v>
      </c>
      <c r="C1416" s="20" t="s">
        <v>6564</v>
      </c>
      <c r="D1416" s="21"/>
      <c r="E1416" s="22" t="s">
        <v>6565</v>
      </c>
      <c r="H1416" s="23" t="s">
        <v>1422</v>
      </c>
      <c r="I1416" s="21"/>
      <c r="J1416" s="25"/>
      <c r="K1416" s="26" t="s">
        <v>44</v>
      </c>
      <c r="L1416" s="16"/>
      <c r="M1416" s="21"/>
    </row>
    <row r="1417">
      <c r="A1417" s="28">
        <v>46232.0</v>
      </c>
      <c r="B1417" s="16" t="s">
        <v>6566</v>
      </c>
      <c r="C1417" s="20" t="s">
        <v>6567</v>
      </c>
      <c r="D1417" s="21"/>
      <c r="E1417" s="22" t="s">
        <v>6568</v>
      </c>
      <c r="H1417" s="23" t="s">
        <v>6569</v>
      </c>
      <c r="I1417" s="21"/>
      <c r="J1417" s="25"/>
      <c r="K1417" s="26" t="s">
        <v>44</v>
      </c>
      <c r="L1417" s="16"/>
      <c r="M1417" s="21"/>
    </row>
    <row r="1418">
      <c r="A1418" s="28">
        <v>46232.0</v>
      </c>
      <c r="B1418" s="16" t="s">
        <v>6570</v>
      </c>
      <c r="C1418" s="20" t="s">
        <v>6571</v>
      </c>
      <c r="D1418" s="21"/>
      <c r="E1418" s="22" t="s">
        <v>6572</v>
      </c>
      <c r="H1418" s="23" t="s">
        <v>856</v>
      </c>
      <c r="I1418" s="21"/>
      <c r="J1418" s="25"/>
      <c r="K1418" s="26" t="s">
        <v>44</v>
      </c>
      <c r="L1418" s="16"/>
      <c r="M1418" s="21"/>
    </row>
    <row r="1419">
      <c r="A1419" s="28">
        <v>46232.0</v>
      </c>
      <c r="B1419" s="16" t="s">
        <v>6573</v>
      </c>
      <c r="C1419" s="20" t="s">
        <v>6574</v>
      </c>
      <c r="D1419" s="21"/>
      <c r="E1419" s="22" t="s">
        <v>6575</v>
      </c>
      <c r="H1419" s="23" t="s">
        <v>2143</v>
      </c>
      <c r="I1419" s="21"/>
      <c r="J1419" s="25"/>
      <c r="K1419" s="26" t="s">
        <v>44</v>
      </c>
      <c r="L1419" s="16"/>
      <c r="M1419" s="21"/>
    </row>
    <row r="1420">
      <c r="A1420" s="28">
        <v>46232.0</v>
      </c>
      <c r="B1420" s="16" t="s">
        <v>6576</v>
      </c>
      <c r="C1420" s="20" t="s">
        <v>6577</v>
      </c>
      <c r="D1420" s="21"/>
      <c r="E1420" s="22" t="s">
        <v>6578</v>
      </c>
      <c r="H1420" s="23" t="s">
        <v>6579</v>
      </c>
      <c r="I1420" s="21"/>
      <c r="J1420" s="25"/>
      <c r="K1420" s="26" t="s">
        <v>44</v>
      </c>
      <c r="L1420" s="16"/>
      <c r="M1420" s="21"/>
    </row>
    <row r="1421">
      <c r="A1421" s="28">
        <v>46232.0</v>
      </c>
      <c r="B1421" s="16" t="s">
        <v>6580</v>
      </c>
      <c r="C1421" s="20" t="s">
        <v>6581</v>
      </c>
      <c r="D1421" s="21"/>
      <c r="E1421" s="22" t="s">
        <v>6582</v>
      </c>
      <c r="H1421" s="23" t="s">
        <v>6583</v>
      </c>
      <c r="I1421" s="21"/>
      <c r="J1421" s="25"/>
      <c r="K1421" s="26" t="s">
        <v>44</v>
      </c>
      <c r="L1421" s="16"/>
      <c r="M1421" s="21"/>
    </row>
    <row r="1422">
      <c r="A1422" s="28">
        <v>46232.0</v>
      </c>
      <c r="B1422" s="16" t="s">
        <v>6584</v>
      </c>
      <c r="C1422" s="20" t="s">
        <v>6585</v>
      </c>
      <c r="D1422" s="21"/>
      <c r="E1422" s="22" t="s">
        <v>6586</v>
      </c>
      <c r="H1422" s="23" t="s">
        <v>1650</v>
      </c>
      <c r="I1422" s="21"/>
      <c r="J1422" s="25"/>
      <c r="K1422" s="26" t="s">
        <v>44</v>
      </c>
      <c r="L1422" s="16"/>
      <c r="M1422" s="21"/>
    </row>
    <row r="1423">
      <c r="A1423" s="28">
        <v>46232.0</v>
      </c>
      <c r="B1423" s="16" t="s">
        <v>6587</v>
      </c>
      <c r="C1423" s="20" t="s">
        <v>6588</v>
      </c>
      <c r="D1423" s="21"/>
      <c r="E1423" s="22" t="s">
        <v>6589</v>
      </c>
      <c r="H1423" s="23" t="s">
        <v>1250</v>
      </c>
      <c r="I1423" s="21"/>
      <c r="J1423" s="25"/>
      <c r="K1423" s="26" t="s">
        <v>44</v>
      </c>
      <c r="L1423" s="16"/>
      <c r="M1423" s="21"/>
    </row>
    <row r="1424">
      <c r="A1424" s="28">
        <v>46232.0</v>
      </c>
      <c r="B1424" s="16" t="s">
        <v>6590</v>
      </c>
      <c r="C1424" s="20" t="s">
        <v>6591</v>
      </c>
      <c r="D1424" s="21"/>
      <c r="E1424" s="22" t="s">
        <v>6592</v>
      </c>
      <c r="H1424" s="23" t="s">
        <v>69</v>
      </c>
      <c r="I1424" s="21"/>
      <c r="J1424" s="25"/>
      <c r="K1424" s="26" t="s">
        <v>44</v>
      </c>
      <c r="L1424" s="16"/>
      <c r="M1424" s="21"/>
    </row>
    <row r="1425">
      <c r="A1425" s="28">
        <v>46232.0</v>
      </c>
      <c r="B1425" s="16" t="s">
        <v>6593</v>
      </c>
      <c r="C1425" s="20" t="s">
        <v>6594</v>
      </c>
      <c r="D1425" s="21"/>
      <c r="E1425" s="22" t="s">
        <v>6595</v>
      </c>
      <c r="H1425" s="23" t="s">
        <v>904</v>
      </c>
      <c r="I1425" s="21"/>
      <c r="J1425" s="25"/>
      <c r="K1425" s="26" t="s">
        <v>44</v>
      </c>
      <c r="L1425" s="16"/>
      <c r="M1425" s="21"/>
    </row>
    <row r="1426">
      <c r="A1426" s="28">
        <v>46232.0</v>
      </c>
      <c r="B1426" s="16" t="s">
        <v>6596</v>
      </c>
      <c r="C1426" s="20" t="s">
        <v>6597</v>
      </c>
      <c r="D1426" s="21"/>
      <c r="E1426" s="22" t="s">
        <v>6598</v>
      </c>
      <c r="H1426" s="23" t="s">
        <v>98</v>
      </c>
      <c r="I1426" s="21"/>
      <c r="J1426" s="25"/>
      <c r="K1426" s="26" t="s">
        <v>44</v>
      </c>
      <c r="L1426" s="16"/>
      <c r="M1426" s="21"/>
    </row>
    <row r="1427">
      <c r="A1427" s="28">
        <v>46232.0</v>
      </c>
      <c r="B1427" s="16" t="s">
        <v>6599</v>
      </c>
      <c r="C1427" s="20" t="s">
        <v>6600</v>
      </c>
      <c r="D1427" s="21"/>
      <c r="E1427" s="22" t="s">
        <v>6601</v>
      </c>
      <c r="H1427" s="23" t="s">
        <v>6602</v>
      </c>
      <c r="I1427" s="21"/>
      <c r="J1427" s="25"/>
      <c r="K1427" s="26" t="s">
        <v>44</v>
      </c>
      <c r="L1427" s="16"/>
      <c r="M1427" s="21"/>
    </row>
    <row r="1428">
      <c r="A1428" s="28">
        <v>46232.0</v>
      </c>
      <c r="B1428" s="16" t="s">
        <v>6603</v>
      </c>
      <c r="C1428" s="20" t="s">
        <v>6604</v>
      </c>
      <c r="D1428" s="21"/>
      <c r="E1428" s="22" t="s">
        <v>6605</v>
      </c>
      <c r="H1428" s="23" t="s">
        <v>6606</v>
      </c>
      <c r="I1428" s="21"/>
      <c r="J1428" s="25"/>
      <c r="K1428" s="26" t="s">
        <v>44</v>
      </c>
      <c r="L1428" s="16"/>
      <c r="M1428" s="21"/>
    </row>
    <row r="1429">
      <c r="A1429" s="28">
        <v>46232.0</v>
      </c>
      <c r="B1429" s="16" t="s">
        <v>6607</v>
      </c>
      <c r="C1429" s="20" t="s">
        <v>6608</v>
      </c>
      <c r="D1429" s="21"/>
      <c r="E1429" s="22" t="s">
        <v>6609</v>
      </c>
      <c r="H1429" s="23" t="s">
        <v>983</v>
      </c>
      <c r="I1429" s="21"/>
      <c r="J1429" s="25"/>
      <c r="K1429" s="26" t="s">
        <v>44</v>
      </c>
      <c r="L1429" s="16"/>
      <c r="M1429" s="21"/>
    </row>
    <row r="1430">
      <c r="A1430" s="28">
        <v>46232.0</v>
      </c>
      <c r="B1430" s="16" t="s">
        <v>6610</v>
      </c>
      <c r="C1430" s="20" t="s">
        <v>6611</v>
      </c>
      <c r="D1430" s="21"/>
      <c r="E1430" s="22" t="s">
        <v>6612</v>
      </c>
      <c r="H1430" s="23" t="s">
        <v>2549</v>
      </c>
      <c r="I1430" s="21"/>
      <c r="J1430" s="25"/>
      <c r="K1430" s="26" t="s">
        <v>44</v>
      </c>
      <c r="L1430" s="16"/>
      <c r="M1430" s="21"/>
    </row>
    <row r="1431">
      <c r="A1431" s="28">
        <v>46232.0</v>
      </c>
      <c r="B1431" s="16" t="s">
        <v>6613</v>
      </c>
      <c r="C1431" s="20" t="s">
        <v>6614</v>
      </c>
      <c r="D1431" s="21"/>
      <c r="E1431" s="22" t="s">
        <v>6615</v>
      </c>
      <c r="H1431" s="23" t="s">
        <v>1941</v>
      </c>
      <c r="I1431" s="21"/>
      <c r="J1431" s="25"/>
      <c r="K1431" s="26" t="s">
        <v>44</v>
      </c>
      <c r="L1431" s="16"/>
      <c r="M1431" s="21"/>
    </row>
    <row r="1432">
      <c r="A1432" s="28">
        <v>46232.0</v>
      </c>
      <c r="B1432" s="16" t="s">
        <v>6616</v>
      </c>
      <c r="C1432" s="20" t="s">
        <v>6617</v>
      </c>
      <c r="D1432" s="21"/>
      <c r="E1432" s="22" t="s">
        <v>6618</v>
      </c>
      <c r="H1432" s="23" t="s">
        <v>6619</v>
      </c>
      <c r="I1432" s="21"/>
      <c r="J1432" s="25"/>
      <c r="K1432" s="26" t="s">
        <v>44</v>
      </c>
      <c r="L1432" s="16"/>
      <c r="M1432" s="21"/>
    </row>
    <row r="1433">
      <c r="A1433" s="28">
        <v>46232.0</v>
      </c>
      <c r="B1433" s="16" t="s">
        <v>6620</v>
      </c>
      <c r="C1433" s="20" t="s">
        <v>6621</v>
      </c>
      <c r="D1433" s="21"/>
      <c r="E1433" s="22" t="s">
        <v>6622</v>
      </c>
      <c r="H1433" s="23" t="s">
        <v>6623</v>
      </c>
      <c r="I1433" s="21"/>
      <c r="J1433" s="25"/>
      <c r="K1433" s="26" t="s">
        <v>44</v>
      </c>
      <c r="L1433" s="16"/>
      <c r="M1433" s="21"/>
    </row>
    <row r="1434">
      <c r="A1434" s="28">
        <v>46232.0</v>
      </c>
      <c r="B1434" s="16" t="s">
        <v>6624</v>
      </c>
      <c r="C1434" s="46" t="s">
        <v>6625</v>
      </c>
      <c r="D1434" s="21"/>
      <c r="E1434" s="22" t="s">
        <v>6626</v>
      </c>
      <c r="H1434" s="23" t="s">
        <v>6627</v>
      </c>
      <c r="I1434" s="21"/>
      <c r="J1434" s="25"/>
      <c r="K1434" s="26" t="s">
        <v>44</v>
      </c>
      <c r="L1434" s="16"/>
      <c r="M1434" s="21"/>
    </row>
    <row r="1435">
      <c r="A1435" s="28">
        <v>46232.0</v>
      </c>
      <c r="B1435" s="16" t="s">
        <v>6628</v>
      </c>
      <c r="C1435" s="20" t="s">
        <v>6629</v>
      </c>
      <c r="D1435" s="21"/>
      <c r="E1435" s="22" t="s">
        <v>6630</v>
      </c>
      <c r="H1435" s="23" t="s">
        <v>6631</v>
      </c>
      <c r="I1435" s="21"/>
      <c r="J1435" s="25"/>
      <c r="K1435" s="26" t="s">
        <v>44</v>
      </c>
      <c r="L1435" s="16"/>
      <c r="M1435" s="21"/>
    </row>
    <row r="1436">
      <c r="A1436" s="28">
        <v>46232.0</v>
      </c>
      <c r="B1436" s="16" t="s">
        <v>6632</v>
      </c>
      <c r="C1436" s="20" t="s">
        <v>6633</v>
      </c>
      <c r="D1436" s="21"/>
      <c r="E1436" s="22" t="s">
        <v>6634</v>
      </c>
      <c r="H1436" s="23" t="s">
        <v>6635</v>
      </c>
      <c r="I1436" s="21"/>
      <c r="J1436" s="25"/>
      <c r="K1436" s="26" t="s">
        <v>44</v>
      </c>
      <c r="L1436" s="16"/>
      <c r="M1436" s="21"/>
    </row>
    <row r="1437">
      <c r="A1437" s="28">
        <v>46232.0</v>
      </c>
      <c r="B1437" s="16" t="s">
        <v>6636</v>
      </c>
      <c r="C1437" s="20" t="s">
        <v>6637</v>
      </c>
      <c r="D1437" s="21"/>
      <c r="E1437" s="22" t="s">
        <v>6638</v>
      </c>
      <c r="H1437" s="23" t="s">
        <v>6639</v>
      </c>
      <c r="I1437" s="21"/>
      <c r="J1437" s="25"/>
      <c r="K1437" s="26" t="s">
        <v>44</v>
      </c>
      <c r="L1437" s="16"/>
      <c r="M1437" s="21"/>
    </row>
    <row r="1438">
      <c r="A1438" s="28">
        <v>46232.0</v>
      </c>
      <c r="B1438" s="16" t="s">
        <v>6640</v>
      </c>
      <c r="C1438" s="20" t="s">
        <v>6641</v>
      </c>
      <c r="D1438" s="21"/>
      <c r="E1438" s="22" t="s">
        <v>6642</v>
      </c>
      <c r="H1438" s="23" t="s">
        <v>4759</v>
      </c>
      <c r="I1438" s="21"/>
      <c r="J1438" s="25"/>
      <c r="K1438" s="26" t="s">
        <v>44</v>
      </c>
      <c r="L1438" s="16"/>
      <c r="M1438" s="21"/>
    </row>
    <row r="1439">
      <c r="A1439" s="28">
        <v>46232.0</v>
      </c>
      <c r="B1439" s="16" t="s">
        <v>6643</v>
      </c>
      <c r="C1439" s="20" t="s">
        <v>6644</v>
      </c>
      <c r="D1439" s="21"/>
      <c r="E1439" s="22" t="s">
        <v>6645</v>
      </c>
      <c r="H1439" s="23" t="s">
        <v>1239</v>
      </c>
      <c r="I1439" s="21"/>
      <c r="J1439" s="25"/>
      <c r="K1439" s="26" t="s">
        <v>44</v>
      </c>
      <c r="L1439" s="16"/>
      <c r="M1439" s="21"/>
    </row>
    <row r="1440">
      <c r="A1440" s="28">
        <v>46232.0</v>
      </c>
      <c r="B1440" s="16" t="s">
        <v>6646</v>
      </c>
      <c r="C1440" s="20" t="s">
        <v>6647</v>
      </c>
      <c r="D1440" s="21"/>
      <c r="E1440" s="22" t="s">
        <v>6648</v>
      </c>
      <c r="H1440" s="23" t="s">
        <v>751</v>
      </c>
      <c r="I1440" s="21"/>
      <c r="J1440" s="25"/>
      <c r="K1440" s="26" t="s">
        <v>44</v>
      </c>
      <c r="L1440" s="16"/>
      <c r="M1440" s="21"/>
    </row>
    <row r="1441">
      <c r="A1441" s="28">
        <v>46232.0</v>
      </c>
      <c r="B1441" s="16" t="s">
        <v>6649</v>
      </c>
      <c r="C1441" s="20" t="s">
        <v>6650</v>
      </c>
      <c r="D1441" s="21"/>
      <c r="E1441" s="22" t="s">
        <v>6651</v>
      </c>
      <c r="H1441" s="23" t="s">
        <v>1679</v>
      </c>
      <c r="I1441" s="21"/>
      <c r="J1441" s="25"/>
      <c r="K1441" s="26" t="s">
        <v>44</v>
      </c>
      <c r="L1441" s="16"/>
      <c r="M1441" s="21"/>
    </row>
    <row r="1442">
      <c r="A1442" s="28">
        <v>46232.0</v>
      </c>
      <c r="B1442" s="16" t="s">
        <v>6652</v>
      </c>
      <c r="C1442" s="20" t="s">
        <v>6653</v>
      </c>
      <c r="D1442" s="21"/>
      <c r="E1442" s="22" t="s">
        <v>6654</v>
      </c>
      <c r="H1442" s="23" t="s">
        <v>4889</v>
      </c>
      <c r="I1442" s="21"/>
      <c r="J1442" s="25"/>
      <c r="K1442" s="26" t="s">
        <v>44</v>
      </c>
      <c r="L1442" s="16"/>
      <c r="M1442" s="21"/>
    </row>
    <row r="1443">
      <c r="A1443" s="28">
        <v>46232.0</v>
      </c>
      <c r="B1443" s="16" t="s">
        <v>6655</v>
      </c>
      <c r="C1443" s="20" t="s">
        <v>6656</v>
      </c>
      <c r="D1443" s="21"/>
      <c r="E1443" s="22" t="s">
        <v>6657</v>
      </c>
      <c r="H1443" s="23" t="s">
        <v>6658</v>
      </c>
      <c r="I1443" s="21"/>
      <c r="J1443" s="25"/>
      <c r="K1443" s="26" t="s">
        <v>44</v>
      </c>
      <c r="L1443" s="16"/>
      <c r="M1443" s="21"/>
    </row>
    <row r="1444">
      <c r="A1444" s="28">
        <v>46232.0</v>
      </c>
      <c r="B1444" s="16" t="s">
        <v>6659</v>
      </c>
      <c r="C1444" s="20" t="s">
        <v>6660</v>
      </c>
      <c r="D1444" s="21"/>
      <c r="E1444" s="22" t="s">
        <v>6661</v>
      </c>
      <c r="H1444" s="23" t="s">
        <v>6662</v>
      </c>
      <c r="I1444" s="21"/>
      <c r="J1444" s="25"/>
      <c r="K1444" s="26" t="s">
        <v>44</v>
      </c>
      <c r="L1444" s="16"/>
      <c r="M1444" s="21"/>
    </row>
    <row r="1445">
      <c r="A1445" s="28">
        <v>46232.0</v>
      </c>
      <c r="B1445" s="16" t="s">
        <v>6663</v>
      </c>
      <c r="C1445" s="20" t="s">
        <v>6664</v>
      </c>
      <c r="D1445" s="21"/>
      <c r="E1445" s="22" t="s">
        <v>6665</v>
      </c>
      <c r="H1445" s="23" t="s">
        <v>1422</v>
      </c>
      <c r="I1445" s="21"/>
      <c r="J1445" s="25"/>
      <c r="K1445" s="26" t="s">
        <v>44</v>
      </c>
      <c r="L1445" s="16"/>
      <c r="M1445" s="21"/>
    </row>
    <row r="1446">
      <c r="A1446" s="28">
        <v>46232.0</v>
      </c>
      <c r="B1446" s="16" t="s">
        <v>6666</v>
      </c>
      <c r="C1446" s="20" t="s">
        <v>6667</v>
      </c>
      <c r="D1446" s="21"/>
      <c r="E1446" s="22" t="s">
        <v>6668</v>
      </c>
      <c r="H1446" s="23" t="s">
        <v>6669</v>
      </c>
      <c r="I1446" s="21"/>
      <c r="J1446" s="25"/>
      <c r="K1446" s="26" t="s">
        <v>44</v>
      </c>
      <c r="L1446" s="16"/>
      <c r="M1446" s="21"/>
    </row>
    <row r="1447">
      <c r="A1447" s="28">
        <v>46232.0</v>
      </c>
      <c r="B1447" s="16" t="s">
        <v>6670</v>
      </c>
      <c r="C1447" s="20" t="s">
        <v>6671</v>
      </c>
      <c r="D1447" s="21"/>
      <c r="E1447" s="22" t="s">
        <v>6672</v>
      </c>
      <c r="H1447" s="23" t="s">
        <v>2120</v>
      </c>
      <c r="I1447" s="21"/>
      <c r="J1447" s="25"/>
      <c r="K1447" s="26" t="s">
        <v>44</v>
      </c>
      <c r="L1447" s="16"/>
      <c r="M1447" s="21"/>
    </row>
    <row r="1448">
      <c r="A1448" s="28">
        <v>46232.0</v>
      </c>
      <c r="B1448" s="16" t="s">
        <v>6673</v>
      </c>
      <c r="C1448" s="20" t="s">
        <v>6674</v>
      </c>
      <c r="D1448" s="21"/>
      <c r="E1448" s="22" t="s">
        <v>6675</v>
      </c>
      <c r="H1448" s="23" t="s">
        <v>1941</v>
      </c>
      <c r="I1448" s="21"/>
      <c r="J1448" s="25"/>
      <c r="K1448" s="26" t="s">
        <v>44</v>
      </c>
      <c r="L1448" s="16"/>
      <c r="M1448" s="21"/>
    </row>
    <row r="1449">
      <c r="A1449" s="28">
        <v>46232.0</v>
      </c>
      <c r="B1449" s="16" t="s">
        <v>6676</v>
      </c>
      <c r="C1449" s="20" t="s">
        <v>6677</v>
      </c>
      <c r="D1449" s="21"/>
      <c r="E1449" s="22" t="s">
        <v>6678</v>
      </c>
      <c r="H1449" s="23" t="s">
        <v>6679</v>
      </c>
      <c r="I1449" s="21"/>
      <c r="J1449" s="25"/>
      <c r="K1449" s="26" t="s">
        <v>44</v>
      </c>
      <c r="L1449" s="16"/>
      <c r="M1449" s="21"/>
    </row>
    <row r="1450">
      <c r="A1450" s="28">
        <v>46232.0</v>
      </c>
      <c r="B1450" s="16" t="s">
        <v>6680</v>
      </c>
      <c r="C1450" s="20" t="s">
        <v>6681</v>
      </c>
      <c r="D1450" s="21"/>
      <c r="E1450" s="22" t="s">
        <v>6682</v>
      </c>
      <c r="H1450" s="23" t="s">
        <v>6683</v>
      </c>
      <c r="I1450" s="21"/>
      <c r="J1450" s="25"/>
      <c r="K1450" s="26" t="s">
        <v>44</v>
      </c>
      <c r="L1450" s="16"/>
      <c r="M1450" s="21"/>
    </row>
    <row r="1451">
      <c r="A1451" s="28">
        <v>46232.0</v>
      </c>
      <c r="B1451" s="16" t="s">
        <v>6684</v>
      </c>
      <c r="C1451" s="20" t="s">
        <v>6685</v>
      </c>
      <c r="D1451" s="21"/>
      <c r="E1451" s="22" t="s">
        <v>6686</v>
      </c>
      <c r="H1451" s="23" t="s">
        <v>6124</v>
      </c>
      <c r="I1451" s="21"/>
      <c r="J1451" s="25"/>
      <c r="K1451" s="26" t="s">
        <v>44</v>
      </c>
      <c r="L1451" s="16"/>
      <c r="M1451" s="21"/>
    </row>
    <row r="1452">
      <c r="A1452" s="28">
        <v>46232.0</v>
      </c>
      <c r="B1452" s="16" t="s">
        <v>6687</v>
      </c>
      <c r="C1452" s="20" t="s">
        <v>6688</v>
      </c>
      <c r="D1452" s="21"/>
      <c r="E1452" s="22" t="s">
        <v>6689</v>
      </c>
      <c r="H1452" s="23" t="s">
        <v>6690</v>
      </c>
      <c r="I1452" s="21"/>
      <c r="J1452" s="25"/>
      <c r="K1452" s="26" t="s">
        <v>44</v>
      </c>
      <c r="L1452" s="16"/>
      <c r="M1452" s="21"/>
    </row>
    <row r="1453">
      <c r="A1453" s="28">
        <v>46232.0</v>
      </c>
      <c r="B1453" s="16" t="s">
        <v>6691</v>
      </c>
      <c r="C1453" s="20" t="s">
        <v>6692</v>
      </c>
      <c r="D1453" s="21"/>
      <c r="E1453" s="22" t="s">
        <v>6693</v>
      </c>
      <c r="H1453" s="23" t="s">
        <v>148</v>
      </c>
      <c r="I1453" s="21"/>
      <c r="J1453" s="25"/>
      <c r="K1453" s="26" t="s">
        <v>44</v>
      </c>
      <c r="L1453" s="16"/>
      <c r="M1453" s="21"/>
    </row>
    <row r="1454">
      <c r="A1454" s="28">
        <v>46232.0</v>
      </c>
      <c r="B1454" s="16" t="s">
        <v>6694</v>
      </c>
      <c r="C1454" s="20" t="s">
        <v>6695</v>
      </c>
      <c r="D1454" s="21"/>
      <c r="E1454" s="22" t="s">
        <v>6696</v>
      </c>
      <c r="H1454" s="23" t="s">
        <v>6697</v>
      </c>
      <c r="I1454" s="21"/>
      <c r="J1454" s="25"/>
      <c r="K1454" s="26" t="s">
        <v>44</v>
      </c>
      <c r="L1454" s="16"/>
      <c r="M1454" s="21"/>
    </row>
    <row r="1455">
      <c r="A1455" s="28">
        <v>46232.0</v>
      </c>
      <c r="B1455" s="16" t="s">
        <v>6698</v>
      </c>
      <c r="C1455" s="20" t="s">
        <v>6699</v>
      </c>
      <c r="D1455" s="21"/>
      <c r="E1455" s="22" t="s">
        <v>6700</v>
      </c>
      <c r="H1455" s="23" t="s">
        <v>6701</v>
      </c>
      <c r="I1455" s="21"/>
      <c r="J1455" s="25"/>
      <c r="K1455" s="26" t="s">
        <v>44</v>
      </c>
      <c r="L1455" s="16"/>
      <c r="M1455" s="21"/>
    </row>
    <row r="1456">
      <c r="A1456" s="28">
        <v>46232.0</v>
      </c>
      <c r="B1456" s="16" t="s">
        <v>6702</v>
      </c>
      <c r="C1456" s="20" t="s">
        <v>6703</v>
      </c>
      <c r="D1456" s="21"/>
      <c r="E1456" s="22" t="s">
        <v>6704</v>
      </c>
      <c r="H1456" s="23" t="s">
        <v>6705</v>
      </c>
      <c r="I1456" s="21"/>
      <c r="J1456" s="25"/>
      <c r="K1456" s="26" t="s">
        <v>44</v>
      </c>
      <c r="L1456" s="16"/>
      <c r="M1456" s="21"/>
    </row>
    <row r="1457">
      <c r="A1457" s="28">
        <v>46232.0</v>
      </c>
      <c r="B1457" s="16" t="s">
        <v>6706</v>
      </c>
      <c r="C1457" s="20" t="s">
        <v>6707</v>
      </c>
      <c r="D1457" s="21"/>
      <c r="E1457" s="22" t="s">
        <v>6708</v>
      </c>
      <c r="H1457" s="23" t="s">
        <v>6709</v>
      </c>
      <c r="I1457" s="21"/>
      <c r="J1457" s="25"/>
      <c r="K1457" s="26" t="s">
        <v>44</v>
      </c>
      <c r="L1457" s="16"/>
      <c r="M1457" s="21"/>
    </row>
    <row r="1458">
      <c r="A1458" s="28">
        <v>46232.0</v>
      </c>
      <c r="B1458" s="16" t="s">
        <v>6710</v>
      </c>
      <c r="C1458" s="20" t="s">
        <v>6711</v>
      </c>
      <c r="D1458" s="21"/>
      <c r="E1458" s="22" t="s">
        <v>6712</v>
      </c>
      <c r="H1458" s="23" t="s">
        <v>6713</v>
      </c>
      <c r="I1458" s="21"/>
      <c r="J1458" s="25"/>
      <c r="K1458" s="26" t="s">
        <v>44</v>
      </c>
      <c r="L1458" s="16"/>
      <c r="M1458" s="21"/>
    </row>
    <row r="1459">
      <c r="A1459" s="28">
        <v>46232.0</v>
      </c>
      <c r="B1459" s="16" t="s">
        <v>6714</v>
      </c>
      <c r="C1459" s="20" t="s">
        <v>6715</v>
      </c>
      <c r="D1459" s="21"/>
      <c r="E1459" s="22" t="s">
        <v>6716</v>
      </c>
      <c r="H1459" s="23" t="s">
        <v>6717</v>
      </c>
      <c r="I1459" s="21"/>
      <c r="J1459" s="25"/>
      <c r="K1459" s="26" t="s">
        <v>44</v>
      </c>
      <c r="L1459" s="16"/>
      <c r="M1459" s="21"/>
    </row>
    <row r="1460">
      <c r="A1460" s="28">
        <v>46232.0</v>
      </c>
      <c r="B1460" s="16" t="s">
        <v>6718</v>
      </c>
      <c r="C1460" s="20" t="s">
        <v>6719</v>
      </c>
      <c r="D1460" s="21"/>
      <c r="E1460" s="22" t="s">
        <v>6720</v>
      </c>
      <c r="H1460" s="23" t="s">
        <v>127</v>
      </c>
      <c r="I1460" s="21"/>
      <c r="J1460" s="25"/>
      <c r="K1460" s="26" t="s">
        <v>44</v>
      </c>
      <c r="L1460" s="16"/>
      <c r="M1460" s="21"/>
    </row>
    <row r="1461">
      <c r="A1461" s="28">
        <v>46232.0</v>
      </c>
      <c r="B1461" s="16" t="s">
        <v>6721</v>
      </c>
      <c r="C1461" s="20" t="s">
        <v>6722</v>
      </c>
      <c r="D1461" s="21"/>
      <c r="E1461" s="22" t="s">
        <v>6723</v>
      </c>
      <c r="H1461" s="23" t="s">
        <v>6724</v>
      </c>
      <c r="I1461" s="21"/>
      <c r="J1461" s="25"/>
      <c r="K1461" s="26" t="s">
        <v>44</v>
      </c>
      <c r="L1461" s="16"/>
      <c r="M1461" s="21"/>
    </row>
    <row r="1462">
      <c r="A1462" s="28">
        <v>46232.0</v>
      </c>
      <c r="B1462" s="16" t="s">
        <v>6725</v>
      </c>
      <c r="C1462" s="20" t="s">
        <v>6726</v>
      </c>
      <c r="D1462" s="21"/>
      <c r="E1462" s="22" t="s">
        <v>6727</v>
      </c>
      <c r="H1462" s="23" t="s">
        <v>98</v>
      </c>
      <c r="I1462" s="21"/>
      <c r="J1462" s="25"/>
      <c r="K1462" s="26" t="s">
        <v>44</v>
      </c>
      <c r="L1462" s="16"/>
      <c r="M1462" s="21"/>
    </row>
    <row r="1463">
      <c r="A1463" s="28">
        <v>46232.0</v>
      </c>
      <c r="B1463" s="16" t="s">
        <v>6728</v>
      </c>
      <c r="C1463" s="20" t="s">
        <v>6729</v>
      </c>
      <c r="D1463" s="21"/>
      <c r="E1463" s="22" t="s">
        <v>6730</v>
      </c>
      <c r="H1463" s="23" t="s">
        <v>6731</v>
      </c>
      <c r="I1463" s="21"/>
      <c r="J1463" s="25"/>
      <c r="K1463" s="26" t="s">
        <v>44</v>
      </c>
      <c r="L1463" s="16"/>
      <c r="M1463" s="21"/>
    </row>
    <row r="1464">
      <c r="A1464" s="28">
        <v>46232.0</v>
      </c>
      <c r="B1464" s="16" t="s">
        <v>6732</v>
      </c>
      <c r="C1464" s="20" t="s">
        <v>6733</v>
      </c>
      <c r="D1464" s="21"/>
      <c r="E1464" s="22" t="s">
        <v>6734</v>
      </c>
      <c r="H1464" s="23" t="s">
        <v>6735</v>
      </c>
      <c r="I1464" s="21"/>
      <c r="J1464" s="25"/>
      <c r="K1464" s="26" t="s">
        <v>44</v>
      </c>
      <c r="L1464" s="16"/>
      <c r="M1464" s="21"/>
    </row>
    <row r="1465">
      <c r="A1465" s="28">
        <v>46232.0</v>
      </c>
      <c r="B1465" s="16" t="s">
        <v>6736</v>
      </c>
      <c r="C1465" s="20" t="s">
        <v>6737</v>
      </c>
      <c r="D1465" s="21"/>
      <c r="E1465" s="22" t="s">
        <v>6738</v>
      </c>
      <c r="H1465" s="23" t="s">
        <v>1250</v>
      </c>
      <c r="I1465" s="21"/>
      <c r="J1465" s="25"/>
      <c r="K1465" s="26" t="s">
        <v>44</v>
      </c>
      <c r="L1465" s="16"/>
      <c r="M1465" s="21"/>
    </row>
    <row r="1466">
      <c r="A1466" s="28">
        <v>46232.0</v>
      </c>
      <c r="B1466" s="16" t="s">
        <v>6739</v>
      </c>
      <c r="C1466" s="20" t="s">
        <v>6740</v>
      </c>
      <c r="D1466" s="21"/>
      <c r="E1466" s="22" t="s">
        <v>6741</v>
      </c>
      <c r="H1466" s="23" t="s">
        <v>5457</v>
      </c>
      <c r="I1466" s="21"/>
      <c r="J1466" s="25"/>
      <c r="K1466" s="26" t="s">
        <v>44</v>
      </c>
      <c r="L1466" s="16"/>
      <c r="M1466" s="21"/>
    </row>
    <row r="1467">
      <c r="A1467" s="28">
        <v>46232.0</v>
      </c>
      <c r="B1467" s="16" t="s">
        <v>6742</v>
      </c>
      <c r="C1467" s="20" t="s">
        <v>6743</v>
      </c>
      <c r="D1467" s="21"/>
      <c r="E1467" s="22" t="s">
        <v>6744</v>
      </c>
      <c r="H1467" s="23" t="s">
        <v>6745</v>
      </c>
      <c r="I1467" s="21"/>
      <c r="J1467" s="25"/>
      <c r="K1467" s="26" t="s">
        <v>44</v>
      </c>
      <c r="L1467" s="16"/>
      <c r="M1467" s="21"/>
    </row>
    <row r="1468">
      <c r="A1468" s="28">
        <v>46232.0</v>
      </c>
      <c r="B1468" s="16" t="s">
        <v>6746</v>
      </c>
      <c r="C1468" s="20" t="s">
        <v>6747</v>
      </c>
      <c r="D1468" s="21"/>
      <c r="E1468" s="22" t="s">
        <v>6748</v>
      </c>
      <c r="H1468" s="23" t="s">
        <v>936</v>
      </c>
      <c r="I1468" s="21"/>
      <c r="J1468" s="25"/>
      <c r="K1468" s="26" t="s">
        <v>44</v>
      </c>
      <c r="L1468" s="16"/>
      <c r="M1468" s="21"/>
    </row>
    <row r="1469">
      <c r="A1469" s="28">
        <v>46232.0</v>
      </c>
      <c r="B1469" s="16" t="s">
        <v>6749</v>
      </c>
      <c r="C1469" s="20" t="s">
        <v>6750</v>
      </c>
      <c r="D1469" s="21"/>
      <c r="E1469" s="22" t="s">
        <v>6751</v>
      </c>
      <c r="H1469" s="23" t="s">
        <v>1250</v>
      </c>
      <c r="I1469" s="21"/>
      <c r="J1469" s="25"/>
      <c r="K1469" s="26" t="s">
        <v>44</v>
      </c>
      <c r="L1469" s="16"/>
      <c r="M1469" s="21"/>
    </row>
    <row r="1470">
      <c r="A1470" s="28">
        <v>46232.0</v>
      </c>
      <c r="B1470" s="16" t="s">
        <v>6752</v>
      </c>
      <c r="C1470" s="20" t="s">
        <v>6753</v>
      </c>
      <c r="D1470" s="21"/>
      <c r="E1470" s="22" t="s">
        <v>6754</v>
      </c>
      <c r="H1470" s="23" t="s">
        <v>299</v>
      </c>
      <c r="I1470" s="21"/>
      <c r="J1470" s="25"/>
      <c r="K1470" s="26" t="s">
        <v>44</v>
      </c>
      <c r="L1470" s="16"/>
      <c r="M1470" s="21"/>
    </row>
    <row r="1471">
      <c r="A1471" s="28">
        <v>46232.0</v>
      </c>
      <c r="B1471" s="16" t="s">
        <v>6755</v>
      </c>
      <c r="C1471" s="20" t="s">
        <v>6756</v>
      </c>
      <c r="D1471" s="21"/>
      <c r="E1471" s="22" t="s">
        <v>6757</v>
      </c>
      <c r="H1471" s="23" t="s">
        <v>6758</v>
      </c>
      <c r="I1471" s="21"/>
      <c r="J1471" s="25"/>
      <c r="K1471" s="26" t="s">
        <v>44</v>
      </c>
      <c r="L1471" s="16"/>
      <c r="M1471" s="21"/>
    </row>
    <row r="1472">
      <c r="A1472" s="28">
        <v>46232.0</v>
      </c>
      <c r="B1472" s="16" t="s">
        <v>6759</v>
      </c>
      <c r="C1472" s="20" t="s">
        <v>6760</v>
      </c>
      <c r="D1472" s="21"/>
      <c r="E1472" s="22" t="s">
        <v>6761</v>
      </c>
      <c r="H1472" s="23" t="s">
        <v>6762</v>
      </c>
      <c r="I1472" s="21"/>
      <c r="J1472" s="25"/>
      <c r="K1472" s="26" t="s">
        <v>44</v>
      </c>
      <c r="L1472" s="16"/>
      <c r="M1472" s="21"/>
    </row>
    <row r="1473">
      <c r="A1473" s="28">
        <v>46232.0</v>
      </c>
      <c r="B1473" s="16" t="s">
        <v>6763</v>
      </c>
      <c r="C1473" s="20" t="s">
        <v>6764</v>
      </c>
      <c r="D1473" s="21"/>
      <c r="E1473" s="22" t="s">
        <v>6765</v>
      </c>
      <c r="H1473" s="23" t="s">
        <v>6766</v>
      </c>
      <c r="I1473" s="21"/>
      <c r="J1473" s="25"/>
      <c r="K1473" s="26" t="s">
        <v>44</v>
      </c>
      <c r="L1473" s="16"/>
      <c r="M1473" s="21"/>
    </row>
    <row r="1474">
      <c r="A1474" s="28">
        <v>46232.0</v>
      </c>
      <c r="B1474" s="16" t="s">
        <v>6767</v>
      </c>
      <c r="C1474" s="20" t="s">
        <v>6768</v>
      </c>
      <c r="D1474" s="21"/>
      <c r="E1474" s="22" t="s">
        <v>6769</v>
      </c>
      <c r="H1474" s="23" t="s">
        <v>6770</v>
      </c>
      <c r="I1474" s="21"/>
      <c r="J1474" s="25"/>
      <c r="K1474" s="26" t="s">
        <v>44</v>
      </c>
      <c r="L1474" s="16"/>
      <c r="M1474" s="21"/>
    </row>
    <row r="1475">
      <c r="A1475" s="28">
        <v>46232.0</v>
      </c>
      <c r="B1475" s="16" t="s">
        <v>6771</v>
      </c>
      <c r="C1475" s="20" t="s">
        <v>6772</v>
      </c>
      <c r="D1475" s="21"/>
      <c r="E1475" s="22" t="s">
        <v>6773</v>
      </c>
      <c r="H1475" s="23" t="s">
        <v>6774</v>
      </c>
      <c r="I1475" s="21"/>
      <c r="J1475" s="25"/>
      <c r="K1475" s="26" t="s">
        <v>44</v>
      </c>
      <c r="L1475" s="16"/>
      <c r="M1475" s="21"/>
    </row>
    <row r="1476">
      <c r="A1476" s="28">
        <v>46232.0</v>
      </c>
      <c r="B1476" s="16" t="s">
        <v>6775</v>
      </c>
      <c r="C1476" s="20" t="s">
        <v>6776</v>
      </c>
      <c r="D1476" s="21"/>
      <c r="E1476" s="22" t="s">
        <v>6777</v>
      </c>
      <c r="H1476" s="23" t="s">
        <v>6778</v>
      </c>
      <c r="I1476" s="21"/>
      <c r="J1476" s="25"/>
      <c r="K1476" s="26" t="s">
        <v>44</v>
      </c>
      <c r="L1476" s="16"/>
      <c r="M1476" s="21"/>
    </row>
    <row r="1477">
      <c r="A1477" s="28">
        <v>46232.0</v>
      </c>
      <c r="B1477" s="16" t="s">
        <v>6779</v>
      </c>
      <c r="C1477" s="20" t="s">
        <v>6780</v>
      </c>
      <c r="D1477" s="21"/>
      <c r="E1477" s="22" t="s">
        <v>6781</v>
      </c>
      <c r="H1477" s="23" t="s">
        <v>1411</v>
      </c>
      <c r="I1477" s="21"/>
      <c r="J1477" s="25"/>
      <c r="K1477" s="26" t="s">
        <v>44</v>
      </c>
      <c r="L1477" s="16"/>
      <c r="M1477" s="21"/>
    </row>
    <row r="1478">
      <c r="A1478" s="28">
        <v>46232.0</v>
      </c>
      <c r="B1478" s="16" t="s">
        <v>6782</v>
      </c>
      <c r="C1478" s="20" t="s">
        <v>6783</v>
      </c>
      <c r="D1478" s="21"/>
      <c r="E1478" s="22" t="s">
        <v>6784</v>
      </c>
      <c r="H1478" s="23" t="s">
        <v>1762</v>
      </c>
      <c r="I1478" s="21"/>
      <c r="J1478" s="25"/>
      <c r="K1478" s="26" t="s">
        <v>44</v>
      </c>
      <c r="L1478" s="16"/>
      <c r="M1478" s="21"/>
    </row>
    <row r="1479">
      <c r="A1479" s="28">
        <v>46232.0</v>
      </c>
      <c r="B1479" s="16" t="s">
        <v>6785</v>
      </c>
      <c r="C1479" s="20" t="s">
        <v>6786</v>
      </c>
      <c r="D1479" s="21"/>
      <c r="E1479" s="22" t="s">
        <v>6787</v>
      </c>
      <c r="H1479" s="23" t="s">
        <v>5047</v>
      </c>
      <c r="I1479" s="21"/>
      <c r="J1479" s="25"/>
      <c r="K1479" s="26" t="s">
        <v>44</v>
      </c>
      <c r="L1479" s="16"/>
      <c r="M1479" s="21"/>
    </row>
    <row r="1480">
      <c r="A1480" s="28">
        <v>46232.0</v>
      </c>
      <c r="B1480" s="16" t="s">
        <v>6788</v>
      </c>
      <c r="C1480" s="20" t="s">
        <v>6789</v>
      </c>
      <c r="D1480" s="21"/>
      <c r="E1480" s="22" t="s">
        <v>6790</v>
      </c>
      <c r="H1480" s="23" t="s">
        <v>6791</v>
      </c>
      <c r="I1480" s="21"/>
      <c r="J1480" s="25"/>
      <c r="K1480" s="26" t="s">
        <v>44</v>
      </c>
      <c r="L1480" s="16"/>
      <c r="M1480" s="21"/>
    </row>
    <row r="1481">
      <c r="A1481" s="28">
        <v>46232.0</v>
      </c>
      <c r="B1481" s="16" t="s">
        <v>6792</v>
      </c>
      <c r="C1481" s="20" t="s">
        <v>6793</v>
      </c>
      <c r="D1481" s="21"/>
      <c r="E1481" s="22" t="s">
        <v>6794</v>
      </c>
      <c r="H1481" s="23" t="s">
        <v>6795</v>
      </c>
      <c r="I1481" s="21"/>
      <c r="J1481" s="25"/>
      <c r="K1481" s="26" t="s">
        <v>44</v>
      </c>
      <c r="L1481" s="16"/>
      <c r="M1481" s="21"/>
    </row>
    <row r="1482">
      <c r="A1482" s="28">
        <v>46232.0</v>
      </c>
      <c r="B1482" s="16" t="s">
        <v>6796</v>
      </c>
      <c r="C1482" s="20" t="s">
        <v>6797</v>
      </c>
      <c r="D1482" s="21"/>
      <c r="E1482" s="22" t="s">
        <v>6798</v>
      </c>
      <c r="H1482" s="23" t="s">
        <v>6799</v>
      </c>
      <c r="I1482" s="21"/>
      <c r="J1482" s="25"/>
      <c r="K1482" s="26" t="s">
        <v>44</v>
      </c>
      <c r="L1482" s="16"/>
      <c r="M1482" s="21"/>
    </row>
    <row r="1483">
      <c r="A1483" s="28">
        <v>46232.0</v>
      </c>
      <c r="B1483" s="16" t="s">
        <v>6800</v>
      </c>
      <c r="C1483" s="20" t="s">
        <v>6801</v>
      </c>
      <c r="D1483" s="21"/>
      <c r="E1483" s="22" t="s">
        <v>6802</v>
      </c>
      <c r="H1483" s="78"/>
      <c r="I1483" s="21"/>
      <c r="J1483" s="25"/>
      <c r="K1483" s="26" t="s">
        <v>44</v>
      </c>
      <c r="L1483" s="16"/>
      <c r="M1483" s="21"/>
    </row>
    <row r="1484">
      <c r="A1484" s="28">
        <v>46232.0</v>
      </c>
      <c r="B1484" s="16" t="s">
        <v>6803</v>
      </c>
      <c r="C1484" s="20" t="s">
        <v>6804</v>
      </c>
      <c r="D1484" s="21"/>
      <c r="E1484" s="22" t="s">
        <v>6805</v>
      </c>
      <c r="H1484" s="78"/>
      <c r="I1484" s="21"/>
      <c r="J1484" s="25"/>
      <c r="K1484" s="26" t="s">
        <v>44</v>
      </c>
      <c r="L1484" s="16"/>
      <c r="M1484" s="21"/>
    </row>
    <row r="1485">
      <c r="A1485" s="28">
        <v>46232.0</v>
      </c>
      <c r="B1485" s="16" t="s">
        <v>6806</v>
      </c>
      <c r="C1485" s="20" t="s">
        <v>6807</v>
      </c>
      <c r="D1485" s="21"/>
      <c r="E1485" s="22" t="s">
        <v>6808</v>
      </c>
      <c r="H1485" s="78"/>
      <c r="I1485" s="21"/>
      <c r="J1485" s="25"/>
      <c r="K1485" s="26" t="s">
        <v>44</v>
      </c>
      <c r="L1485" s="16"/>
      <c r="M1485" s="21"/>
    </row>
    <row r="1486">
      <c r="A1486" s="28">
        <v>46232.0</v>
      </c>
      <c r="B1486" s="16" t="s">
        <v>6809</v>
      </c>
      <c r="C1486" s="20" t="s">
        <v>6810</v>
      </c>
      <c r="D1486" s="21"/>
      <c r="E1486" s="22" t="s">
        <v>6811</v>
      </c>
      <c r="H1486" s="78"/>
      <c r="I1486" s="21"/>
      <c r="J1486" s="25"/>
      <c r="K1486" s="26" t="s">
        <v>44</v>
      </c>
      <c r="L1486" s="16"/>
      <c r="M1486" s="21"/>
    </row>
    <row r="1487">
      <c r="A1487" s="28">
        <v>46232.0</v>
      </c>
      <c r="B1487" s="16" t="s">
        <v>6812</v>
      </c>
      <c r="C1487" s="20" t="s">
        <v>6813</v>
      </c>
      <c r="D1487" s="21"/>
      <c r="E1487" s="22" t="s">
        <v>6814</v>
      </c>
      <c r="H1487" s="78"/>
      <c r="I1487" s="21"/>
      <c r="J1487" s="25"/>
      <c r="K1487" s="26" t="s">
        <v>44</v>
      </c>
      <c r="L1487" s="16"/>
      <c r="M1487" s="21"/>
    </row>
    <row r="1488">
      <c r="A1488" s="28">
        <v>46232.0</v>
      </c>
      <c r="B1488" s="16" t="s">
        <v>6815</v>
      </c>
      <c r="C1488" s="20" t="s">
        <v>6816</v>
      </c>
      <c r="D1488" s="21"/>
      <c r="E1488" s="22" t="s">
        <v>6817</v>
      </c>
      <c r="H1488" s="78"/>
      <c r="I1488" s="21"/>
      <c r="J1488" s="25"/>
      <c r="K1488" s="26" t="s">
        <v>44</v>
      </c>
      <c r="L1488" s="16"/>
      <c r="M1488" s="21"/>
    </row>
    <row r="1489">
      <c r="A1489" s="28">
        <v>46232.0</v>
      </c>
      <c r="B1489" s="16" t="s">
        <v>6818</v>
      </c>
      <c r="C1489" s="20" t="s">
        <v>6819</v>
      </c>
      <c r="D1489" s="21"/>
      <c r="E1489" s="22" t="s">
        <v>6820</v>
      </c>
      <c r="H1489" s="78"/>
      <c r="I1489" s="21"/>
      <c r="J1489" s="25"/>
      <c r="K1489" s="26" t="s">
        <v>44</v>
      </c>
      <c r="L1489" s="16"/>
      <c r="M1489" s="21"/>
    </row>
    <row r="1490">
      <c r="A1490" s="28">
        <v>46232.0</v>
      </c>
      <c r="B1490" s="16" t="s">
        <v>6821</v>
      </c>
      <c r="C1490" s="20" t="s">
        <v>6822</v>
      </c>
      <c r="D1490" s="21"/>
      <c r="E1490" s="22" t="s">
        <v>6823</v>
      </c>
      <c r="H1490" s="78"/>
      <c r="I1490" s="21"/>
      <c r="J1490" s="25"/>
      <c r="K1490" s="26" t="s">
        <v>44</v>
      </c>
      <c r="L1490" s="16"/>
      <c r="M1490" s="21"/>
    </row>
    <row r="1491">
      <c r="A1491" s="28">
        <v>46232.0</v>
      </c>
      <c r="B1491" s="16" t="s">
        <v>6824</v>
      </c>
      <c r="C1491" s="20" t="s">
        <v>6825</v>
      </c>
      <c r="D1491" s="21"/>
      <c r="E1491" s="22" t="s">
        <v>6826</v>
      </c>
      <c r="H1491" s="78"/>
      <c r="I1491" s="21"/>
      <c r="J1491" s="25"/>
      <c r="K1491" s="26" t="s">
        <v>44</v>
      </c>
      <c r="L1491" s="16"/>
      <c r="M1491" s="21"/>
    </row>
    <row r="1492">
      <c r="A1492" s="28">
        <v>46232.0</v>
      </c>
      <c r="B1492" s="16" t="s">
        <v>6827</v>
      </c>
      <c r="C1492" s="20" t="s">
        <v>6828</v>
      </c>
      <c r="D1492" s="21"/>
      <c r="E1492" s="22" t="s">
        <v>6829</v>
      </c>
      <c r="H1492" s="78"/>
      <c r="I1492" s="21"/>
      <c r="J1492" s="25"/>
      <c r="K1492" s="26" t="s">
        <v>44</v>
      </c>
      <c r="L1492" s="16"/>
      <c r="M1492" s="21"/>
    </row>
    <row r="1493">
      <c r="A1493" s="28">
        <v>46232.0</v>
      </c>
      <c r="B1493" s="16" t="s">
        <v>6830</v>
      </c>
      <c r="C1493" s="20" t="s">
        <v>6831</v>
      </c>
      <c r="D1493" s="21"/>
      <c r="E1493" s="22" t="s">
        <v>6832</v>
      </c>
      <c r="H1493" s="78"/>
      <c r="I1493" s="21"/>
      <c r="J1493" s="25"/>
      <c r="K1493" s="26" t="s">
        <v>44</v>
      </c>
      <c r="L1493" s="16"/>
      <c r="M1493" s="21"/>
    </row>
    <row r="1494">
      <c r="A1494" s="28">
        <v>46232.0</v>
      </c>
      <c r="B1494" s="16" t="s">
        <v>6833</v>
      </c>
      <c r="C1494" s="20" t="s">
        <v>6834</v>
      </c>
      <c r="D1494" s="21"/>
      <c r="E1494" s="22" t="s">
        <v>6835</v>
      </c>
      <c r="H1494" s="78"/>
      <c r="I1494" s="21"/>
      <c r="J1494" s="25"/>
      <c r="K1494" s="26" t="s">
        <v>44</v>
      </c>
      <c r="L1494" s="16"/>
      <c r="M1494" s="21"/>
    </row>
    <row r="1495">
      <c r="A1495" s="28">
        <v>46232.0</v>
      </c>
      <c r="B1495" s="16" t="s">
        <v>6836</v>
      </c>
      <c r="C1495" s="20" t="s">
        <v>6837</v>
      </c>
      <c r="D1495" s="21"/>
      <c r="E1495" s="22" t="s">
        <v>6838</v>
      </c>
      <c r="H1495" s="78"/>
      <c r="I1495" s="21"/>
      <c r="J1495" s="25"/>
      <c r="K1495" s="26" t="s">
        <v>44</v>
      </c>
      <c r="L1495" s="16"/>
      <c r="M1495" s="21"/>
    </row>
    <row r="1496">
      <c r="A1496" s="28">
        <v>46232.0</v>
      </c>
      <c r="B1496" s="16" t="s">
        <v>6839</v>
      </c>
      <c r="C1496" s="20" t="s">
        <v>6840</v>
      </c>
      <c r="D1496" s="21"/>
      <c r="E1496" s="22" t="s">
        <v>6841</v>
      </c>
      <c r="H1496" s="78"/>
      <c r="I1496" s="21"/>
      <c r="J1496" s="25"/>
      <c r="K1496" s="26" t="s">
        <v>44</v>
      </c>
      <c r="L1496" s="16"/>
      <c r="M1496" s="21"/>
    </row>
    <row r="1497">
      <c r="A1497" s="28">
        <v>46232.0</v>
      </c>
      <c r="B1497" s="16" t="s">
        <v>6842</v>
      </c>
      <c r="C1497" s="20" t="s">
        <v>6843</v>
      </c>
      <c r="D1497" s="21"/>
      <c r="E1497" s="22" t="s">
        <v>6844</v>
      </c>
      <c r="H1497" s="78"/>
      <c r="I1497" s="21"/>
      <c r="J1497" s="25"/>
      <c r="K1497" s="26" t="s">
        <v>44</v>
      </c>
      <c r="L1497" s="16"/>
      <c r="M1497" s="21"/>
    </row>
    <row r="1498">
      <c r="A1498" s="28">
        <v>46232.0</v>
      </c>
      <c r="B1498" s="16" t="s">
        <v>6845</v>
      </c>
      <c r="C1498" s="20" t="s">
        <v>6846</v>
      </c>
      <c r="D1498" s="21"/>
      <c r="E1498" s="22" t="s">
        <v>6847</v>
      </c>
      <c r="H1498" s="78"/>
      <c r="I1498" s="21"/>
      <c r="J1498" s="25"/>
      <c r="K1498" s="26" t="s">
        <v>44</v>
      </c>
      <c r="L1498" s="16"/>
      <c r="M1498" s="21"/>
    </row>
    <row r="1499">
      <c r="A1499" s="28">
        <v>46232.0</v>
      </c>
      <c r="B1499" s="16" t="s">
        <v>6848</v>
      </c>
      <c r="C1499" s="20" t="s">
        <v>6849</v>
      </c>
      <c r="D1499" s="21"/>
      <c r="E1499" s="22" t="s">
        <v>6850</v>
      </c>
      <c r="H1499" s="78"/>
      <c r="I1499" s="21"/>
      <c r="J1499" s="25"/>
      <c r="K1499" s="26" t="s">
        <v>44</v>
      </c>
      <c r="L1499" s="16"/>
      <c r="M1499" s="21"/>
    </row>
    <row r="1500">
      <c r="A1500" s="28">
        <v>46232.0</v>
      </c>
      <c r="B1500" s="16" t="s">
        <v>6851</v>
      </c>
      <c r="C1500" s="20" t="s">
        <v>6852</v>
      </c>
      <c r="D1500" s="21"/>
      <c r="E1500" s="22" t="s">
        <v>6853</v>
      </c>
      <c r="H1500" s="78"/>
      <c r="I1500" s="21"/>
      <c r="J1500" s="25"/>
      <c r="K1500" s="26" t="s">
        <v>44</v>
      </c>
      <c r="L1500" s="16"/>
      <c r="M1500" s="21"/>
    </row>
    <row r="1501">
      <c r="A1501" s="28">
        <v>46232.0</v>
      </c>
      <c r="B1501" s="16" t="s">
        <v>6854</v>
      </c>
      <c r="C1501" s="20" t="s">
        <v>6855</v>
      </c>
      <c r="D1501" s="21"/>
      <c r="E1501" s="22" t="s">
        <v>6856</v>
      </c>
      <c r="H1501" s="78"/>
      <c r="I1501" s="21"/>
      <c r="J1501" s="25"/>
      <c r="K1501" s="26" t="s">
        <v>44</v>
      </c>
      <c r="L1501" s="16"/>
      <c r="M1501" s="21"/>
    </row>
    <row r="1502">
      <c r="A1502" s="28">
        <v>46232.0</v>
      </c>
      <c r="B1502" s="16" t="s">
        <v>6857</v>
      </c>
      <c r="C1502" s="20" t="s">
        <v>6858</v>
      </c>
      <c r="D1502" s="21"/>
      <c r="E1502" s="22" t="s">
        <v>6859</v>
      </c>
      <c r="H1502" s="78"/>
      <c r="I1502" s="21"/>
      <c r="J1502" s="25"/>
      <c r="K1502" s="26" t="s">
        <v>44</v>
      </c>
      <c r="L1502" s="16"/>
      <c r="M1502" s="21"/>
    </row>
    <row r="1503">
      <c r="A1503" s="28">
        <v>46232.0</v>
      </c>
      <c r="B1503" s="16" t="s">
        <v>6860</v>
      </c>
      <c r="C1503" s="20" t="s">
        <v>6861</v>
      </c>
      <c r="D1503" s="21"/>
      <c r="E1503" s="22" t="s">
        <v>6862</v>
      </c>
      <c r="H1503" s="78"/>
      <c r="I1503" s="21"/>
      <c r="J1503" s="25"/>
      <c r="K1503" s="26" t="s">
        <v>44</v>
      </c>
      <c r="L1503" s="16"/>
      <c r="M1503" s="21"/>
    </row>
    <row r="1504">
      <c r="A1504" s="28">
        <v>46232.0</v>
      </c>
      <c r="B1504" s="16" t="s">
        <v>6863</v>
      </c>
      <c r="C1504" s="20" t="s">
        <v>6864</v>
      </c>
      <c r="D1504" s="21"/>
      <c r="E1504" s="22" t="s">
        <v>6865</v>
      </c>
      <c r="H1504" s="78"/>
      <c r="I1504" s="21"/>
      <c r="J1504" s="25"/>
      <c r="K1504" s="26" t="s">
        <v>44</v>
      </c>
      <c r="L1504" s="16"/>
      <c r="M1504" s="21"/>
    </row>
    <row r="1505">
      <c r="A1505" s="28">
        <v>46232.0</v>
      </c>
      <c r="B1505" s="16" t="s">
        <v>6866</v>
      </c>
      <c r="C1505" s="20" t="s">
        <v>6867</v>
      </c>
      <c r="D1505" s="21"/>
      <c r="E1505" s="22" t="s">
        <v>6868</v>
      </c>
      <c r="H1505" s="78"/>
      <c r="I1505" s="21"/>
      <c r="J1505" s="25"/>
      <c r="K1505" s="26" t="s">
        <v>44</v>
      </c>
      <c r="L1505" s="16"/>
      <c r="M1505" s="21"/>
    </row>
    <row r="1506">
      <c r="A1506" s="28">
        <v>46232.0</v>
      </c>
      <c r="B1506" s="16" t="s">
        <v>6869</v>
      </c>
      <c r="C1506" s="20" t="s">
        <v>6870</v>
      </c>
      <c r="D1506" s="21"/>
      <c r="E1506" s="22" t="s">
        <v>6871</v>
      </c>
      <c r="H1506" s="78"/>
      <c r="I1506" s="21"/>
      <c r="J1506" s="25"/>
      <c r="K1506" s="26" t="s">
        <v>44</v>
      </c>
      <c r="L1506" s="16"/>
      <c r="M1506" s="21"/>
    </row>
    <row r="1507">
      <c r="A1507" s="28">
        <v>46232.0</v>
      </c>
      <c r="B1507" s="16" t="s">
        <v>6872</v>
      </c>
      <c r="C1507" s="20" t="s">
        <v>6873</v>
      </c>
      <c r="D1507" s="21"/>
      <c r="E1507" s="22" t="s">
        <v>6874</v>
      </c>
      <c r="H1507" s="78"/>
      <c r="I1507" s="21"/>
      <c r="J1507" s="25"/>
      <c r="K1507" s="26" t="s">
        <v>44</v>
      </c>
      <c r="L1507" s="16"/>
      <c r="M1507" s="21"/>
    </row>
    <row r="1508">
      <c r="A1508" s="28">
        <v>46232.0</v>
      </c>
      <c r="B1508" s="16" t="s">
        <v>6875</v>
      </c>
      <c r="C1508" s="20" t="s">
        <v>6876</v>
      </c>
      <c r="D1508" s="21"/>
      <c r="E1508" s="22" t="s">
        <v>6877</v>
      </c>
      <c r="H1508" s="78"/>
      <c r="I1508" s="21"/>
      <c r="J1508" s="25"/>
      <c r="K1508" s="26" t="s">
        <v>44</v>
      </c>
      <c r="L1508" s="16"/>
      <c r="M1508" s="21"/>
    </row>
    <row r="1509">
      <c r="A1509" s="28">
        <v>46232.0</v>
      </c>
      <c r="B1509" s="16" t="s">
        <v>6878</v>
      </c>
      <c r="C1509" s="20" t="s">
        <v>6879</v>
      </c>
      <c r="D1509" s="21"/>
      <c r="E1509" s="22" t="s">
        <v>6880</v>
      </c>
      <c r="H1509" s="78"/>
      <c r="I1509" s="21"/>
      <c r="J1509" s="25"/>
      <c r="K1509" s="26" t="s">
        <v>44</v>
      </c>
      <c r="L1509" s="16"/>
      <c r="M1509" s="21"/>
    </row>
    <row r="1510">
      <c r="A1510" s="28">
        <v>46232.0</v>
      </c>
      <c r="B1510" s="16" t="s">
        <v>6881</v>
      </c>
      <c r="C1510" s="20" t="s">
        <v>6882</v>
      </c>
      <c r="D1510" s="21"/>
      <c r="E1510" s="22" t="s">
        <v>6883</v>
      </c>
      <c r="H1510" s="78"/>
      <c r="I1510" s="21"/>
      <c r="J1510" s="25"/>
      <c r="K1510" s="26" t="s">
        <v>44</v>
      </c>
      <c r="L1510" s="16"/>
      <c r="M1510" s="21"/>
    </row>
    <row r="1511">
      <c r="A1511" s="28">
        <v>46232.0</v>
      </c>
      <c r="B1511" s="16" t="s">
        <v>6884</v>
      </c>
      <c r="C1511" s="20" t="s">
        <v>6885</v>
      </c>
      <c r="D1511" s="21"/>
      <c r="E1511" s="22" t="s">
        <v>6886</v>
      </c>
      <c r="H1511" s="78"/>
      <c r="I1511" s="21"/>
      <c r="J1511" s="25"/>
      <c r="K1511" s="26" t="s">
        <v>44</v>
      </c>
      <c r="L1511" s="16"/>
      <c r="M1511" s="21"/>
    </row>
    <row r="1512">
      <c r="A1512" s="28">
        <v>46232.0</v>
      </c>
      <c r="B1512" s="16" t="s">
        <v>6887</v>
      </c>
      <c r="C1512" s="20" t="s">
        <v>6888</v>
      </c>
      <c r="D1512" s="21"/>
      <c r="E1512" s="22" t="s">
        <v>6889</v>
      </c>
      <c r="H1512" s="78"/>
      <c r="I1512" s="21"/>
      <c r="J1512" s="25"/>
      <c r="K1512" s="26" t="s">
        <v>44</v>
      </c>
      <c r="L1512" s="16"/>
      <c r="M1512" s="21"/>
    </row>
    <row r="1513">
      <c r="A1513" s="28">
        <v>46232.0</v>
      </c>
      <c r="B1513" s="16" t="s">
        <v>6890</v>
      </c>
      <c r="C1513" s="20" t="s">
        <v>6891</v>
      </c>
      <c r="D1513" s="21"/>
      <c r="E1513" s="41"/>
      <c r="H1513" s="78"/>
      <c r="I1513" s="21"/>
      <c r="J1513" s="25"/>
      <c r="K1513" s="26" t="s">
        <v>44</v>
      </c>
      <c r="L1513" s="16"/>
      <c r="M1513" s="21"/>
    </row>
    <row r="1514">
      <c r="A1514" s="28">
        <v>46232.0</v>
      </c>
      <c r="B1514" s="16" t="s">
        <v>6892</v>
      </c>
      <c r="C1514" s="20" t="s">
        <v>6893</v>
      </c>
      <c r="D1514" s="21"/>
      <c r="E1514" s="41"/>
      <c r="H1514" s="78"/>
      <c r="I1514" s="21"/>
      <c r="J1514" s="25"/>
      <c r="K1514" s="26" t="s">
        <v>44</v>
      </c>
      <c r="L1514" s="16"/>
      <c r="M1514" s="21"/>
    </row>
    <row r="1515">
      <c r="A1515" s="28">
        <v>46232.0</v>
      </c>
      <c r="B1515" s="16" t="s">
        <v>6894</v>
      </c>
      <c r="C1515" s="20" t="s">
        <v>6895</v>
      </c>
      <c r="D1515" s="21"/>
      <c r="E1515" s="22" t="s">
        <v>6896</v>
      </c>
      <c r="H1515" s="78"/>
      <c r="I1515" s="21"/>
      <c r="J1515" s="25"/>
      <c r="K1515" s="26" t="s">
        <v>44</v>
      </c>
      <c r="L1515" s="16"/>
      <c r="M1515" s="21"/>
    </row>
    <row r="1516">
      <c r="A1516" s="28">
        <v>46232.0</v>
      </c>
      <c r="B1516" s="16" t="s">
        <v>6897</v>
      </c>
      <c r="C1516" s="20" t="s">
        <v>6898</v>
      </c>
      <c r="D1516" s="21"/>
      <c r="E1516" s="22" t="s">
        <v>6899</v>
      </c>
      <c r="H1516" s="78"/>
      <c r="I1516" s="21"/>
      <c r="J1516" s="25"/>
      <c r="K1516" s="26" t="s">
        <v>44</v>
      </c>
      <c r="L1516" s="16"/>
      <c r="M1516" s="21"/>
    </row>
    <row r="1517">
      <c r="A1517" s="28">
        <v>46232.0</v>
      </c>
      <c r="B1517" s="16" t="s">
        <v>6900</v>
      </c>
      <c r="C1517" s="20" t="s">
        <v>6901</v>
      </c>
      <c r="D1517" s="21"/>
      <c r="E1517" s="22" t="s">
        <v>6902</v>
      </c>
      <c r="H1517" s="78"/>
      <c r="I1517" s="21"/>
      <c r="J1517" s="25"/>
      <c r="K1517" s="26" t="s">
        <v>44</v>
      </c>
      <c r="L1517" s="16"/>
      <c r="M1517" s="21"/>
    </row>
    <row r="1518">
      <c r="A1518" s="28">
        <v>46232.0</v>
      </c>
      <c r="B1518" s="16" t="s">
        <v>6903</v>
      </c>
      <c r="C1518" s="20" t="s">
        <v>6904</v>
      </c>
      <c r="D1518" s="21"/>
      <c r="E1518" s="22" t="s">
        <v>6905</v>
      </c>
      <c r="H1518" s="78"/>
      <c r="I1518" s="21"/>
      <c r="J1518" s="25"/>
      <c r="K1518" s="26" t="s">
        <v>44</v>
      </c>
      <c r="L1518" s="16"/>
      <c r="M1518" s="21"/>
    </row>
    <row r="1519">
      <c r="A1519" s="28">
        <v>46232.0</v>
      </c>
      <c r="B1519" s="16" t="s">
        <v>6906</v>
      </c>
      <c r="C1519" s="20" t="s">
        <v>6907</v>
      </c>
      <c r="D1519" s="21"/>
      <c r="E1519" s="22" t="s">
        <v>6908</v>
      </c>
      <c r="H1519" s="78"/>
      <c r="I1519" s="21"/>
      <c r="J1519" s="25"/>
      <c r="K1519" s="26" t="s">
        <v>44</v>
      </c>
      <c r="L1519" s="16"/>
      <c r="M1519" s="21"/>
    </row>
    <row r="1520">
      <c r="A1520" s="28">
        <v>46232.0</v>
      </c>
      <c r="B1520" s="16" t="s">
        <v>6909</v>
      </c>
      <c r="C1520" s="20" t="s">
        <v>6910</v>
      </c>
      <c r="D1520" s="21"/>
      <c r="E1520" s="22" t="s">
        <v>6911</v>
      </c>
      <c r="H1520" s="78"/>
      <c r="I1520" s="21"/>
      <c r="J1520" s="25"/>
      <c r="K1520" s="26" t="s">
        <v>44</v>
      </c>
      <c r="L1520" s="16"/>
      <c r="M1520" s="21"/>
    </row>
    <row r="1521">
      <c r="A1521" s="28">
        <v>46232.0</v>
      </c>
      <c r="B1521" s="16" t="s">
        <v>6912</v>
      </c>
      <c r="C1521" s="20" t="s">
        <v>6913</v>
      </c>
      <c r="D1521" s="21"/>
      <c r="E1521" s="22" t="s">
        <v>6914</v>
      </c>
      <c r="H1521" s="78"/>
      <c r="I1521" s="21"/>
      <c r="J1521" s="25"/>
      <c r="K1521" s="26" t="s">
        <v>44</v>
      </c>
      <c r="L1521" s="16"/>
      <c r="M1521" s="21"/>
    </row>
    <row r="1522">
      <c r="A1522" s="28">
        <v>46232.0</v>
      </c>
      <c r="B1522" s="16" t="s">
        <v>6915</v>
      </c>
      <c r="C1522" s="20" t="s">
        <v>6916</v>
      </c>
      <c r="D1522" s="21"/>
      <c r="E1522" s="22" t="s">
        <v>6917</v>
      </c>
      <c r="H1522" s="78"/>
      <c r="I1522" s="21"/>
      <c r="J1522" s="25"/>
      <c r="K1522" s="26" t="s">
        <v>44</v>
      </c>
      <c r="L1522" s="16"/>
      <c r="M1522" s="21"/>
    </row>
    <row r="1523">
      <c r="A1523" s="28">
        <v>46232.0</v>
      </c>
      <c r="B1523" s="16" t="s">
        <v>6918</v>
      </c>
      <c r="C1523" s="20" t="s">
        <v>6919</v>
      </c>
      <c r="D1523" s="21"/>
      <c r="E1523" s="22" t="s">
        <v>6920</v>
      </c>
      <c r="H1523" s="78"/>
      <c r="I1523" s="21"/>
      <c r="J1523" s="25"/>
      <c r="K1523" s="26" t="s">
        <v>44</v>
      </c>
      <c r="L1523" s="16"/>
      <c r="M1523" s="21"/>
    </row>
    <row r="1524">
      <c r="A1524" s="28">
        <v>46232.0</v>
      </c>
      <c r="B1524" s="16" t="s">
        <v>6921</v>
      </c>
      <c r="C1524" s="20" t="s">
        <v>6922</v>
      </c>
      <c r="D1524" s="21"/>
      <c r="E1524" s="22" t="s">
        <v>6923</v>
      </c>
      <c r="H1524" s="78"/>
      <c r="I1524" s="21"/>
      <c r="J1524" s="25"/>
      <c r="K1524" s="26" t="s">
        <v>44</v>
      </c>
      <c r="L1524" s="16"/>
      <c r="M1524" s="21"/>
    </row>
    <row r="1525">
      <c r="A1525" s="28">
        <v>46232.0</v>
      </c>
      <c r="B1525" s="16" t="s">
        <v>6924</v>
      </c>
      <c r="C1525" s="20" t="s">
        <v>6925</v>
      </c>
      <c r="D1525" s="21"/>
      <c r="E1525" s="22" t="s">
        <v>6926</v>
      </c>
      <c r="H1525" s="78"/>
      <c r="I1525" s="21"/>
      <c r="J1525" s="25"/>
      <c r="K1525" s="26" t="s">
        <v>44</v>
      </c>
      <c r="L1525" s="16"/>
      <c r="M1525" s="21"/>
    </row>
    <row r="1526">
      <c r="A1526" s="28">
        <v>46232.0</v>
      </c>
      <c r="B1526" s="16" t="s">
        <v>6927</v>
      </c>
      <c r="C1526" s="20" t="s">
        <v>6928</v>
      </c>
      <c r="D1526" s="21"/>
      <c r="E1526" s="22" t="s">
        <v>6929</v>
      </c>
      <c r="H1526" s="78"/>
      <c r="I1526" s="21"/>
      <c r="J1526" s="25"/>
      <c r="K1526" s="26" t="s">
        <v>44</v>
      </c>
      <c r="L1526" s="16"/>
      <c r="M1526" s="21"/>
    </row>
    <row r="1527">
      <c r="A1527" s="28">
        <v>46232.0</v>
      </c>
      <c r="B1527" s="16" t="s">
        <v>6930</v>
      </c>
      <c r="C1527" s="20" t="s">
        <v>6931</v>
      </c>
      <c r="D1527" s="21"/>
      <c r="E1527" s="22" t="s">
        <v>6932</v>
      </c>
      <c r="H1527" s="78"/>
      <c r="I1527" s="21"/>
      <c r="J1527" s="25"/>
      <c r="K1527" s="26" t="s">
        <v>44</v>
      </c>
      <c r="L1527" s="16"/>
      <c r="M1527" s="21"/>
    </row>
    <row r="1528">
      <c r="A1528" s="28">
        <v>46232.0</v>
      </c>
      <c r="B1528" s="16" t="s">
        <v>6933</v>
      </c>
      <c r="C1528" s="20" t="s">
        <v>6934</v>
      </c>
      <c r="D1528" s="21"/>
      <c r="E1528" s="22" t="s">
        <v>6935</v>
      </c>
      <c r="H1528" s="78"/>
      <c r="I1528" s="21"/>
      <c r="J1528" s="25"/>
      <c r="K1528" s="26" t="s">
        <v>44</v>
      </c>
      <c r="L1528" s="16"/>
      <c r="M1528" s="21"/>
    </row>
    <row r="1529">
      <c r="A1529" s="28">
        <v>46232.0</v>
      </c>
      <c r="B1529" s="16" t="s">
        <v>6936</v>
      </c>
      <c r="C1529" s="20" t="s">
        <v>6937</v>
      </c>
      <c r="D1529" s="21"/>
      <c r="E1529" s="41"/>
      <c r="H1529" s="78"/>
      <c r="I1529" s="21"/>
      <c r="J1529" s="25"/>
      <c r="K1529" s="26" t="s">
        <v>44</v>
      </c>
      <c r="L1529" s="16"/>
      <c r="M1529" s="21"/>
    </row>
    <row r="1530">
      <c r="A1530" s="28">
        <v>46232.0</v>
      </c>
      <c r="B1530" s="16" t="s">
        <v>6938</v>
      </c>
      <c r="C1530" s="20" t="s">
        <v>6939</v>
      </c>
      <c r="D1530" s="21"/>
      <c r="E1530" s="22" t="s">
        <v>6940</v>
      </c>
      <c r="H1530" s="78"/>
      <c r="I1530" s="21"/>
      <c r="J1530" s="25"/>
      <c r="K1530" s="26" t="s">
        <v>44</v>
      </c>
      <c r="L1530" s="16"/>
      <c r="M1530" s="21"/>
    </row>
    <row r="1531">
      <c r="A1531" s="28">
        <v>46232.0</v>
      </c>
      <c r="B1531" s="16" t="s">
        <v>6941</v>
      </c>
      <c r="C1531" s="20" t="s">
        <v>6942</v>
      </c>
      <c r="D1531" s="21"/>
      <c r="E1531" s="22" t="s">
        <v>6943</v>
      </c>
      <c r="H1531" s="78"/>
      <c r="I1531" s="21"/>
      <c r="J1531" s="25"/>
      <c r="K1531" s="26" t="s">
        <v>44</v>
      </c>
      <c r="L1531" s="16"/>
      <c r="M1531" s="21"/>
    </row>
    <row r="1532">
      <c r="A1532" s="28">
        <v>46232.0</v>
      </c>
      <c r="B1532" s="16" t="s">
        <v>6944</v>
      </c>
      <c r="C1532" s="20" t="s">
        <v>6945</v>
      </c>
      <c r="D1532" s="21"/>
      <c r="E1532" s="22" t="s">
        <v>6946</v>
      </c>
      <c r="H1532" s="78"/>
      <c r="I1532" s="21"/>
      <c r="J1532" s="25"/>
      <c r="K1532" s="26" t="s">
        <v>44</v>
      </c>
      <c r="L1532" s="16"/>
      <c r="M1532" s="21"/>
    </row>
    <row r="1533">
      <c r="A1533" s="28">
        <v>46232.0</v>
      </c>
      <c r="B1533" s="16" t="s">
        <v>6947</v>
      </c>
      <c r="C1533" s="20" t="s">
        <v>6948</v>
      </c>
      <c r="D1533" s="21"/>
      <c r="E1533" s="22" t="s">
        <v>6949</v>
      </c>
      <c r="H1533" s="78"/>
      <c r="I1533" s="21"/>
      <c r="J1533" s="25"/>
      <c r="K1533" s="26" t="s">
        <v>44</v>
      </c>
      <c r="L1533" s="16"/>
      <c r="M1533" s="21"/>
    </row>
    <row r="1534">
      <c r="A1534" s="28">
        <v>46232.0</v>
      </c>
      <c r="B1534" s="16" t="s">
        <v>6950</v>
      </c>
      <c r="C1534" s="20" t="s">
        <v>6951</v>
      </c>
      <c r="D1534" s="21"/>
      <c r="E1534" s="22" t="s">
        <v>6952</v>
      </c>
      <c r="H1534" s="78"/>
      <c r="I1534" s="21"/>
      <c r="J1534" s="25"/>
      <c r="K1534" s="26" t="s">
        <v>44</v>
      </c>
      <c r="L1534" s="16"/>
      <c r="M1534" s="21"/>
    </row>
    <row r="1535">
      <c r="A1535" s="28">
        <v>46232.0</v>
      </c>
      <c r="B1535" s="16" t="s">
        <v>6953</v>
      </c>
      <c r="C1535" s="46" t="s">
        <v>6954</v>
      </c>
      <c r="D1535" s="21"/>
      <c r="E1535" s="22" t="s">
        <v>6955</v>
      </c>
      <c r="H1535" s="78"/>
      <c r="I1535" s="21"/>
      <c r="J1535" s="25"/>
      <c r="K1535" s="26" t="s">
        <v>44</v>
      </c>
      <c r="L1535" s="16"/>
      <c r="M1535" s="21"/>
    </row>
    <row r="1536">
      <c r="A1536" s="28">
        <v>46232.0</v>
      </c>
      <c r="B1536" s="16" t="s">
        <v>6956</v>
      </c>
      <c r="C1536" s="20" t="s">
        <v>6957</v>
      </c>
      <c r="D1536" s="21"/>
      <c r="E1536" s="22" t="s">
        <v>6958</v>
      </c>
      <c r="H1536" s="78"/>
      <c r="I1536" s="21"/>
      <c r="J1536" s="25"/>
      <c r="K1536" s="26" t="s">
        <v>44</v>
      </c>
      <c r="L1536" s="16"/>
      <c r="M1536" s="21"/>
    </row>
    <row r="1537">
      <c r="A1537" s="28">
        <v>46232.0</v>
      </c>
      <c r="B1537" s="16" t="s">
        <v>6959</v>
      </c>
      <c r="C1537" s="20" t="s">
        <v>6960</v>
      </c>
      <c r="D1537" s="21"/>
      <c r="E1537" s="22" t="s">
        <v>6961</v>
      </c>
      <c r="H1537" s="78"/>
      <c r="I1537" s="21"/>
      <c r="J1537" s="25"/>
      <c r="K1537" s="26" t="s">
        <v>44</v>
      </c>
      <c r="L1537" s="16"/>
      <c r="M1537" s="21"/>
    </row>
    <row r="1538">
      <c r="A1538" s="28">
        <v>46232.0</v>
      </c>
      <c r="B1538" s="16" t="s">
        <v>6962</v>
      </c>
      <c r="C1538" s="20" t="s">
        <v>6963</v>
      </c>
      <c r="D1538" s="21"/>
      <c r="E1538" s="22" t="s">
        <v>6964</v>
      </c>
      <c r="H1538" s="78"/>
      <c r="I1538" s="21"/>
      <c r="J1538" s="25"/>
      <c r="K1538" s="26" t="s">
        <v>44</v>
      </c>
      <c r="L1538" s="16"/>
      <c r="M1538" s="21"/>
    </row>
    <row r="1539">
      <c r="A1539" s="28">
        <v>46232.0</v>
      </c>
      <c r="B1539" s="16" t="s">
        <v>6965</v>
      </c>
      <c r="C1539" s="20" t="s">
        <v>6966</v>
      </c>
      <c r="D1539" s="21"/>
      <c r="E1539" s="22" t="s">
        <v>6967</v>
      </c>
      <c r="H1539" s="78"/>
      <c r="I1539" s="21"/>
      <c r="J1539" s="25"/>
      <c r="K1539" s="26" t="s">
        <v>44</v>
      </c>
      <c r="L1539" s="16"/>
      <c r="M1539" s="21"/>
    </row>
    <row r="1540">
      <c r="A1540" s="28">
        <v>46232.0</v>
      </c>
      <c r="B1540" s="16" t="s">
        <v>6968</v>
      </c>
      <c r="C1540" s="20" t="s">
        <v>6969</v>
      </c>
      <c r="D1540" s="21"/>
      <c r="E1540" s="22" t="s">
        <v>6970</v>
      </c>
      <c r="H1540" s="78"/>
      <c r="I1540" s="21"/>
      <c r="J1540" s="25"/>
      <c r="K1540" s="26" t="s">
        <v>44</v>
      </c>
      <c r="L1540" s="16"/>
      <c r="M1540" s="21"/>
    </row>
    <row r="1541">
      <c r="A1541" s="28">
        <v>46232.0</v>
      </c>
      <c r="B1541" s="16" t="s">
        <v>6971</v>
      </c>
      <c r="C1541" s="20" t="s">
        <v>6972</v>
      </c>
      <c r="D1541" s="21"/>
      <c r="E1541" s="22" t="s">
        <v>6973</v>
      </c>
      <c r="H1541" s="78"/>
      <c r="I1541" s="21"/>
      <c r="J1541" s="25"/>
      <c r="K1541" s="26" t="s">
        <v>44</v>
      </c>
      <c r="L1541" s="16"/>
      <c r="M1541" s="21"/>
    </row>
    <row r="1542">
      <c r="A1542" s="28">
        <v>46232.0</v>
      </c>
      <c r="B1542" s="16" t="s">
        <v>6974</v>
      </c>
      <c r="C1542" s="20" t="s">
        <v>6975</v>
      </c>
      <c r="D1542" s="21"/>
      <c r="E1542" s="22" t="s">
        <v>6976</v>
      </c>
      <c r="H1542" s="78"/>
      <c r="I1542" s="21"/>
      <c r="J1542" s="25"/>
      <c r="K1542" s="26" t="s">
        <v>44</v>
      </c>
      <c r="L1542" s="16"/>
      <c r="M1542" s="21"/>
    </row>
    <row r="1543">
      <c r="A1543" s="28">
        <v>46232.0</v>
      </c>
      <c r="B1543" s="16" t="s">
        <v>6977</v>
      </c>
      <c r="C1543" s="20" t="s">
        <v>6978</v>
      </c>
      <c r="D1543" s="21"/>
      <c r="E1543" s="22" t="s">
        <v>6979</v>
      </c>
      <c r="H1543" s="78"/>
      <c r="I1543" s="21"/>
      <c r="J1543" s="25"/>
      <c r="K1543" s="26" t="s">
        <v>44</v>
      </c>
      <c r="L1543" s="16"/>
      <c r="M1543" s="21"/>
    </row>
    <row r="1544">
      <c r="A1544" s="28">
        <v>46232.0</v>
      </c>
      <c r="B1544" s="16" t="s">
        <v>6980</v>
      </c>
      <c r="C1544" s="20" t="s">
        <v>6981</v>
      </c>
      <c r="D1544" s="21"/>
      <c r="E1544" s="22" t="s">
        <v>6982</v>
      </c>
      <c r="H1544" s="78"/>
      <c r="I1544" s="21"/>
      <c r="J1544" s="25"/>
      <c r="K1544" s="26" t="s">
        <v>44</v>
      </c>
      <c r="L1544" s="16"/>
      <c r="M1544" s="21"/>
    </row>
    <row r="1545">
      <c r="A1545" s="28">
        <v>46232.0</v>
      </c>
      <c r="B1545" s="16" t="s">
        <v>6983</v>
      </c>
      <c r="C1545" s="20" t="s">
        <v>6984</v>
      </c>
      <c r="D1545" s="21"/>
      <c r="E1545" s="22" t="s">
        <v>6985</v>
      </c>
      <c r="H1545" s="78"/>
      <c r="I1545" s="21"/>
      <c r="J1545" s="25"/>
      <c r="K1545" s="26" t="s">
        <v>44</v>
      </c>
      <c r="L1545" s="16"/>
      <c r="M1545" s="21"/>
    </row>
    <row r="1546">
      <c r="A1546" s="28">
        <v>46232.0</v>
      </c>
      <c r="B1546" s="16" t="s">
        <v>6986</v>
      </c>
      <c r="C1546" s="20" t="s">
        <v>6987</v>
      </c>
      <c r="D1546" s="21"/>
      <c r="E1546" s="22" t="s">
        <v>6988</v>
      </c>
      <c r="H1546" s="78"/>
      <c r="I1546" s="21"/>
      <c r="J1546" s="25"/>
      <c r="K1546" s="26" t="s">
        <v>44</v>
      </c>
      <c r="L1546" s="16"/>
      <c r="M1546" s="21"/>
    </row>
    <row r="1547">
      <c r="A1547" s="28">
        <v>46232.0</v>
      </c>
      <c r="B1547" s="16" t="s">
        <v>6989</v>
      </c>
      <c r="C1547" s="20" t="s">
        <v>6990</v>
      </c>
      <c r="D1547" s="21"/>
      <c r="E1547" s="22" t="s">
        <v>6991</v>
      </c>
      <c r="H1547" s="78"/>
      <c r="I1547" s="21"/>
      <c r="J1547" s="25"/>
      <c r="K1547" s="26" t="s">
        <v>44</v>
      </c>
      <c r="L1547" s="16"/>
      <c r="M1547" s="21"/>
    </row>
    <row r="1548">
      <c r="A1548" s="28">
        <v>46232.0</v>
      </c>
      <c r="B1548" s="16" t="s">
        <v>6992</v>
      </c>
      <c r="C1548" s="20" t="s">
        <v>6993</v>
      </c>
      <c r="D1548" s="21"/>
      <c r="E1548" s="22" t="s">
        <v>6994</v>
      </c>
      <c r="H1548" s="78"/>
      <c r="I1548" s="21"/>
      <c r="J1548" s="25"/>
      <c r="K1548" s="26" t="s">
        <v>44</v>
      </c>
      <c r="L1548" s="16"/>
      <c r="M1548" s="21"/>
    </row>
    <row r="1549">
      <c r="A1549" s="28">
        <v>46232.0</v>
      </c>
      <c r="B1549" s="16" t="s">
        <v>6995</v>
      </c>
      <c r="C1549" s="20" t="s">
        <v>6996</v>
      </c>
      <c r="D1549" s="21"/>
      <c r="E1549" s="22" t="s">
        <v>6997</v>
      </c>
      <c r="H1549" s="78"/>
      <c r="I1549" s="21"/>
      <c r="J1549" s="25"/>
      <c r="K1549" s="26" t="s">
        <v>44</v>
      </c>
      <c r="L1549" s="16"/>
      <c r="M1549" s="21"/>
    </row>
    <row r="1550">
      <c r="A1550" s="28">
        <v>46232.0</v>
      </c>
      <c r="B1550" s="16" t="s">
        <v>6998</v>
      </c>
      <c r="C1550" s="20" t="s">
        <v>6999</v>
      </c>
      <c r="D1550" s="21"/>
      <c r="E1550" s="22" t="s">
        <v>7000</v>
      </c>
      <c r="H1550" s="78"/>
      <c r="I1550" s="21"/>
      <c r="J1550" s="25"/>
      <c r="K1550" s="26" t="s">
        <v>44</v>
      </c>
      <c r="L1550" s="16"/>
      <c r="M1550" s="21"/>
    </row>
    <row r="1551">
      <c r="A1551" s="28">
        <v>46232.0</v>
      </c>
      <c r="B1551" s="16" t="s">
        <v>7001</v>
      </c>
      <c r="C1551" s="20" t="s">
        <v>7002</v>
      </c>
      <c r="D1551" s="21"/>
      <c r="E1551" s="22" t="s">
        <v>7003</v>
      </c>
      <c r="H1551" s="78"/>
      <c r="I1551" s="21"/>
      <c r="J1551" s="25"/>
      <c r="K1551" s="26" t="s">
        <v>44</v>
      </c>
      <c r="L1551" s="16"/>
      <c r="M1551" s="21"/>
    </row>
    <row r="1552">
      <c r="A1552" s="28">
        <v>46232.0</v>
      </c>
      <c r="B1552" s="16" t="s">
        <v>7004</v>
      </c>
      <c r="C1552" s="20" t="s">
        <v>7005</v>
      </c>
      <c r="D1552" s="21"/>
      <c r="E1552" s="22" t="s">
        <v>7006</v>
      </c>
      <c r="H1552" s="78"/>
      <c r="I1552" s="21"/>
      <c r="J1552" s="25"/>
      <c r="K1552" s="26" t="s">
        <v>44</v>
      </c>
      <c r="L1552" s="16"/>
      <c r="M1552" s="21"/>
    </row>
    <row r="1553">
      <c r="A1553" s="28">
        <v>46232.0</v>
      </c>
      <c r="B1553" s="16" t="s">
        <v>7007</v>
      </c>
      <c r="C1553" s="20" t="s">
        <v>7008</v>
      </c>
      <c r="D1553" s="21"/>
      <c r="E1553" s="22" t="s">
        <v>7009</v>
      </c>
      <c r="H1553" s="78"/>
      <c r="I1553" s="21"/>
      <c r="J1553" s="25"/>
      <c r="K1553" s="26" t="s">
        <v>44</v>
      </c>
      <c r="L1553" s="16"/>
      <c r="M1553" s="21"/>
    </row>
    <row r="1554">
      <c r="A1554" s="28">
        <v>46232.0</v>
      </c>
      <c r="B1554" s="16" t="s">
        <v>7010</v>
      </c>
      <c r="C1554" s="20" t="s">
        <v>7011</v>
      </c>
      <c r="D1554" s="21"/>
      <c r="E1554" s="22" t="s">
        <v>7012</v>
      </c>
      <c r="H1554" s="78"/>
      <c r="I1554" s="21"/>
      <c r="J1554" s="25"/>
      <c r="K1554" s="26" t="s">
        <v>44</v>
      </c>
      <c r="L1554" s="16"/>
      <c r="M1554" s="21"/>
    </row>
    <row r="1555">
      <c r="A1555" s="28">
        <v>46232.0</v>
      </c>
      <c r="B1555" s="16" t="s">
        <v>7013</v>
      </c>
      <c r="C1555" s="20" t="s">
        <v>7014</v>
      </c>
      <c r="D1555" s="21"/>
      <c r="E1555" s="22" t="s">
        <v>7015</v>
      </c>
      <c r="H1555" s="78"/>
      <c r="I1555" s="21"/>
      <c r="J1555" s="25"/>
      <c r="K1555" s="26" t="s">
        <v>44</v>
      </c>
      <c r="L1555" s="16"/>
      <c r="M1555" s="21"/>
    </row>
    <row r="1556">
      <c r="A1556" s="28">
        <v>46232.0</v>
      </c>
      <c r="B1556" s="16" t="s">
        <v>7016</v>
      </c>
      <c r="C1556" s="20" t="s">
        <v>7017</v>
      </c>
      <c r="D1556" s="21"/>
      <c r="E1556" s="22" t="s">
        <v>7018</v>
      </c>
      <c r="H1556" s="78"/>
      <c r="I1556" s="21"/>
      <c r="J1556" s="25"/>
      <c r="K1556" s="26" t="s">
        <v>44</v>
      </c>
      <c r="L1556" s="16"/>
      <c r="M1556" s="21"/>
    </row>
    <row r="1557">
      <c r="A1557" s="28">
        <v>46232.0</v>
      </c>
      <c r="B1557" s="16" t="s">
        <v>7019</v>
      </c>
      <c r="C1557" s="20" t="s">
        <v>7020</v>
      </c>
      <c r="D1557" s="21"/>
      <c r="E1557" s="22" t="s">
        <v>7021</v>
      </c>
      <c r="H1557" s="78"/>
      <c r="I1557" s="21"/>
      <c r="J1557" s="25"/>
      <c r="K1557" s="26" t="s">
        <v>44</v>
      </c>
      <c r="L1557" s="16"/>
      <c r="M1557" s="21"/>
    </row>
    <row r="1558">
      <c r="A1558" s="28">
        <v>46232.0</v>
      </c>
      <c r="B1558" s="16" t="s">
        <v>7022</v>
      </c>
      <c r="C1558" s="20" t="s">
        <v>7023</v>
      </c>
      <c r="D1558" s="21"/>
      <c r="E1558" s="22" t="s">
        <v>7024</v>
      </c>
      <c r="H1558" s="78"/>
      <c r="I1558" s="21"/>
      <c r="J1558" s="25"/>
      <c r="K1558" s="26" t="s">
        <v>44</v>
      </c>
      <c r="L1558" s="16"/>
      <c r="M1558" s="21"/>
    </row>
    <row r="1559">
      <c r="A1559" s="28">
        <v>46232.0</v>
      </c>
      <c r="B1559" s="16" t="s">
        <v>7025</v>
      </c>
      <c r="C1559" s="20" t="s">
        <v>7026</v>
      </c>
      <c r="D1559" s="21"/>
      <c r="E1559" s="22" t="s">
        <v>7027</v>
      </c>
      <c r="H1559" s="78"/>
      <c r="I1559" s="21"/>
      <c r="J1559" s="25"/>
      <c r="K1559" s="26" t="s">
        <v>44</v>
      </c>
      <c r="L1559" s="16"/>
      <c r="M1559" s="21"/>
    </row>
    <row r="1560">
      <c r="A1560" s="28">
        <v>46232.0</v>
      </c>
      <c r="B1560" s="16" t="s">
        <v>7028</v>
      </c>
      <c r="C1560" s="20" t="s">
        <v>7029</v>
      </c>
      <c r="D1560" s="21"/>
      <c r="E1560" s="22" t="s">
        <v>7030</v>
      </c>
      <c r="H1560" s="78"/>
      <c r="I1560" s="21"/>
      <c r="J1560" s="25"/>
      <c r="K1560" s="26" t="s">
        <v>44</v>
      </c>
      <c r="L1560" s="16"/>
      <c r="M1560" s="21"/>
    </row>
    <row r="1561">
      <c r="A1561" s="28">
        <v>46232.0</v>
      </c>
      <c r="B1561" s="16" t="s">
        <v>7031</v>
      </c>
      <c r="C1561" s="20" t="s">
        <v>7032</v>
      </c>
      <c r="D1561" s="21"/>
      <c r="E1561" s="22" t="s">
        <v>7033</v>
      </c>
      <c r="H1561" s="78"/>
      <c r="I1561" s="21"/>
      <c r="J1561" s="25"/>
      <c r="K1561" s="26" t="s">
        <v>44</v>
      </c>
      <c r="L1561" s="16"/>
      <c r="M1561" s="21"/>
    </row>
    <row r="1562">
      <c r="A1562" s="28">
        <v>46232.0</v>
      </c>
      <c r="B1562" s="16" t="s">
        <v>7034</v>
      </c>
      <c r="C1562" s="46" t="s">
        <v>7035</v>
      </c>
      <c r="D1562" s="21"/>
      <c r="E1562" s="22" t="s">
        <v>7036</v>
      </c>
      <c r="H1562" s="78"/>
      <c r="I1562" s="21"/>
      <c r="J1562" s="25"/>
      <c r="K1562" s="26" t="s">
        <v>44</v>
      </c>
      <c r="L1562" s="16"/>
      <c r="M1562" s="21"/>
    </row>
    <row r="1563">
      <c r="A1563" s="28">
        <v>46232.0</v>
      </c>
      <c r="B1563" s="16" t="s">
        <v>7037</v>
      </c>
      <c r="C1563" s="20" t="s">
        <v>7038</v>
      </c>
      <c r="D1563" s="21"/>
      <c r="E1563" s="22" t="s">
        <v>7039</v>
      </c>
      <c r="H1563" s="78"/>
      <c r="I1563" s="21"/>
      <c r="J1563" s="25"/>
      <c r="K1563" s="26" t="s">
        <v>44</v>
      </c>
      <c r="L1563" s="16"/>
      <c r="M1563" s="21"/>
    </row>
    <row r="1564">
      <c r="A1564" s="28">
        <v>46232.0</v>
      </c>
      <c r="B1564" s="16" t="s">
        <v>7040</v>
      </c>
      <c r="C1564" s="20" t="s">
        <v>7041</v>
      </c>
      <c r="D1564" s="21"/>
      <c r="E1564" s="22" t="s">
        <v>7042</v>
      </c>
      <c r="H1564" s="78"/>
      <c r="I1564" s="21"/>
      <c r="J1564" s="25"/>
      <c r="K1564" s="26" t="s">
        <v>44</v>
      </c>
      <c r="L1564" s="16"/>
      <c r="M1564" s="21"/>
    </row>
    <row r="1565">
      <c r="A1565" s="28">
        <v>46232.0</v>
      </c>
      <c r="B1565" s="16" t="s">
        <v>7043</v>
      </c>
      <c r="C1565" s="20" t="s">
        <v>7044</v>
      </c>
      <c r="D1565" s="21"/>
      <c r="E1565" s="22" t="s">
        <v>7045</v>
      </c>
      <c r="H1565" s="78"/>
      <c r="I1565" s="21"/>
      <c r="J1565" s="25"/>
      <c r="K1565" s="26" t="s">
        <v>44</v>
      </c>
      <c r="L1565" s="16"/>
      <c r="M1565" s="21"/>
    </row>
    <row r="1566">
      <c r="A1566" s="28">
        <v>46232.0</v>
      </c>
      <c r="B1566" s="16" t="s">
        <v>7046</v>
      </c>
      <c r="C1566" s="20" t="s">
        <v>7047</v>
      </c>
      <c r="D1566" s="21"/>
      <c r="E1566" s="22" t="s">
        <v>7048</v>
      </c>
      <c r="H1566" s="78"/>
      <c r="I1566" s="21"/>
      <c r="J1566" s="25"/>
      <c r="K1566" s="26" t="s">
        <v>44</v>
      </c>
      <c r="L1566" s="16"/>
      <c r="M1566" s="21"/>
    </row>
    <row r="1567">
      <c r="A1567" s="28">
        <v>46232.0</v>
      </c>
      <c r="B1567" s="16" t="s">
        <v>7049</v>
      </c>
      <c r="C1567" s="20" t="s">
        <v>7050</v>
      </c>
      <c r="D1567" s="21"/>
      <c r="E1567" s="22" t="s">
        <v>7051</v>
      </c>
      <c r="H1567" s="78"/>
      <c r="I1567" s="21"/>
      <c r="J1567" s="25"/>
      <c r="K1567" s="26" t="s">
        <v>44</v>
      </c>
      <c r="L1567" s="16"/>
      <c r="M1567" s="21"/>
    </row>
    <row r="1568">
      <c r="A1568" s="28">
        <v>46232.0</v>
      </c>
      <c r="B1568" s="16" t="s">
        <v>7052</v>
      </c>
      <c r="C1568" s="20" t="s">
        <v>7053</v>
      </c>
      <c r="D1568" s="21"/>
      <c r="E1568" s="22" t="s">
        <v>7054</v>
      </c>
      <c r="H1568" s="78"/>
      <c r="I1568" s="21"/>
      <c r="J1568" s="25"/>
      <c r="K1568" s="26" t="s">
        <v>44</v>
      </c>
      <c r="L1568" s="16"/>
      <c r="M1568" s="21"/>
    </row>
    <row r="1569">
      <c r="A1569" s="28">
        <v>46232.0</v>
      </c>
      <c r="B1569" s="16" t="s">
        <v>7055</v>
      </c>
      <c r="C1569" s="20" t="s">
        <v>7056</v>
      </c>
      <c r="D1569" s="21"/>
      <c r="E1569" s="22" t="s">
        <v>7057</v>
      </c>
      <c r="H1569" s="78"/>
      <c r="I1569" s="21"/>
      <c r="J1569" s="25"/>
      <c r="K1569" s="26" t="s">
        <v>44</v>
      </c>
      <c r="L1569" s="16"/>
      <c r="M1569" s="21"/>
    </row>
    <row r="1570">
      <c r="A1570" s="28">
        <v>46232.0</v>
      </c>
      <c r="B1570" s="16" t="s">
        <v>7058</v>
      </c>
      <c r="C1570" s="20" t="s">
        <v>7059</v>
      </c>
      <c r="D1570" s="21"/>
      <c r="E1570" s="22" t="s">
        <v>7060</v>
      </c>
      <c r="H1570" s="78"/>
      <c r="I1570" s="21"/>
      <c r="J1570" s="25"/>
      <c r="K1570" s="26" t="s">
        <v>44</v>
      </c>
      <c r="L1570" s="16"/>
      <c r="M1570" s="21"/>
    </row>
    <row r="1571">
      <c r="A1571" s="28">
        <v>46232.0</v>
      </c>
      <c r="B1571" s="16" t="s">
        <v>7061</v>
      </c>
      <c r="C1571" s="20" t="s">
        <v>7062</v>
      </c>
      <c r="D1571" s="21"/>
      <c r="E1571" s="22" t="s">
        <v>7063</v>
      </c>
      <c r="H1571" s="78"/>
      <c r="I1571" s="21"/>
      <c r="J1571" s="25"/>
      <c r="K1571" s="26" t="s">
        <v>44</v>
      </c>
      <c r="L1571" s="16"/>
      <c r="M1571" s="21"/>
    </row>
    <row r="1572">
      <c r="A1572" s="28">
        <v>46232.0</v>
      </c>
      <c r="B1572" s="16" t="s">
        <v>7064</v>
      </c>
      <c r="C1572" s="20" t="s">
        <v>7065</v>
      </c>
      <c r="D1572" s="21"/>
      <c r="E1572" s="22" t="s">
        <v>7066</v>
      </c>
      <c r="H1572" s="78"/>
      <c r="I1572" s="21"/>
      <c r="J1572" s="25"/>
      <c r="K1572" s="26" t="s">
        <v>44</v>
      </c>
      <c r="L1572" s="16"/>
      <c r="M1572" s="21"/>
    </row>
    <row r="1573">
      <c r="A1573" s="28">
        <v>46232.0</v>
      </c>
      <c r="B1573" s="16" t="s">
        <v>7067</v>
      </c>
      <c r="C1573" s="20" t="s">
        <v>7068</v>
      </c>
      <c r="D1573" s="21"/>
      <c r="E1573" s="22" t="s">
        <v>7069</v>
      </c>
      <c r="H1573" s="78"/>
      <c r="I1573" s="21"/>
      <c r="J1573" s="25"/>
      <c r="K1573" s="26" t="s">
        <v>44</v>
      </c>
      <c r="L1573" s="16"/>
      <c r="M1573" s="21"/>
    </row>
    <row r="1574">
      <c r="A1574" s="28">
        <v>46232.0</v>
      </c>
      <c r="B1574" s="16" t="s">
        <v>7070</v>
      </c>
      <c r="C1574" s="20" t="s">
        <v>7071</v>
      </c>
      <c r="D1574" s="21"/>
      <c r="E1574" s="22" t="s">
        <v>7072</v>
      </c>
      <c r="H1574" s="78"/>
      <c r="I1574" s="21"/>
      <c r="J1574" s="25"/>
      <c r="K1574" s="26" t="s">
        <v>44</v>
      </c>
      <c r="L1574" s="16"/>
      <c r="M1574" s="21"/>
    </row>
    <row r="1575">
      <c r="A1575" s="28">
        <v>46232.0</v>
      </c>
      <c r="B1575" s="16" t="s">
        <v>7073</v>
      </c>
      <c r="C1575" s="20" t="s">
        <v>7074</v>
      </c>
      <c r="D1575" s="21"/>
      <c r="E1575" s="22" t="s">
        <v>7075</v>
      </c>
      <c r="H1575" s="78"/>
      <c r="I1575" s="21"/>
      <c r="J1575" s="25"/>
      <c r="K1575" s="26" t="s">
        <v>44</v>
      </c>
      <c r="L1575" s="16"/>
      <c r="M1575" s="21"/>
    </row>
    <row r="1576">
      <c r="A1576" s="28">
        <v>46232.0</v>
      </c>
      <c r="B1576" s="16" t="s">
        <v>7076</v>
      </c>
      <c r="C1576" s="20" t="s">
        <v>7077</v>
      </c>
      <c r="D1576" s="21"/>
      <c r="E1576" s="22" t="s">
        <v>7078</v>
      </c>
      <c r="H1576" s="78"/>
      <c r="I1576" s="21"/>
      <c r="J1576" s="25"/>
      <c r="K1576" s="26" t="s">
        <v>44</v>
      </c>
      <c r="L1576" s="16"/>
      <c r="M1576" s="21"/>
    </row>
    <row r="1577">
      <c r="A1577" s="28">
        <v>46232.0</v>
      </c>
      <c r="B1577" s="16" t="s">
        <v>7079</v>
      </c>
      <c r="C1577" s="20" t="s">
        <v>7080</v>
      </c>
      <c r="D1577" s="21"/>
      <c r="E1577" s="22" t="s">
        <v>7081</v>
      </c>
      <c r="H1577" s="78"/>
      <c r="I1577" s="21"/>
      <c r="J1577" s="25"/>
      <c r="K1577" s="26" t="s">
        <v>44</v>
      </c>
      <c r="L1577" s="16"/>
      <c r="M1577" s="21"/>
    </row>
    <row r="1578">
      <c r="A1578" s="28">
        <v>46232.0</v>
      </c>
      <c r="B1578" s="16" t="s">
        <v>7082</v>
      </c>
      <c r="C1578" s="20" t="s">
        <v>7083</v>
      </c>
      <c r="D1578" s="21"/>
      <c r="E1578" s="22" t="s">
        <v>7084</v>
      </c>
      <c r="H1578" s="78"/>
      <c r="I1578" s="21"/>
      <c r="J1578" s="25"/>
      <c r="K1578" s="26" t="s">
        <v>44</v>
      </c>
      <c r="L1578" s="16"/>
      <c r="M1578" s="21"/>
    </row>
    <row r="1579">
      <c r="A1579" s="28">
        <v>46232.0</v>
      </c>
      <c r="B1579" s="16" t="s">
        <v>7085</v>
      </c>
      <c r="C1579" s="20" t="s">
        <v>7086</v>
      </c>
      <c r="D1579" s="21"/>
      <c r="E1579" s="41"/>
      <c r="H1579" s="78"/>
      <c r="I1579" s="21"/>
      <c r="J1579" s="25"/>
      <c r="K1579" s="26" t="s">
        <v>44</v>
      </c>
      <c r="L1579" s="16"/>
      <c r="M1579" s="21"/>
    </row>
    <row r="1580">
      <c r="A1580" s="28">
        <v>46232.0</v>
      </c>
      <c r="B1580" s="16" t="s">
        <v>7087</v>
      </c>
      <c r="C1580" s="20" t="s">
        <v>7088</v>
      </c>
      <c r="D1580" s="21"/>
      <c r="E1580" s="22" t="s">
        <v>7089</v>
      </c>
      <c r="H1580" s="78"/>
      <c r="I1580" s="21"/>
      <c r="J1580" s="25"/>
      <c r="K1580" s="26" t="s">
        <v>44</v>
      </c>
      <c r="L1580" s="16"/>
      <c r="M1580" s="21"/>
    </row>
    <row r="1581">
      <c r="A1581" s="28">
        <v>46232.0</v>
      </c>
      <c r="B1581" s="16" t="s">
        <v>7090</v>
      </c>
      <c r="C1581" s="20" t="s">
        <v>7091</v>
      </c>
      <c r="D1581" s="21"/>
      <c r="E1581" s="22" t="s">
        <v>7092</v>
      </c>
      <c r="H1581" s="78"/>
      <c r="I1581" s="21"/>
      <c r="J1581" s="25"/>
      <c r="K1581" s="26" t="s">
        <v>44</v>
      </c>
      <c r="L1581" s="16"/>
      <c r="M1581" s="21"/>
    </row>
    <row r="1582">
      <c r="A1582" s="28">
        <v>46232.0</v>
      </c>
      <c r="B1582" s="16" t="s">
        <v>7093</v>
      </c>
      <c r="C1582" s="20" t="s">
        <v>7094</v>
      </c>
      <c r="D1582" s="21"/>
      <c r="E1582" s="22" t="s">
        <v>7095</v>
      </c>
      <c r="H1582" s="78"/>
      <c r="I1582" s="21"/>
      <c r="J1582" s="25"/>
      <c r="K1582" s="26" t="s">
        <v>44</v>
      </c>
      <c r="L1582" s="16"/>
      <c r="M1582" s="21"/>
    </row>
    <row r="1583">
      <c r="A1583" s="28">
        <v>46232.0</v>
      </c>
      <c r="B1583" s="16" t="s">
        <v>7096</v>
      </c>
      <c r="C1583" s="20" t="s">
        <v>7097</v>
      </c>
      <c r="D1583" s="21"/>
      <c r="E1583" s="22" t="s">
        <v>7098</v>
      </c>
      <c r="H1583" s="78"/>
      <c r="I1583" s="21"/>
      <c r="J1583" s="25"/>
      <c r="K1583" s="26" t="s">
        <v>44</v>
      </c>
      <c r="L1583" s="16"/>
      <c r="M1583" s="21"/>
    </row>
    <row r="1584">
      <c r="A1584" s="28">
        <v>46232.0</v>
      </c>
      <c r="B1584" s="16" t="s">
        <v>7099</v>
      </c>
      <c r="C1584" s="20" t="s">
        <v>7100</v>
      </c>
      <c r="D1584" s="21"/>
      <c r="E1584" s="22" t="s">
        <v>7101</v>
      </c>
      <c r="H1584" s="78"/>
      <c r="I1584" s="21"/>
      <c r="J1584" s="25"/>
      <c r="K1584" s="26" t="s">
        <v>44</v>
      </c>
      <c r="L1584" s="16"/>
      <c r="M1584" s="21"/>
    </row>
    <row r="1585">
      <c r="A1585" s="28">
        <v>46232.0</v>
      </c>
      <c r="B1585" s="16" t="s">
        <v>7102</v>
      </c>
      <c r="C1585" s="20" t="s">
        <v>7103</v>
      </c>
      <c r="D1585" s="21"/>
      <c r="E1585" s="22" t="s">
        <v>7104</v>
      </c>
      <c r="H1585" s="78"/>
      <c r="I1585" s="21"/>
      <c r="J1585" s="25"/>
      <c r="K1585" s="26" t="s">
        <v>44</v>
      </c>
      <c r="L1585" s="16"/>
      <c r="M1585" s="21"/>
    </row>
    <row r="1586">
      <c r="A1586" s="28">
        <v>46232.0</v>
      </c>
      <c r="B1586" s="16" t="s">
        <v>7105</v>
      </c>
      <c r="C1586" s="20" t="s">
        <v>7106</v>
      </c>
      <c r="D1586" s="21"/>
      <c r="E1586" s="22" t="s">
        <v>7107</v>
      </c>
      <c r="H1586" s="78"/>
      <c r="I1586" s="21"/>
      <c r="J1586" s="25"/>
      <c r="K1586" s="26" t="s">
        <v>44</v>
      </c>
      <c r="L1586" s="16"/>
      <c r="M1586" s="21"/>
    </row>
    <row r="1587">
      <c r="A1587" s="28">
        <v>46232.0</v>
      </c>
      <c r="B1587" s="16" t="s">
        <v>7108</v>
      </c>
      <c r="C1587" s="20" t="s">
        <v>7109</v>
      </c>
      <c r="D1587" s="21"/>
      <c r="E1587" s="22" t="s">
        <v>7110</v>
      </c>
      <c r="H1587" s="78"/>
      <c r="I1587" s="21"/>
      <c r="J1587" s="25"/>
      <c r="K1587" s="26" t="s">
        <v>44</v>
      </c>
      <c r="L1587" s="16"/>
      <c r="M1587" s="21"/>
    </row>
    <row r="1588">
      <c r="A1588" s="28">
        <v>46232.0</v>
      </c>
      <c r="B1588" s="16" t="s">
        <v>7111</v>
      </c>
      <c r="C1588" s="20" t="s">
        <v>7112</v>
      </c>
      <c r="D1588" s="21"/>
      <c r="E1588" s="22" t="s">
        <v>7113</v>
      </c>
      <c r="H1588" s="78"/>
      <c r="I1588" s="21"/>
      <c r="J1588" s="25"/>
      <c r="K1588" s="26" t="s">
        <v>44</v>
      </c>
      <c r="L1588" s="16"/>
      <c r="M1588" s="21"/>
    </row>
    <row r="1589">
      <c r="A1589" s="28">
        <v>46232.0</v>
      </c>
      <c r="B1589" s="16" t="s">
        <v>7114</v>
      </c>
      <c r="C1589" s="20" t="s">
        <v>7115</v>
      </c>
      <c r="D1589" s="21"/>
      <c r="E1589" s="41"/>
      <c r="H1589" s="78"/>
      <c r="I1589" s="21"/>
      <c r="J1589" s="25"/>
      <c r="K1589" s="26" t="s">
        <v>44</v>
      </c>
      <c r="L1589" s="16"/>
      <c r="M1589" s="21"/>
    </row>
    <row r="1590">
      <c r="A1590" s="28">
        <v>46232.0</v>
      </c>
      <c r="B1590" s="16" t="s">
        <v>7116</v>
      </c>
      <c r="C1590" s="20" t="s">
        <v>7117</v>
      </c>
      <c r="D1590" s="21"/>
      <c r="E1590" s="22" t="s">
        <v>7118</v>
      </c>
      <c r="H1590" s="78"/>
      <c r="I1590" s="21"/>
      <c r="J1590" s="25"/>
      <c r="K1590" s="26" t="s">
        <v>44</v>
      </c>
      <c r="L1590" s="16"/>
      <c r="M1590" s="21"/>
    </row>
    <row r="1591">
      <c r="A1591" s="28">
        <v>46232.0</v>
      </c>
      <c r="B1591" s="16" t="s">
        <v>7119</v>
      </c>
      <c r="C1591" s="20" t="s">
        <v>7120</v>
      </c>
      <c r="D1591" s="21"/>
      <c r="E1591" s="22" t="s">
        <v>7121</v>
      </c>
      <c r="H1591" s="78"/>
      <c r="I1591" s="21"/>
      <c r="J1591" s="25"/>
      <c r="K1591" s="26" t="s">
        <v>44</v>
      </c>
      <c r="L1591" s="16"/>
      <c r="M1591" s="21"/>
    </row>
    <row r="1592">
      <c r="A1592" s="28">
        <v>46232.0</v>
      </c>
      <c r="B1592" s="16" t="s">
        <v>7122</v>
      </c>
      <c r="C1592" s="20" t="s">
        <v>7123</v>
      </c>
      <c r="D1592" s="21"/>
      <c r="E1592" s="22" t="s">
        <v>7124</v>
      </c>
      <c r="H1592" s="78"/>
      <c r="I1592" s="21"/>
      <c r="J1592" s="25"/>
      <c r="K1592" s="26" t="s">
        <v>44</v>
      </c>
      <c r="L1592" s="16"/>
      <c r="M1592" s="21"/>
    </row>
    <row r="1593">
      <c r="A1593" s="28">
        <v>46232.0</v>
      </c>
      <c r="B1593" s="16" t="s">
        <v>7125</v>
      </c>
      <c r="C1593" s="20" t="s">
        <v>7126</v>
      </c>
      <c r="D1593" s="21"/>
      <c r="E1593" s="22" t="s">
        <v>7127</v>
      </c>
      <c r="H1593" s="78"/>
      <c r="I1593" s="21"/>
      <c r="J1593" s="25"/>
      <c r="K1593" s="26" t="s">
        <v>44</v>
      </c>
      <c r="L1593" s="16"/>
      <c r="M1593" s="21"/>
    </row>
    <row r="1594">
      <c r="A1594" s="28">
        <v>46232.0</v>
      </c>
      <c r="B1594" s="16" t="s">
        <v>7128</v>
      </c>
      <c r="C1594" s="20" t="s">
        <v>7129</v>
      </c>
      <c r="D1594" s="21"/>
      <c r="E1594" s="41"/>
      <c r="H1594" s="78"/>
      <c r="I1594" s="21"/>
      <c r="J1594" s="25"/>
      <c r="K1594" s="26" t="s">
        <v>44</v>
      </c>
      <c r="L1594" s="16"/>
      <c r="M1594" s="21"/>
    </row>
    <row r="1595">
      <c r="A1595" s="28">
        <v>46232.0</v>
      </c>
      <c r="B1595" s="16" t="s">
        <v>7130</v>
      </c>
      <c r="C1595" s="20" t="s">
        <v>7131</v>
      </c>
      <c r="D1595" s="21"/>
      <c r="E1595" s="22" t="s">
        <v>7132</v>
      </c>
      <c r="H1595" s="78"/>
      <c r="I1595" s="21"/>
      <c r="J1595" s="25"/>
      <c r="K1595" s="26" t="s">
        <v>44</v>
      </c>
      <c r="L1595" s="16"/>
      <c r="M1595" s="21"/>
    </row>
    <row r="1596">
      <c r="A1596" s="28">
        <v>46232.0</v>
      </c>
      <c r="B1596" s="16" t="s">
        <v>7133</v>
      </c>
      <c r="C1596" s="20" t="s">
        <v>7134</v>
      </c>
      <c r="D1596" s="21"/>
      <c r="E1596" s="22" t="s">
        <v>7135</v>
      </c>
      <c r="H1596" s="78"/>
      <c r="I1596" s="21"/>
      <c r="J1596" s="25"/>
      <c r="K1596" s="26" t="s">
        <v>44</v>
      </c>
      <c r="L1596" s="16"/>
      <c r="M1596" s="21"/>
    </row>
    <row r="1597">
      <c r="A1597" s="28">
        <v>46232.0</v>
      </c>
      <c r="B1597" s="16" t="s">
        <v>7136</v>
      </c>
      <c r="C1597" s="20" t="s">
        <v>7137</v>
      </c>
      <c r="D1597" s="21"/>
      <c r="E1597" s="22" t="s">
        <v>7138</v>
      </c>
      <c r="H1597" s="78"/>
      <c r="I1597" s="21"/>
      <c r="J1597" s="25"/>
      <c r="K1597" s="26" t="s">
        <v>44</v>
      </c>
      <c r="L1597" s="16"/>
      <c r="M1597" s="21"/>
    </row>
    <row r="1598">
      <c r="A1598" s="28">
        <v>46232.0</v>
      </c>
      <c r="B1598" s="16" t="s">
        <v>7139</v>
      </c>
      <c r="C1598" s="20" t="s">
        <v>7140</v>
      </c>
      <c r="D1598" s="21"/>
      <c r="E1598" s="22" t="s">
        <v>7141</v>
      </c>
      <c r="H1598" s="78"/>
      <c r="I1598" s="21"/>
      <c r="J1598" s="25"/>
      <c r="K1598" s="26" t="s">
        <v>44</v>
      </c>
      <c r="L1598" s="16"/>
      <c r="M1598" s="21"/>
    </row>
    <row r="1599">
      <c r="A1599" s="28">
        <v>46232.0</v>
      </c>
      <c r="B1599" s="16" t="s">
        <v>7142</v>
      </c>
      <c r="C1599" s="20" t="s">
        <v>7143</v>
      </c>
      <c r="D1599" s="21"/>
      <c r="E1599" s="22" t="s">
        <v>7144</v>
      </c>
      <c r="H1599" s="78"/>
      <c r="I1599" s="21"/>
      <c r="J1599" s="25"/>
      <c r="K1599" s="26" t="s">
        <v>44</v>
      </c>
      <c r="L1599" s="16"/>
      <c r="M1599" s="21"/>
    </row>
    <row r="1600">
      <c r="A1600" s="28">
        <v>46232.0</v>
      </c>
      <c r="B1600" s="16" t="s">
        <v>7145</v>
      </c>
      <c r="C1600" s="20" t="s">
        <v>7146</v>
      </c>
      <c r="D1600" s="21"/>
      <c r="E1600" s="22" t="s">
        <v>7147</v>
      </c>
      <c r="H1600" s="78"/>
      <c r="I1600" s="21"/>
      <c r="J1600" s="25"/>
      <c r="K1600" s="26" t="s">
        <v>44</v>
      </c>
      <c r="L1600" s="16"/>
      <c r="M1600" s="21"/>
    </row>
    <row r="1601">
      <c r="A1601" s="28">
        <v>46232.0</v>
      </c>
      <c r="B1601" s="16" t="s">
        <v>7148</v>
      </c>
      <c r="C1601" s="20" t="s">
        <v>7149</v>
      </c>
      <c r="D1601" s="21"/>
      <c r="E1601" s="22" t="s">
        <v>7150</v>
      </c>
      <c r="H1601" s="78"/>
      <c r="I1601" s="21"/>
      <c r="J1601" s="25"/>
      <c r="K1601" s="26" t="s">
        <v>44</v>
      </c>
      <c r="L1601" s="16"/>
      <c r="M1601" s="21"/>
    </row>
    <row r="1602">
      <c r="A1602" s="28">
        <v>46232.0</v>
      </c>
      <c r="B1602" s="16" t="s">
        <v>7151</v>
      </c>
      <c r="C1602" s="20" t="s">
        <v>7152</v>
      </c>
      <c r="D1602" s="21"/>
      <c r="E1602" s="22" t="s">
        <v>7153</v>
      </c>
      <c r="H1602" s="78"/>
      <c r="I1602" s="21"/>
      <c r="J1602" s="25"/>
      <c r="K1602" s="26" t="s">
        <v>44</v>
      </c>
      <c r="L1602" s="16"/>
      <c r="M1602" s="21"/>
    </row>
    <row r="1603">
      <c r="A1603" s="28">
        <v>46232.0</v>
      </c>
      <c r="B1603" s="16" t="s">
        <v>7154</v>
      </c>
      <c r="C1603" s="20" t="s">
        <v>7155</v>
      </c>
      <c r="D1603" s="21"/>
      <c r="E1603" s="22" t="s">
        <v>7156</v>
      </c>
      <c r="H1603" s="78"/>
      <c r="I1603" s="21"/>
      <c r="J1603" s="25"/>
      <c r="K1603" s="26" t="s">
        <v>44</v>
      </c>
      <c r="L1603" s="16"/>
      <c r="M1603" s="21"/>
    </row>
    <row r="1604">
      <c r="A1604" s="28">
        <v>46232.0</v>
      </c>
      <c r="B1604" s="16" t="s">
        <v>7157</v>
      </c>
      <c r="C1604" s="20" t="s">
        <v>7158</v>
      </c>
      <c r="D1604" s="21"/>
      <c r="E1604" s="22" t="s">
        <v>7159</v>
      </c>
      <c r="H1604" s="78"/>
      <c r="I1604" s="21"/>
      <c r="J1604" s="25"/>
      <c r="K1604" s="26" t="s">
        <v>44</v>
      </c>
      <c r="L1604" s="16"/>
      <c r="M1604" s="21"/>
    </row>
    <row r="1605">
      <c r="A1605" s="28">
        <v>46232.0</v>
      </c>
      <c r="B1605" s="16" t="s">
        <v>7160</v>
      </c>
      <c r="C1605" s="20" t="s">
        <v>7161</v>
      </c>
      <c r="D1605" s="21"/>
      <c r="E1605" s="22" t="s">
        <v>7162</v>
      </c>
      <c r="H1605" s="78"/>
      <c r="I1605" s="21"/>
      <c r="J1605" s="25"/>
      <c r="K1605" s="26" t="s">
        <v>44</v>
      </c>
      <c r="L1605" s="16"/>
      <c r="M1605" s="21"/>
    </row>
    <row r="1606">
      <c r="A1606" s="28">
        <v>46232.0</v>
      </c>
      <c r="B1606" s="16" t="s">
        <v>7163</v>
      </c>
      <c r="C1606" s="20" t="s">
        <v>7164</v>
      </c>
      <c r="D1606" s="21"/>
      <c r="E1606" s="22" t="s">
        <v>7165</v>
      </c>
      <c r="H1606" s="78"/>
      <c r="I1606" s="21"/>
      <c r="J1606" s="25"/>
      <c r="K1606" s="26" t="s">
        <v>44</v>
      </c>
      <c r="L1606" s="16"/>
      <c r="M1606" s="21"/>
    </row>
    <row r="1607">
      <c r="A1607" s="28">
        <v>46232.0</v>
      </c>
      <c r="B1607" s="16" t="s">
        <v>7166</v>
      </c>
      <c r="C1607" s="20" t="s">
        <v>7167</v>
      </c>
      <c r="D1607" s="21"/>
      <c r="E1607" s="22" t="s">
        <v>7168</v>
      </c>
      <c r="H1607" s="78"/>
      <c r="I1607" s="21"/>
      <c r="J1607" s="25"/>
      <c r="K1607" s="26" t="s">
        <v>44</v>
      </c>
      <c r="L1607" s="16"/>
      <c r="M1607" s="21"/>
    </row>
    <row r="1608">
      <c r="A1608" s="28">
        <v>46232.0</v>
      </c>
      <c r="B1608" s="16" t="s">
        <v>7169</v>
      </c>
      <c r="C1608" s="20" t="s">
        <v>7170</v>
      </c>
      <c r="D1608" s="21"/>
      <c r="E1608" s="22" t="s">
        <v>7171</v>
      </c>
      <c r="H1608" s="78"/>
      <c r="I1608" s="21"/>
      <c r="J1608" s="25"/>
      <c r="K1608" s="26" t="s">
        <v>44</v>
      </c>
      <c r="L1608" s="16"/>
      <c r="M1608" s="21"/>
    </row>
    <row r="1609">
      <c r="A1609" s="28">
        <v>46232.0</v>
      </c>
      <c r="B1609" s="16" t="s">
        <v>7172</v>
      </c>
      <c r="C1609" s="20" t="s">
        <v>7173</v>
      </c>
      <c r="D1609" s="21"/>
      <c r="E1609" s="41"/>
      <c r="H1609" s="78"/>
      <c r="I1609" s="21"/>
      <c r="J1609" s="25"/>
      <c r="K1609" s="26" t="s">
        <v>44</v>
      </c>
      <c r="L1609" s="16"/>
      <c r="M1609" s="21"/>
    </row>
    <row r="1610">
      <c r="A1610" s="28">
        <v>46232.0</v>
      </c>
      <c r="B1610" s="16" t="s">
        <v>7174</v>
      </c>
      <c r="C1610" s="20" t="s">
        <v>7175</v>
      </c>
      <c r="D1610" s="21"/>
      <c r="E1610" s="22" t="s">
        <v>7176</v>
      </c>
      <c r="H1610" s="78"/>
      <c r="I1610" s="21"/>
      <c r="J1610" s="25"/>
      <c r="K1610" s="26" t="s">
        <v>44</v>
      </c>
      <c r="L1610" s="16"/>
      <c r="M1610" s="21"/>
    </row>
    <row r="1611">
      <c r="A1611" s="28">
        <v>46232.0</v>
      </c>
      <c r="B1611" s="16" t="s">
        <v>7177</v>
      </c>
      <c r="C1611" s="20" t="s">
        <v>7178</v>
      </c>
      <c r="D1611" s="21"/>
      <c r="E1611" s="22" t="s">
        <v>7179</v>
      </c>
      <c r="H1611" s="78"/>
      <c r="I1611" s="21"/>
      <c r="J1611" s="25"/>
      <c r="K1611" s="26" t="s">
        <v>44</v>
      </c>
      <c r="L1611" s="16"/>
      <c r="M1611" s="21"/>
    </row>
    <row r="1612">
      <c r="A1612" s="28">
        <v>46232.0</v>
      </c>
      <c r="B1612" s="16" t="s">
        <v>7180</v>
      </c>
      <c r="C1612" s="20" t="s">
        <v>7181</v>
      </c>
      <c r="D1612" s="21"/>
      <c r="E1612" s="22" t="s">
        <v>7182</v>
      </c>
      <c r="H1612" s="78"/>
      <c r="I1612" s="21"/>
      <c r="J1612" s="25"/>
      <c r="K1612" s="26" t="s">
        <v>44</v>
      </c>
      <c r="L1612" s="16"/>
      <c r="M1612" s="21"/>
    </row>
    <row r="1613">
      <c r="A1613" s="28">
        <v>46232.0</v>
      </c>
      <c r="B1613" s="16" t="s">
        <v>7183</v>
      </c>
      <c r="C1613" s="20" t="s">
        <v>7184</v>
      </c>
      <c r="D1613" s="21"/>
      <c r="E1613" s="22" t="s">
        <v>7185</v>
      </c>
      <c r="H1613" s="78"/>
      <c r="I1613" s="21"/>
      <c r="J1613" s="25"/>
      <c r="K1613" s="26" t="s">
        <v>44</v>
      </c>
      <c r="L1613" s="16"/>
      <c r="M1613" s="21"/>
    </row>
    <row r="1614">
      <c r="A1614" s="28">
        <v>46232.0</v>
      </c>
      <c r="B1614" s="16" t="s">
        <v>7186</v>
      </c>
      <c r="C1614" s="46" t="s">
        <v>7187</v>
      </c>
      <c r="D1614" s="21"/>
      <c r="E1614" s="22" t="s">
        <v>7188</v>
      </c>
      <c r="H1614" s="78"/>
      <c r="I1614" s="21"/>
      <c r="J1614" s="25"/>
      <c r="K1614" s="26" t="s">
        <v>44</v>
      </c>
      <c r="L1614" s="16"/>
      <c r="M1614" s="21"/>
    </row>
    <row r="1615">
      <c r="A1615" s="28">
        <v>46232.0</v>
      </c>
      <c r="B1615" s="16" t="s">
        <v>7189</v>
      </c>
      <c r="C1615" s="20" t="s">
        <v>7190</v>
      </c>
      <c r="D1615" s="21"/>
      <c r="E1615" s="22" t="s">
        <v>7191</v>
      </c>
      <c r="H1615" s="78"/>
      <c r="I1615" s="21"/>
      <c r="J1615" s="25"/>
      <c r="K1615" s="26" t="s">
        <v>44</v>
      </c>
      <c r="L1615" s="16"/>
      <c r="M1615" s="21"/>
    </row>
    <row r="1616">
      <c r="A1616" s="28">
        <v>46232.0</v>
      </c>
      <c r="B1616" s="16" t="s">
        <v>7192</v>
      </c>
      <c r="C1616" s="20" t="s">
        <v>7193</v>
      </c>
      <c r="D1616" s="21"/>
      <c r="E1616" s="22" t="s">
        <v>7194</v>
      </c>
      <c r="H1616" s="78"/>
      <c r="I1616" s="21"/>
      <c r="J1616" s="25"/>
      <c r="K1616" s="26" t="s">
        <v>44</v>
      </c>
      <c r="L1616" s="16"/>
      <c r="M1616" s="21"/>
    </row>
    <row r="1617">
      <c r="A1617" s="28">
        <v>46232.0</v>
      </c>
      <c r="B1617" s="16" t="s">
        <v>7195</v>
      </c>
      <c r="C1617" s="20" t="s">
        <v>7196</v>
      </c>
      <c r="D1617" s="21"/>
      <c r="E1617" s="22" t="s">
        <v>7197</v>
      </c>
      <c r="H1617" s="78"/>
      <c r="I1617" s="21"/>
      <c r="J1617" s="25"/>
      <c r="K1617" s="26" t="s">
        <v>44</v>
      </c>
      <c r="L1617" s="16"/>
      <c r="M1617" s="21"/>
    </row>
    <row r="1618">
      <c r="A1618" s="28">
        <v>46232.0</v>
      </c>
      <c r="B1618" s="16" t="s">
        <v>7198</v>
      </c>
      <c r="C1618" s="20" t="s">
        <v>7199</v>
      </c>
      <c r="D1618" s="21"/>
      <c r="E1618" s="22" t="s">
        <v>7200</v>
      </c>
      <c r="H1618" s="78"/>
      <c r="I1618" s="21"/>
      <c r="J1618" s="25"/>
      <c r="K1618" s="26" t="s">
        <v>44</v>
      </c>
      <c r="L1618" s="16"/>
      <c r="M1618" s="21"/>
    </row>
    <row r="1619">
      <c r="A1619" s="28">
        <v>46232.0</v>
      </c>
      <c r="B1619" s="16" t="s">
        <v>7201</v>
      </c>
      <c r="C1619" s="20" t="s">
        <v>7202</v>
      </c>
      <c r="D1619" s="21"/>
      <c r="E1619" s="22" t="s">
        <v>7203</v>
      </c>
      <c r="H1619" s="78"/>
      <c r="I1619" s="21"/>
      <c r="J1619" s="25"/>
      <c r="K1619" s="26" t="s">
        <v>44</v>
      </c>
      <c r="L1619" s="16"/>
      <c r="M1619" s="21"/>
    </row>
    <row r="1620">
      <c r="A1620" s="28">
        <v>46232.0</v>
      </c>
      <c r="B1620" s="16" t="s">
        <v>7204</v>
      </c>
      <c r="C1620" s="20" t="s">
        <v>7205</v>
      </c>
      <c r="D1620" s="21"/>
      <c r="E1620" s="22" t="s">
        <v>7206</v>
      </c>
      <c r="H1620" s="78"/>
      <c r="I1620" s="21"/>
      <c r="J1620" s="25"/>
      <c r="K1620" s="26" t="s">
        <v>44</v>
      </c>
      <c r="L1620" s="16"/>
      <c r="M1620" s="21"/>
    </row>
    <row r="1621">
      <c r="A1621" s="28">
        <v>46232.0</v>
      </c>
      <c r="B1621" s="16" t="s">
        <v>7207</v>
      </c>
      <c r="C1621" s="20" t="s">
        <v>7208</v>
      </c>
      <c r="D1621" s="21"/>
      <c r="E1621" s="22" t="s">
        <v>7209</v>
      </c>
      <c r="H1621" s="78"/>
      <c r="I1621" s="21"/>
      <c r="J1621" s="25"/>
      <c r="K1621" s="26" t="s">
        <v>44</v>
      </c>
      <c r="L1621" s="16"/>
      <c r="M1621" s="21"/>
    </row>
    <row r="1622">
      <c r="A1622" s="28">
        <v>46232.0</v>
      </c>
      <c r="B1622" s="16" t="s">
        <v>7210</v>
      </c>
      <c r="C1622" s="20" t="s">
        <v>7211</v>
      </c>
      <c r="D1622" s="21"/>
      <c r="E1622" s="22" t="s">
        <v>7212</v>
      </c>
      <c r="H1622" s="78"/>
      <c r="I1622" s="21"/>
      <c r="J1622" s="25"/>
      <c r="K1622" s="26" t="s">
        <v>44</v>
      </c>
      <c r="L1622" s="16"/>
      <c r="M1622" s="21"/>
    </row>
    <row r="1623">
      <c r="A1623" s="28">
        <v>46232.0</v>
      </c>
      <c r="B1623" s="16" t="s">
        <v>7213</v>
      </c>
      <c r="C1623" s="20" t="s">
        <v>7214</v>
      </c>
      <c r="D1623" s="21"/>
      <c r="E1623" s="22" t="s">
        <v>7215</v>
      </c>
      <c r="H1623" s="78"/>
      <c r="I1623" s="21"/>
      <c r="J1623" s="25"/>
      <c r="K1623" s="26" t="s">
        <v>44</v>
      </c>
      <c r="L1623" s="16"/>
      <c r="M1623" s="21"/>
    </row>
    <row r="1624">
      <c r="A1624" s="28">
        <v>46232.0</v>
      </c>
      <c r="B1624" s="16" t="s">
        <v>7216</v>
      </c>
      <c r="C1624" s="20" t="s">
        <v>7217</v>
      </c>
      <c r="D1624" s="21"/>
      <c r="E1624" s="22" t="s">
        <v>7218</v>
      </c>
      <c r="H1624" s="78"/>
      <c r="I1624" s="21"/>
      <c r="J1624" s="25"/>
      <c r="K1624" s="26" t="s">
        <v>44</v>
      </c>
      <c r="L1624" s="16"/>
      <c r="M1624" s="21"/>
    </row>
    <row r="1625">
      <c r="A1625" s="28">
        <v>46232.0</v>
      </c>
      <c r="B1625" s="16" t="s">
        <v>7219</v>
      </c>
      <c r="C1625" s="20" t="s">
        <v>7220</v>
      </c>
      <c r="D1625" s="21"/>
      <c r="E1625" s="41"/>
      <c r="H1625" s="78"/>
      <c r="I1625" s="21"/>
      <c r="J1625" s="25"/>
      <c r="K1625" s="26" t="s">
        <v>44</v>
      </c>
      <c r="L1625" s="16"/>
      <c r="M1625" s="21"/>
    </row>
    <row r="1626">
      <c r="A1626" s="28">
        <v>46232.0</v>
      </c>
      <c r="B1626" s="16" t="s">
        <v>7221</v>
      </c>
      <c r="C1626" s="20" t="s">
        <v>7222</v>
      </c>
      <c r="D1626" s="21"/>
      <c r="E1626" s="22" t="s">
        <v>7223</v>
      </c>
      <c r="H1626" s="78"/>
      <c r="I1626" s="21"/>
      <c r="J1626" s="25"/>
      <c r="K1626" s="26" t="s">
        <v>44</v>
      </c>
      <c r="L1626" s="16"/>
      <c r="M1626" s="21"/>
    </row>
    <row r="1627">
      <c r="A1627" s="28">
        <v>46232.0</v>
      </c>
      <c r="B1627" s="16" t="s">
        <v>7224</v>
      </c>
      <c r="C1627" s="20" t="s">
        <v>7225</v>
      </c>
      <c r="D1627" s="21"/>
      <c r="E1627" s="22" t="s">
        <v>7226</v>
      </c>
      <c r="H1627" s="78"/>
      <c r="I1627" s="21"/>
      <c r="J1627" s="25"/>
      <c r="K1627" s="26" t="s">
        <v>44</v>
      </c>
      <c r="L1627" s="16"/>
      <c r="M1627" s="21"/>
    </row>
    <row r="1628">
      <c r="A1628" s="28">
        <v>46232.0</v>
      </c>
      <c r="B1628" s="16" t="s">
        <v>7227</v>
      </c>
      <c r="C1628" s="20" t="s">
        <v>7228</v>
      </c>
      <c r="D1628" s="21"/>
      <c r="E1628" s="22" t="s">
        <v>7229</v>
      </c>
      <c r="H1628" s="78"/>
      <c r="I1628" s="21"/>
      <c r="J1628" s="25"/>
      <c r="K1628" s="26" t="s">
        <v>44</v>
      </c>
      <c r="L1628" s="16"/>
      <c r="M1628" s="21"/>
    </row>
    <row r="1629">
      <c r="A1629" s="28">
        <v>46232.0</v>
      </c>
      <c r="B1629" s="16" t="s">
        <v>7230</v>
      </c>
      <c r="C1629" s="20" t="s">
        <v>7231</v>
      </c>
      <c r="D1629" s="21"/>
      <c r="E1629" s="22" t="s">
        <v>7232</v>
      </c>
      <c r="H1629" s="78"/>
      <c r="I1629" s="21"/>
      <c r="J1629" s="25"/>
      <c r="K1629" s="26" t="s">
        <v>44</v>
      </c>
      <c r="L1629" s="16"/>
      <c r="M1629" s="21"/>
    </row>
    <row r="1630">
      <c r="A1630" s="28">
        <v>46232.0</v>
      </c>
      <c r="B1630" s="16" t="s">
        <v>7233</v>
      </c>
      <c r="C1630" s="20" t="s">
        <v>7234</v>
      </c>
      <c r="D1630" s="21"/>
      <c r="E1630" s="22" t="s">
        <v>7235</v>
      </c>
      <c r="H1630" s="78"/>
      <c r="I1630" s="21"/>
      <c r="J1630" s="25"/>
      <c r="K1630" s="26" t="s">
        <v>44</v>
      </c>
      <c r="L1630" s="16"/>
      <c r="M1630" s="21"/>
    </row>
    <row r="1631">
      <c r="A1631" s="28">
        <v>46232.0</v>
      </c>
      <c r="B1631" s="16" t="s">
        <v>7236</v>
      </c>
      <c r="C1631" s="20" t="s">
        <v>7237</v>
      </c>
      <c r="D1631" s="21"/>
      <c r="E1631" s="41"/>
      <c r="H1631" s="78"/>
      <c r="I1631" s="21"/>
      <c r="J1631" s="25"/>
      <c r="K1631" s="26" t="s">
        <v>44</v>
      </c>
      <c r="L1631" s="16"/>
      <c r="M1631" s="21"/>
    </row>
    <row r="1632">
      <c r="A1632" s="28">
        <v>46232.0</v>
      </c>
      <c r="B1632" s="16" t="s">
        <v>7238</v>
      </c>
      <c r="C1632" s="20" t="s">
        <v>7239</v>
      </c>
      <c r="D1632" s="21"/>
      <c r="E1632" s="22" t="s">
        <v>7240</v>
      </c>
      <c r="H1632" s="78"/>
      <c r="I1632" s="21"/>
      <c r="J1632" s="25"/>
      <c r="K1632" s="26" t="s">
        <v>44</v>
      </c>
      <c r="L1632" s="16"/>
      <c r="M1632" s="21"/>
    </row>
    <row r="1633">
      <c r="A1633" s="28">
        <v>46232.0</v>
      </c>
      <c r="B1633" s="16" t="s">
        <v>7241</v>
      </c>
      <c r="C1633" s="20" t="s">
        <v>7242</v>
      </c>
      <c r="D1633" s="21"/>
      <c r="E1633" s="22" t="s">
        <v>7243</v>
      </c>
      <c r="H1633" s="78"/>
      <c r="I1633" s="21"/>
      <c r="J1633" s="25"/>
      <c r="K1633" s="26" t="s">
        <v>44</v>
      </c>
      <c r="L1633" s="16"/>
      <c r="M1633" s="21"/>
    </row>
    <row r="1634">
      <c r="A1634" s="28">
        <v>46232.0</v>
      </c>
      <c r="B1634" s="16" t="s">
        <v>7244</v>
      </c>
      <c r="C1634" s="20" t="s">
        <v>7245</v>
      </c>
      <c r="D1634" s="21"/>
      <c r="E1634" s="22" t="s">
        <v>7246</v>
      </c>
      <c r="H1634" s="78"/>
      <c r="I1634" s="21"/>
      <c r="J1634" s="25"/>
      <c r="K1634" s="26" t="s">
        <v>44</v>
      </c>
      <c r="L1634" s="16"/>
      <c r="M1634" s="21"/>
    </row>
    <row r="1635">
      <c r="A1635" s="28">
        <v>46232.0</v>
      </c>
      <c r="B1635" s="16" t="s">
        <v>7247</v>
      </c>
      <c r="C1635" s="20" t="s">
        <v>7248</v>
      </c>
      <c r="D1635" s="21"/>
      <c r="E1635" s="22" t="s">
        <v>7249</v>
      </c>
      <c r="H1635" s="78"/>
      <c r="I1635" s="21"/>
      <c r="J1635" s="25"/>
      <c r="K1635" s="26" t="s">
        <v>44</v>
      </c>
      <c r="L1635" s="16"/>
      <c r="M1635" s="21"/>
    </row>
    <row r="1636">
      <c r="A1636" s="28">
        <v>46232.0</v>
      </c>
      <c r="B1636" s="16" t="s">
        <v>7250</v>
      </c>
      <c r="C1636" s="20" t="s">
        <v>7251</v>
      </c>
      <c r="D1636" s="21"/>
      <c r="E1636" s="22" t="s">
        <v>7252</v>
      </c>
      <c r="H1636" s="78"/>
      <c r="I1636" s="21"/>
      <c r="J1636" s="25"/>
      <c r="K1636" s="26" t="s">
        <v>44</v>
      </c>
      <c r="L1636" s="16"/>
      <c r="M1636" s="21"/>
    </row>
    <row r="1637">
      <c r="A1637" s="28">
        <v>46232.0</v>
      </c>
      <c r="B1637" s="16" t="s">
        <v>7253</v>
      </c>
      <c r="C1637" s="20" t="s">
        <v>7254</v>
      </c>
      <c r="D1637" s="21"/>
      <c r="E1637" s="41"/>
      <c r="H1637" s="78"/>
      <c r="I1637" s="21"/>
      <c r="J1637" s="25"/>
      <c r="K1637" s="26" t="s">
        <v>44</v>
      </c>
      <c r="L1637" s="16"/>
      <c r="M1637" s="21"/>
    </row>
    <row r="1638">
      <c r="A1638" s="28">
        <v>46232.0</v>
      </c>
      <c r="B1638" s="16" t="s">
        <v>7255</v>
      </c>
      <c r="C1638" s="20" t="s">
        <v>7256</v>
      </c>
      <c r="D1638" s="21"/>
      <c r="E1638" s="22" t="s">
        <v>7257</v>
      </c>
      <c r="H1638" s="78"/>
      <c r="I1638" s="21"/>
      <c r="J1638" s="25"/>
      <c r="K1638" s="26" t="s">
        <v>44</v>
      </c>
      <c r="L1638" s="16"/>
      <c r="M1638" s="21"/>
    </row>
    <row r="1639">
      <c r="A1639" s="28">
        <v>46232.0</v>
      </c>
      <c r="B1639" s="16" t="s">
        <v>7258</v>
      </c>
      <c r="C1639" s="20" t="s">
        <v>7259</v>
      </c>
      <c r="D1639" s="21"/>
      <c r="E1639" s="22" t="s">
        <v>7260</v>
      </c>
      <c r="H1639" s="78"/>
      <c r="I1639" s="21"/>
      <c r="J1639" s="25"/>
      <c r="K1639" s="26" t="s">
        <v>44</v>
      </c>
      <c r="L1639" s="16"/>
      <c r="M1639" s="21"/>
    </row>
    <row r="1640">
      <c r="A1640" s="28">
        <v>46232.0</v>
      </c>
      <c r="B1640" s="16" t="s">
        <v>7261</v>
      </c>
      <c r="C1640" s="20" t="s">
        <v>7262</v>
      </c>
      <c r="D1640" s="21"/>
      <c r="E1640" s="22" t="s">
        <v>7263</v>
      </c>
      <c r="H1640" s="78"/>
      <c r="I1640" s="21"/>
      <c r="J1640" s="25"/>
      <c r="K1640" s="26" t="s">
        <v>44</v>
      </c>
      <c r="L1640" s="16"/>
      <c r="M1640" s="21"/>
    </row>
    <row r="1641">
      <c r="A1641" s="28">
        <v>46232.0</v>
      </c>
      <c r="B1641" s="16" t="s">
        <v>7264</v>
      </c>
      <c r="C1641" s="20" t="s">
        <v>7265</v>
      </c>
      <c r="D1641" s="21"/>
      <c r="E1641" s="22" t="s">
        <v>7266</v>
      </c>
      <c r="H1641" s="78"/>
      <c r="I1641" s="21"/>
      <c r="J1641" s="25"/>
      <c r="K1641" s="26" t="s">
        <v>44</v>
      </c>
      <c r="L1641" s="16"/>
      <c r="M1641" s="21"/>
    </row>
    <row r="1642">
      <c r="A1642" s="28">
        <v>46232.0</v>
      </c>
      <c r="B1642" s="16" t="s">
        <v>7267</v>
      </c>
      <c r="C1642" s="20" t="s">
        <v>7268</v>
      </c>
      <c r="D1642" s="21"/>
      <c r="E1642" s="22" t="s">
        <v>7269</v>
      </c>
      <c r="H1642" s="78"/>
      <c r="I1642" s="21"/>
      <c r="J1642" s="25"/>
      <c r="K1642" s="26" t="s">
        <v>44</v>
      </c>
      <c r="L1642" s="16"/>
      <c r="M1642" s="21"/>
    </row>
    <row r="1643">
      <c r="A1643" s="28">
        <v>46232.0</v>
      </c>
      <c r="B1643" s="16" t="s">
        <v>7270</v>
      </c>
      <c r="C1643" s="20" t="s">
        <v>7271</v>
      </c>
      <c r="D1643" s="21"/>
      <c r="E1643" s="22" t="s">
        <v>7272</v>
      </c>
      <c r="H1643" s="78"/>
      <c r="I1643" s="21"/>
      <c r="J1643" s="25"/>
      <c r="K1643" s="26" t="s">
        <v>44</v>
      </c>
      <c r="L1643" s="16"/>
      <c r="M1643" s="21"/>
    </row>
    <row r="1644">
      <c r="A1644" s="28">
        <v>46232.0</v>
      </c>
      <c r="B1644" s="16" t="s">
        <v>7273</v>
      </c>
      <c r="C1644" s="20" t="s">
        <v>7274</v>
      </c>
      <c r="D1644" s="21"/>
      <c r="E1644" s="22" t="s">
        <v>7275</v>
      </c>
      <c r="H1644" s="78"/>
      <c r="I1644" s="21"/>
      <c r="J1644" s="25"/>
      <c r="K1644" s="26" t="s">
        <v>44</v>
      </c>
      <c r="L1644" s="16"/>
      <c r="M1644" s="21"/>
    </row>
    <row r="1645">
      <c r="A1645" s="28">
        <v>46232.0</v>
      </c>
      <c r="B1645" s="16" t="s">
        <v>7276</v>
      </c>
      <c r="C1645" s="20" t="s">
        <v>7277</v>
      </c>
      <c r="D1645" s="21"/>
      <c r="E1645" s="22" t="s">
        <v>7278</v>
      </c>
      <c r="H1645" s="78"/>
      <c r="I1645" s="21"/>
      <c r="J1645" s="25"/>
      <c r="K1645" s="26" t="s">
        <v>44</v>
      </c>
      <c r="L1645" s="16"/>
      <c r="M1645" s="21"/>
    </row>
    <row r="1646">
      <c r="A1646" s="28">
        <v>46232.0</v>
      </c>
      <c r="B1646" s="16" t="s">
        <v>7279</v>
      </c>
      <c r="C1646" s="20" t="s">
        <v>7280</v>
      </c>
      <c r="D1646" s="21"/>
      <c r="E1646" s="22" t="s">
        <v>7281</v>
      </c>
      <c r="H1646" s="78"/>
      <c r="I1646" s="21"/>
      <c r="J1646" s="25"/>
      <c r="K1646" s="26" t="s">
        <v>44</v>
      </c>
      <c r="L1646" s="16"/>
      <c r="M1646" s="21"/>
    </row>
    <row r="1647">
      <c r="A1647" s="28">
        <v>46232.0</v>
      </c>
      <c r="B1647" s="16" t="s">
        <v>7282</v>
      </c>
      <c r="C1647" s="20" t="s">
        <v>7283</v>
      </c>
      <c r="D1647" s="21"/>
      <c r="E1647" s="22" t="s">
        <v>7284</v>
      </c>
      <c r="H1647" s="78"/>
      <c r="I1647" s="21"/>
      <c r="J1647" s="25"/>
      <c r="K1647" s="26" t="s">
        <v>44</v>
      </c>
      <c r="L1647" s="16"/>
      <c r="M1647" s="21"/>
    </row>
    <row r="1648">
      <c r="A1648" s="28">
        <v>46232.0</v>
      </c>
      <c r="B1648" s="16" t="s">
        <v>7285</v>
      </c>
      <c r="C1648" s="20" t="s">
        <v>7286</v>
      </c>
      <c r="D1648" s="21"/>
      <c r="E1648" s="22" t="s">
        <v>7287</v>
      </c>
      <c r="H1648" s="78"/>
      <c r="I1648" s="21"/>
      <c r="J1648" s="25"/>
      <c r="K1648" s="26" t="s">
        <v>44</v>
      </c>
      <c r="L1648" s="16"/>
      <c r="M1648" s="21"/>
    </row>
    <row r="1649">
      <c r="A1649" s="28">
        <v>46232.0</v>
      </c>
      <c r="B1649" s="16" t="s">
        <v>7288</v>
      </c>
      <c r="C1649" s="20" t="s">
        <v>7289</v>
      </c>
      <c r="D1649" s="21"/>
      <c r="E1649" s="22" t="s">
        <v>7290</v>
      </c>
      <c r="H1649" s="78"/>
      <c r="I1649" s="21"/>
      <c r="J1649" s="25"/>
      <c r="K1649" s="26" t="s">
        <v>44</v>
      </c>
      <c r="L1649" s="16"/>
      <c r="M1649" s="21"/>
    </row>
    <row r="1650">
      <c r="A1650" s="28">
        <v>46232.0</v>
      </c>
      <c r="B1650" s="16" t="s">
        <v>7291</v>
      </c>
      <c r="C1650" s="20" t="s">
        <v>7292</v>
      </c>
      <c r="D1650" s="21"/>
      <c r="E1650" s="22" t="s">
        <v>7293</v>
      </c>
      <c r="H1650" s="78"/>
      <c r="I1650" s="21"/>
      <c r="J1650" s="25"/>
      <c r="K1650" s="26" t="s">
        <v>44</v>
      </c>
      <c r="L1650" s="16"/>
      <c r="M1650" s="21"/>
    </row>
    <row r="1651">
      <c r="A1651" s="28">
        <v>46232.0</v>
      </c>
      <c r="B1651" s="16" t="s">
        <v>7294</v>
      </c>
      <c r="C1651" s="20" t="s">
        <v>7295</v>
      </c>
      <c r="D1651" s="21"/>
      <c r="E1651" s="22" t="s">
        <v>7296</v>
      </c>
      <c r="H1651" s="78"/>
      <c r="I1651" s="21"/>
      <c r="J1651" s="25"/>
      <c r="K1651" s="26" t="s">
        <v>44</v>
      </c>
      <c r="L1651" s="16"/>
      <c r="M1651" s="21"/>
    </row>
    <row r="1652">
      <c r="A1652" s="28">
        <v>46232.0</v>
      </c>
      <c r="B1652" s="16" t="s">
        <v>7297</v>
      </c>
      <c r="C1652" s="20" t="s">
        <v>7298</v>
      </c>
      <c r="D1652" s="21"/>
      <c r="E1652" s="22" t="s">
        <v>7299</v>
      </c>
      <c r="H1652" s="78"/>
      <c r="I1652" s="21"/>
      <c r="J1652" s="25"/>
      <c r="K1652" s="26" t="s">
        <v>44</v>
      </c>
      <c r="L1652" s="16"/>
      <c r="M1652" s="21"/>
    </row>
    <row r="1653">
      <c r="A1653" s="28">
        <v>46232.0</v>
      </c>
      <c r="B1653" s="16" t="s">
        <v>7300</v>
      </c>
      <c r="C1653" s="20" t="s">
        <v>7301</v>
      </c>
      <c r="D1653" s="21"/>
      <c r="E1653" s="22" t="s">
        <v>7302</v>
      </c>
      <c r="H1653" s="78"/>
      <c r="I1653" s="21"/>
      <c r="J1653" s="25"/>
      <c r="K1653" s="26" t="s">
        <v>44</v>
      </c>
      <c r="L1653" s="16"/>
      <c r="M1653" s="21"/>
    </row>
    <row r="1654">
      <c r="A1654" s="28">
        <v>46232.0</v>
      </c>
      <c r="B1654" s="16" t="s">
        <v>7303</v>
      </c>
      <c r="C1654" s="20" t="s">
        <v>7304</v>
      </c>
      <c r="D1654" s="21"/>
      <c r="E1654" s="22" t="s">
        <v>7305</v>
      </c>
      <c r="H1654" s="78"/>
      <c r="I1654" s="21"/>
      <c r="J1654" s="25"/>
      <c r="K1654" s="26" t="s">
        <v>44</v>
      </c>
      <c r="L1654" s="16"/>
      <c r="M1654" s="21"/>
    </row>
    <row r="1655">
      <c r="A1655" s="28">
        <v>46232.0</v>
      </c>
      <c r="B1655" s="16" t="s">
        <v>7306</v>
      </c>
      <c r="C1655" s="20" t="s">
        <v>7307</v>
      </c>
      <c r="D1655" s="21"/>
      <c r="E1655" s="22" t="s">
        <v>7308</v>
      </c>
      <c r="H1655" s="78"/>
      <c r="I1655" s="21"/>
      <c r="J1655" s="25"/>
      <c r="K1655" s="26" t="s">
        <v>44</v>
      </c>
      <c r="L1655" s="16"/>
      <c r="M1655" s="21"/>
    </row>
    <row r="1656">
      <c r="A1656" s="28">
        <v>46232.0</v>
      </c>
      <c r="B1656" s="16" t="s">
        <v>7309</v>
      </c>
      <c r="C1656" s="20" t="s">
        <v>7310</v>
      </c>
      <c r="D1656" s="21"/>
      <c r="E1656" s="22" t="s">
        <v>7311</v>
      </c>
      <c r="H1656" s="78"/>
      <c r="I1656" s="21"/>
      <c r="J1656" s="25"/>
      <c r="K1656" s="26" t="s">
        <v>44</v>
      </c>
      <c r="L1656" s="16"/>
      <c r="M1656" s="21"/>
    </row>
    <row r="1657">
      <c r="A1657" s="28">
        <v>46232.0</v>
      </c>
      <c r="B1657" s="16" t="s">
        <v>7312</v>
      </c>
      <c r="C1657" s="20" t="s">
        <v>7313</v>
      </c>
      <c r="D1657" s="21"/>
      <c r="E1657" s="22" t="s">
        <v>7314</v>
      </c>
      <c r="H1657" s="78"/>
      <c r="I1657" s="21"/>
      <c r="J1657" s="25"/>
      <c r="K1657" s="26" t="s">
        <v>44</v>
      </c>
      <c r="L1657" s="16"/>
      <c r="M1657" s="21"/>
    </row>
    <row r="1658">
      <c r="A1658" s="28">
        <v>46232.0</v>
      </c>
      <c r="B1658" s="16" t="s">
        <v>7315</v>
      </c>
      <c r="C1658" s="46" t="s">
        <v>7316</v>
      </c>
      <c r="D1658" s="21"/>
      <c r="E1658" s="22" t="s">
        <v>7317</v>
      </c>
      <c r="H1658" s="78"/>
      <c r="I1658" s="21"/>
      <c r="J1658" s="25"/>
      <c r="K1658" s="26" t="s">
        <v>44</v>
      </c>
      <c r="L1658" s="16"/>
      <c r="M1658" s="21"/>
    </row>
    <row r="1659">
      <c r="A1659" s="28">
        <v>46232.0</v>
      </c>
      <c r="B1659" s="16" t="s">
        <v>7318</v>
      </c>
      <c r="C1659" s="20" t="s">
        <v>7319</v>
      </c>
      <c r="D1659" s="21"/>
      <c r="E1659" s="22" t="s">
        <v>7320</v>
      </c>
      <c r="H1659" s="78"/>
      <c r="I1659" s="21"/>
      <c r="J1659" s="25"/>
      <c r="K1659" s="26" t="s">
        <v>44</v>
      </c>
      <c r="L1659" s="16"/>
      <c r="M1659" s="21"/>
    </row>
    <row r="1660">
      <c r="A1660" s="28">
        <v>46232.0</v>
      </c>
      <c r="B1660" s="16" t="s">
        <v>7321</v>
      </c>
      <c r="C1660" s="20" t="s">
        <v>7322</v>
      </c>
      <c r="D1660" s="21"/>
      <c r="E1660" s="22" t="s">
        <v>7323</v>
      </c>
      <c r="H1660" s="78"/>
      <c r="I1660" s="21"/>
      <c r="J1660" s="25"/>
      <c r="K1660" s="26" t="s">
        <v>44</v>
      </c>
      <c r="L1660" s="16"/>
      <c r="M1660" s="21"/>
    </row>
    <row r="1661">
      <c r="A1661" s="28">
        <v>46232.0</v>
      </c>
      <c r="B1661" s="16" t="s">
        <v>7324</v>
      </c>
      <c r="C1661" s="20" t="s">
        <v>7325</v>
      </c>
      <c r="D1661" s="21"/>
      <c r="E1661" s="22" t="s">
        <v>7326</v>
      </c>
      <c r="H1661" s="78"/>
      <c r="I1661" s="21"/>
      <c r="J1661" s="25"/>
      <c r="K1661" s="26" t="s">
        <v>44</v>
      </c>
      <c r="L1661" s="16"/>
      <c r="M1661" s="21"/>
    </row>
    <row r="1662">
      <c r="A1662" s="28">
        <v>46232.0</v>
      </c>
      <c r="B1662" s="16" t="s">
        <v>7327</v>
      </c>
      <c r="C1662" s="20" t="s">
        <v>7328</v>
      </c>
      <c r="D1662" s="21"/>
      <c r="E1662" s="22" t="s">
        <v>7329</v>
      </c>
      <c r="H1662" s="78"/>
      <c r="I1662" s="21"/>
      <c r="J1662" s="25"/>
      <c r="K1662" s="26" t="s">
        <v>44</v>
      </c>
      <c r="L1662" s="16"/>
      <c r="M1662" s="21"/>
    </row>
    <row r="1663">
      <c r="A1663" s="28">
        <v>46232.0</v>
      </c>
      <c r="B1663" s="16" t="s">
        <v>7330</v>
      </c>
      <c r="C1663" s="20" t="s">
        <v>7331</v>
      </c>
      <c r="D1663" s="21"/>
      <c r="E1663" s="22" t="s">
        <v>7332</v>
      </c>
      <c r="H1663" s="78"/>
      <c r="I1663" s="21"/>
      <c r="J1663" s="25"/>
      <c r="K1663" s="26" t="s">
        <v>44</v>
      </c>
      <c r="L1663" s="16"/>
      <c r="M1663" s="21"/>
    </row>
    <row r="1664">
      <c r="A1664" s="28">
        <v>46232.0</v>
      </c>
      <c r="B1664" s="16" t="s">
        <v>7333</v>
      </c>
      <c r="C1664" s="20" t="s">
        <v>7334</v>
      </c>
      <c r="D1664" s="21"/>
      <c r="E1664" s="22" t="s">
        <v>7335</v>
      </c>
      <c r="H1664" s="78"/>
      <c r="I1664" s="21"/>
      <c r="J1664" s="25"/>
      <c r="K1664" s="26" t="s">
        <v>44</v>
      </c>
      <c r="L1664" s="16"/>
      <c r="M1664" s="21"/>
    </row>
    <row r="1665">
      <c r="A1665" s="28">
        <v>46232.0</v>
      </c>
      <c r="B1665" s="16" t="s">
        <v>7336</v>
      </c>
      <c r="C1665" s="20" t="s">
        <v>7337</v>
      </c>
      <c r="D1665" s="21"/>
      <c r="E1665" s="22" t="s">
        <v>7338</v>
      </c>
      <c r="H1665" s="78"/>
      <c r="I1665" s="21"/>
      <c r="J1665" s="25"/>
      <c r="K1665" s="26" t="s">
        <v>44</v>
      </c>
      <c r="L1665" s="16"/>
      <c r="M1665" s="21"/>
    </row>
    <row r="1666">
      <c r="A1666" s="28">
        <v>46232.0</v>
      </c>
      <c r="B1666" s="16" t="s">
        <v>7339</v>
      </c>
      <c r="C1666" s="20" t="s">
        <v>7340</v>
      </c>
      <c r="D1666" s="21"/>
      <c r="E1666" s="22" t="s">
        <v>7341</v>
      </c>
      <c r="H1666" s="78"/>
      <c r="I1666" s="21"/>
      <c r="J1666" s="25"/>
      <c r="K1666" s="26" t="s">
        <v>44</v>
      </c>
      <c r="L1666" s="16"/>
      <c r="M1666" s="21"/>
    </row>
    <row r="1667">
      <c r="A1667" s="28">
        <v>46232.0</v>
      </c>
      <c r="B1667" s="16" t="s">
        <v>7342</v>
      </c>
      <c r="C1667" s="46" t="s">
        <v>7343</v>
      </c>
      <c r="D1667" s="21"/>
      <c r="E1667" s="22" t="s">
        <v>7344</v>
      </c>
      <c r="H1667" s="78"/>
      <c r="I1667" s="21"/>
      <c r="J1667" s="25"/>
      <c r="K1667" s="26" t="s">
        <v>44</v>
      </c>
      <c r="L1667" s="16"/>
      <c r="M1667" s="21"/>
    </row>
    <row r="1668">
      <c r="A1668" s="28">
        <v>46232.0</v>
      </c>
      <c r="B1668" s="16" t="s">
        <v>7345</v>
      </c>
      <c r="C1668" s="20" t="s">
        <v>7346</v>
      </c>
      <c r="D1668" s="21"/>
      <c r="E1668" s="22" t="s">
        <v>7347</v>
      </c>
      <c r="H1668" s="78"/>
      <c r="I1668" s="21"/>
      <c r="J1668" s="25"/>
      <c r="K1668" s="26" t="s">
        <v>44</v>
      </c>
      <c r="L1668" s="16"/>
      <c r="M1668" s="21"/>
    </row>
    <row r="1669">
      <c r="A1669" s="28">
        <v>46232.0</v>
      </c>
      <c r="B1669" s="16" t="s">
        <v>7348</v>
      </c>
      <c r="C1669" s="20" t="s">
        <v>7349</v>
      </c>
      <c r="D1669" s="21"/>
      <c r="E1669" s="22" t="s">
        <v>7350</v>
      </c>
      <c r="H1669" s="78"/>
      <c r="I1669" s="21"/>
      <c r="J1669" s="25"/>
      <c r="K1669" s="26" t="s">
        <v>44</v>
      </c>
      <c r="L1669" s="16"/>
      <c r="M1669" s="21"/>
    </row>
    <row r="1670">
      <c r="A1670" s="28">
        <v>46232.0</v>
      </c>
      <c r="B1670" s="16" t="s">
        <v>7351</v>
      </c>
      <c r="C1670" s="20" t="s">
        <v>7352</v>
      </c>
      <c r="D1670" s="21"/>
      <c r="E1670" s="22" t="s">
        <v>7353</v>
      </c>
      <c r="H1670" s="78"/>
      <c r="I1670" s="21"/>
      <c r="J1670" s="25"/>
      <c r="K1670" s="26" t="s">
        <v>44</v>
      </c>
      <c r="L1670" s="16"/>
      <c r="M1670" s="21"/>
    </row>
    <row r="1671">
      <c r="A1671" s="28">
        <v>46232.0</v>
      </c>
      <c r="B1671" s="16" t="s">
        <v>7354</v>
      </c>
      <c r="C1671" s="20" t="s">
        <v>7355</v>
      </c>
      <c r="D1671" s="21"/>
      <c r="E1671" s="22" t="s">
        <v>7356</v>
      </c>
      <c r="H1671" s="78"/>
      <c r="I1671" s="21"/>
      <c r="J1671" s="25"/>
      <c r="K1671" s="26" t="s">
        <v>44</v>
      </c>
      <c r="L1671" s="16"/>
      <c r="M1671" s="21"/>
    </row>
    <row r="1672">
      <c r="A1672" s="28">
        <v>46232.0</v>
      </c>
      <c r="B1672" s="16" t="s">
        <v>7357</v>
      </c>
      <c r="C1672" s="20" t="s">
        <v>7358</v>
      </c>
      <c r="D1672" s="21"/>
      <c r="E1672" s="22" t="s">
        <v>7359</v>
      </c>
      <c r="H1672" s="78"/>
      <c r="I1672" s="21"/>
      <c r="J1672" s="25"/>
      <c r="K1672" s="26" t="s">
        <v>44</v>
      </c>
      <c r="L1672" s="16"/>
      <c r="M1672" s="21"/>
    </row>
    <row r="1673">
      <c r="A1673" s="28">
        <v>46232.0</v>
      </c>
      <c r="B1673" s="16" t="s">
        <v>7360</v>
      </c>
      <c r="C1673" s="20" t="s">
        <v>7361</v>
      </c>
      <c r="D1673" s="21"/>
      <c r="E1673" s="22" t="s">
        <v>7362</v>
      </c>
      <c r="H1673" s="78"/>
      <c r="I1673" s="21"/>
      <c r="J1673" s="25"/>
      <c r="K1673" s="26" t="s">
        <v>44</v>
      </c>
      <c r="L1673" s="16"/>
      <c r="M1673" s="21"/>
    </row>
    <row r="1674">
      <c r="A1674" s="28">
        <v>46232.0</v>
      </c>
      <c r="B1674" s="16" t="s">
        <v>7363</v>
      </c>
      <c r="C1674" s="20" t="s">
        <v>7364</v>
      </c>
      <c r="D1674" s="21"/>
      <c r="E1674" s="22" t="s">
        <v>7365</v>
      </c>
      <c r="H1674" s="78"/>
      <c r="I1674" s="21"/>
      <c r="J1674" s="25"/>
      <c r="K1674" s="26" t="s">
        <v>44</v>
      </c>
      <c r="L1674" s="16"/>
      <c r="M1674" s="21"/>
    </row>
    <row r="1675">
      <c r="A1675" s="28">
        <v>46232.0</v>
      </c>
      <c r="B1675" s="16" t="s">
        <v>7366</v>
      </c>
      <c r="C1675" s="20" t="s">
        <v>7367</v>
      </c>
      <c r="D1675" s="21"/>
      <c r="E1675" s="22" t="s">
        <v>7368</v>
      </c>
      <c r="H1675" s="78"/>
      <c r="I1675" s="21"/>
      <c r="J1675" s="25"/>
      <c r="K1675" s="26" t="s">
        <v>44</v>
      </c>
      <c r="L1675" s="16"/>
      <c r="M1675" s="21"/>
    </row>
    <row r="1676">
      <c r="A1676" s="28">
        <v>46232.0</v>
      </c>
      <c r="B1676" s="16" t="s">
        <v>7369</v>
      </c>
      <c r="C1676" s="20" t="s">
        <v>7370</v>
      </c>
      <c r="D1676" s="21"/>
      <c r="E1676" s="22" t="s">
        <v>7371</v>
      </c>
      <c r="H1676" s="78"/>
      <c r="I1676" s="21"/>
      <c r="J1676" s="25"/>
      <c r="K1676" s="26" t="s">
        <v>44</v>
      </c>
      <c r="L1676" s="16"/>
      <c r="M1676" s="21"/>
    </row>
    <row r="1677">
      <c r="A1677" s="28">
        <v>46232.0</v>
      </c>
      <c r="B1677" s="16" t="s">
        <v>7372</v>
      </c>
      <c r="C1677" s="46" t="s">
        <v>7373</v>
      </c>
      <c r="D1677" s="21"/>
      <c r="E1677" s="22" t="s">
        <v>7374</v>
      </c>
      <c r="H1677" s="78"/>
      <c r="I1677" s="21"/>
      <c r="J1677" s="25"/>
      <c r="K1677" s="26" t="s">
        <v>44</v>
      </c>
      <c r="L1677" s="16"/>
      <c r="M1677" s="21"/>
    </row>
    <row r="1678">
      <c r="A1678" s="28">
        <v>46232.0</v>
      </c>
      <c r="B1678" s="16" t="s">
        <v>7375</v>
      </c>
      <c r="C1678" s="20" t="s">
        <v>7376</v>
      </c>
      <c r="D1678" s="21"/>
      <c r="E1678" s="22" t="s">
        <v>7377</v>
      </c>
      <c r="H1678" s="78"/>
      <c r="I1678" s="21"/>
      <c r="J1678" s="25"/>
      <c r="K1678" s="26" t="s">
        <v>44</v>
      </c>
      <c r="L1678" s="16"/>
      <c r="M1678" s="21"/>
    </row>
    <row r="1679">
      <c r="A1679" s="28">
        <v>46232.0</v>
      </c>
      <c r="B1679" s="16" t="s">
        <v>7378</v>
      </c>
      <c r="C1679" s="20" t="s">
        <v>7379</v>
      </c>
      <c r="D1679" s="21"/>
      <c r="E1679" s="22" t="s">
        <v>7380</v>
      </c>
      <c r="H1679" s="78"/>
      <c r="I1679" s="21"/>
      <c r="J1679" s="25"/>
      <c r="K1679" s="26" t="s">
        <v>44</v>
      </c>
      <c r="L1679" s="16"/>
      <c r="M1679" s="21"/>
    </row>
    <row r="1680">
      <c r="A1680" s="28">
        <v>46232.0</v>
      </c>
      <c r="B1680" s="16" t="s">
        <v>7381</v>
      </c>
      <c r="C1680" s="20" t="s">
        <v>7382</v>
      </c>
      <c r="D1680" s="21"/>
      <c r="E1680" s="22" t="s">
        <v>7383</v>
      </c>
      <c r="H1680" s="78"/>
      <c r="I1680" s="21"/>
      <c r="J1680" s="25"/>
      <c r="K1680" s="26" t="s">
        <v>44</v>
      </c>
      <c r="L1680" s="16"/>
      <c r="M1680" s="21"/>
    </row>
    <row r="1681">
      <c r="A1681" s="28">
        <v>46232.0</v>
      </c>
      <c r="B1681" s="16" t="s">
        <v>7384</v>
      </c>
      <c r="C1681" s="20" t="s">
        <v>110</v>
      </c>
      <c r="D1681" s="21"/>
      <c r="E1681" s="22" t="s">
        <v>7385</v>
      </c>
      <c r="H1681" s="78"/>
      <c r="I1681" s="21"/>
      <c r="J1681" s="25"/>
      <c r="K1681" s="26" t="s">
        <v>44</v>
      </c>
      <c r="L1681" s="16"/>
      <c r="M1681" s="21"/>
    </row>
    <row r="1682">
      <c r="A1682" s="28">
        <v>46232.0</v>
      </c>
      <c r="B1682" s="16" t="s">
        <v>7386</v>
      </c>
      <c r="C1682" s="20" t="s">
        <v>7387</v>
      </c>
      <c r="D1682" s="21"/>
      <c r="E1682" s="22" t="s">
        <v>7388</v>
      </c>
      <c r="H1682" s="78"/>
      <c r="I1682" s="21"/>
      <c r="J1682" s="25"/>
      <c r="K1682" s="26" t="s">
        <v>44</v>
      </c>
      <c r="L1682" s="16"/>
      <c r="M1682" s="21"/>
    </row>
    <row r="1683">
      <c r="A1683" s="28">
        <v>46232.0</v>
      </c>
      <c r="B1683" s="16" t="s">
        <v>7389</v>
      </c>
      <c r="C1683" s="20" t="s">
        <v>7390</v>
      </c>
      <c r="D1683" s="21"/>
      <c r="E1683" s="22" t="s">
        <v>7391</v>
      </c>
      <c r="H1683" s="78"/>
      <c r="I1683" s="21"/>
      <c r="J1683" s="25"/>
      <c r="K1683" s="26" t="s">
        <v>44</v>
      </c>
      <c r="L1683" s="16"/>
      <c r="M1683" s="21"/>
    </row>
    <row r="1684">
      <c r="A1684" s="28">
        <v>46232.0</v>
      </c>
      <c r="B1684" s="16" t="s">
        <v>7392</v>
      </c>
      <c r="C1684" s="20" t="s">
        <v>7393</v>
      </c>
      <c r="D1684" s="21"/>
      <c r="E1684" s="22" t="s">
        <v>7394</v>
      </c>
      <c r="H1684" s="78"/>
      <c r="I1684" s="21"/>
      <c r="J1684" s="25"/>
      <c r="K1684" s="26" t="s">
        <v>44</v>
      </c>
      <c r="L1684" s="16"/>
      <c r="M1684" s="21"/>
    </row>
    <row r="1685">
      <c r="A1685" s="28">
        <v>46232.0</v>
      </c>
      <c r="B1685" s="16" t="s">
        <v>7395</v>
      </c>
      <c r="C1685" s="20" t="s">
        <v>7396</v>
      </c>
      <c r="D1685" s="21"/>
      <c r="E1685" s="22" t="s">
        <v>7397</v>
      </c>
      <c r="H1685" s="78"/>
      <c r="I1685" s="21"/>
      <c r="J1685" s="25"/>
      <c r="K1685" s="26" t="s">
        <v>44</v>
      </c>
      <c r="L1685" s="16"/>
      <c r="M1685" s="21"/>
    </row>
    <row r="1686">
      <c r="A1686" s="28">
        <v>46232.0</v>
      </c>
      <c r="B1686" s="16" t="s">
        <v>7398</v>
      </c>
      <c r="C1686" s="20" t="s">
        <v>7399</v>
      </c>
      <c r="D1686" s="21"/>
      <c r="E1686" s="22" t="s">
        <v>7400</v>
      </c>
      <c r="H1686" s="78"/>
      <c r="I1686" s="21"/>
      <c r="J1686" s="25"/>
      <c r="K1686" s="26" t="s">
        <v>44</v>
      </c>
      <c r="L1686" s="16"/>
      <c r="M1686" s="21"/>
    </row>
    <row r="1687">
      <c r="A1687" s="28">
        <v>46232.0</v>
      </c>
      <c r="B1687" s="16" t="s">
        <v>7401</v>
      </c>
      <c r="C1687" s="20" t="s">
        <v>7402</v>
      </c>
      <c r="D1687" s="21"/>
      <c r="E1687" s="41"/>
      <c r="H1687" s="78"/>
      <c r="I1687" s="21"/>
      <c r="J1687" s="25"/>
      <c r="K1687" s="26" t="s">
        <v>44</v>
      </c>
      <c r="L1687" s="16"/>
      <c r="M1687" s="21"/>
    </row>
    <row r="1688">
      <c r="A1688" s="28">
        <v>46232.0</v>
      </c>
      <c r="B1688" s="16" t="s">
        <v>7403</v>
      </c>
      <c r="C1688" s="20" t="s">
        <v>7404</v>
      </c>
      <c r="D1688" s="21"/>
      <c r="E1688" s="22" t="s">
        <v>7405</v>
      </c>
      <c r="H1688" s="78"/>
      <c r="I1688" s="21"/>
      <c r="J1688" s="25"/>
      <c r="K1688" s="26" t="s">
        <v>44</v>
      </c>
      <c r="L1688" s="16"/>
      <c r="M1688" s="21"/>
    </row>
    <row r="1689">
      <c r="A1689" s="28">
        <v>46232.0</v>
      </c>
      <c r="B1689" s="16" t="s">
        <v>7406</v>
      </c>
      <c r="C1689" s="20" t="s">
        <v>7407</v>
      </c>
      <c r="D1689" s="21"/>
      <c r="E1689" s="22" t="s">
        <v>7408</v>
      </c>
      <c r="H1689" s="78"/>
      <c r="I1689" s="21"/>
      <c r="J1689" s="25"/>
      <c r="K1689" s="26" t="s">
        <v>44</v>
      </c>
      <c r="L1689" s="16"/>
      <c r="M1689" s="21"/>
    </row>
    <row r="1690">
      <c r="A1690" s="28">
        <v>46232.0</v>
      </c>
      <c r="B1690" s="16" t="s">
        <v>7409</v>
      </c>
      <c r="C1690" s="20" t="s">
        <v>7410</v>
      </c>
      <c r="D1690" s="21"/>
      <c r="E1690" s="22" t="s">
        <v>7411</v>
      </c>
      <c r="H1690" s="78"/>
      <c r="I1690" s="21"/>
      <c r="J1690" s="25"/>
      <c r="K1690" s="26" t="s">
        <v>44</v>
      </c>
      <c r="L1690" s="16"/>
      <c r="M1690" s="21"/>
    </row>
    <row r="1691">
      <c r="A1691" s="28">
        <v>46232.0</v>
      </c>
      <c r="B1691" s="16" t="s">
        <v>7412</v>
      </c>
      <c r="C1691" s="20" t="s">
        <v>7413</v>
      </c>
      <c r="D1691" s="21"/>
      <c r="E1691" s="22" t="s">
        <v>7414</v>
      </c>
      <c r="H1691" s="78"/>
      <c r="I1691" s="21"/>
      <c r="J1691" s="25"/>
      <c r="K1691" s="26" t="s">
        <v>44</v>
      </c>
      <c r="L1691" s="16"/>
      <c r="M1691" s="21"/>
    </row>
    <row r="1692">
      <c r="A1692" s="28">
        <v>46232.0</v>
      </c>
      <c r="B1692" s="16" t="s">
        <v>7415</v>
      </c>
      <c r="C1692" s="20" t="s">
        <v>7416</v>
      </c>
      <c r="D1692" s="21"/>
      <c r="E1692" s="22" t="s">
        <v>7417</v>
      </c>
      <c r="H1692" s="78"/>
      <c r="I1692" s="21"/>
      <c r="J1692" s="25"/>
      <c r="K1692" s="26" t="s">
        <v>44</v>
      </c>
      <c r="L1692" s="16"/>
      <c r="M1692" s="21"/>
    </row>
    <row r="1693">
      <c r="A1693" s="28">
        <v>46232.0</v>
      </c>
      <c r="B1693" s="16" t="s">
        <v>7418</v>
      </c>
      <c r="C1693" s="20" t="s">
        <v>7419</v>
      </c>
      <c r="D1693" s="21"/>
      <c r="E1693" s="22" t="s">
        <v>7420</v>
      </c>
      <c r="H1693" s="78"/>
      <c r="I1693" s="21"/>
      <c r="J1693" s="25"/>
      <c r="K1693" s="26" t="s">
        <v>44</v>
      </c>
      <c r="L1693" s="16"/>
      <c r="M1693" s="21"/>
    </row>
    <row r="1694">
      <c r="A1694" s="28">
        <v>46232.0</v>
      </c>
      <c r="B1694" s="16" t="s">
        <v>7421</v>
      </c>
      <c r="C1694" s="20" t="s">
        <v>7422</v>
      </c>
      <c r="D1694" s="21"/>
      <c r="E1694" s="22" t="s">
        <v>7423</v>
      </c>
      <c r="H1694" s="78"/>
      <c r="I1694" s="21"/>
      <c r="J1694" s="25"/>
      <c r="K1694" s="26" t="s">
        <v>44</v>
      </c>
      <c r="L1694" s="16"/>
      <c r="M1694" s="21"/>
    </row>
    <row r="1695">
      <c r="A1695" s="28">
        <v>46232.0</v>
      </c>
      <c r="B1695" s="16" t="s">
        <v>7424</v>
      </c>
      <c r="C1695" s="20" t="s">
        <v>7425</v>
      </c>
      <c r="D1695" s="21"/>
      <c r="E1695" s="22" t="s">
        <v>7426</v>
      </c>
      <c r="H1695" s="78"/>
      <c r="I1695" s="21"/>
      <c r="J1695" s="25"/>
      <c r="K1695" s="26" t="s">
        <v>44</v>
      </c>
      <c r="L1695" s="16"/>
      <c r="M1695" s="21"/>
    </row>
    <row r="1696">
      <c r="A1696" s="28">
        <v>46232.0</v>
      </c>
      <c r="B1696" s="16" t="s">
        <v>7427</v>
      </c>
      <c r="C1696" s="20" t="s">
        <v>7428</v>
      </c>
      <c r="D1696" s="21"/>
      <c r="E1696" s="22" t="s">
        <v>7429</v>
      </c>
      <c r="H1696" s="78"/>
      <c r="I1696" s="21"/>
      <c r="J1696" s="25"/>
      <c r="K1696" s="26" t="s">
        <v>44</v>
      </c>
      <c r="L1696" s="16"/>
      <c r="M1696" s="21"/>
    </row>
    <row r="1697">
      <c r="A1697" s="28">
        <v>46232.0</v>
      </c>
      <c r="B1697" s="16" t="s">
        <v>7430</v>
      </c>
      <c r="C1697" s="20" t="s">
        <v>7431</v>
      </c>
      <c r="D1697" s="21"/>
      <c r="E1697" s="41"/>
      <c r="H1697" s="78"/>
      <c r="I1697" s="21"/>
      <c r="J1697" s="25"/>
      <c r="K1697" s="26" t="s">
        <v>44</v>
      </c>
      <c r="L1697" s="16"/>
      <c r="M1697" s="21"/>
    </row>
    <row r="1698">
      <c r="A1698" s="28">
        <v>46232.0</v>
      </c>
      <c r="B1698" s="16" t="s">
        <v>7432</v>
      </c>
      <c r="C1698" s="20" t="s">
        <v>7433</v>
      </c>
      <c r="D1698" s="21"/>
      <c r="E1698" s="22" t="s">
        <v>7434</v>
      </c>
      <c r="H1698" s="78"/>
      <c r="I1698" s="21"/>
      <c r="J1698" s="25"/>
      <c r="K1698" s="26" t="s">
        <v>44</v>
      </c>
      <c r="L1698" s="16"/>
      <c r="M1698" s="21"/>
    </row>
    <row r="1699">
      <c r="A1699" s="28">
        <v>46232.0</v>
      </c>
      <c r="B1699" s="16" t="s">
        <v>7435</v>
      </c>
      <c r="C1699" s="20" t="s">
        <v>7436</v>
      </c>
      <c r="D1699" s="21"/>
      <c r="E1699" s="41"/>
      <c r="H1699" s="78"/>
      <c r="I1699" s="21"/>
      <c r="J1699" s="25"/>
      <c r="K1699" s="26" t="s">
        <v>44</v>
      </c>
      <c r="L1699" s="16"/>
      <c r="M1699" s="21"/>
    </row>
    <row r="1700">
      <c r="A1700" s="28">
        <v>46232.0</v>
      </c>
      <c r="B1700" s="16" t="s">
        <v>7437</v>
      </c>
      <c r="C1700" s="20" t="s">
        <v>7438</v>
      </c>
      <c r="D1700" s="21"/>
      <c r="E1700" s="41"/>
      <c r="H1700" s="78"/>
      <c r="I1700" s="21"/>
      <c r="J1700" s="25"/>
      <c r="K1700" s="26" t="s">
        <v>44</v>
      </c>
      <c r="L1700" s="16"/>
      <c r="M1700" s="21"/>
    </row>
    <row r="1701">
      <c r="A1701" s="28">
        <v>46232.0</v>
      </c>
      <c r="B1701" s="16" t="s">
        <v>7439</v>
      </c>
      <c r="C1701" s="20" t="s">
        <v>7440</v>
      </c>
      <c r="D1701" s="21"/>
      <c r="E1701" s="22" t="s">
        <v>7441</v>
      </c>
      <c r="H1701" s="78"/>
      <c r="I1701" s="21"/>
      <c r="J1701" s="25"/>
      <c r="K1701" s="26" t="s">
        <v>44</v>
      </c>
      <c r="L1701" s="16"/>
      <c r="M1701" s="21"/>
    </row>
    <row r="1702">
      <c r="A1702" s="28">
        <v>46232.0</v>
      </c>
      <c r="B1702" s="16" t="s">
        <v>7442</v>
      </c>
      <c r="C1702" s="20" t="s">
        <v>7443</v>
      </c>
      <c r="D1702" s="21"/>
      <c r="E1702" s="41"/>
      <c r="H1702" s="78"/>
      <c r="I1702" s="21"/>
      <c r="J1702" s="25"/>
      <c r="K1702" s="26" t="s">
        <v>44</v>
      </c>
      <c r="L1702" s="16"/>
      <c r="M1702" s="21"/>
    </row>
    <row r="1703">
      <c r="A1703" s="28">
        <v>46232.0</v>
      </c>
      <c r="B1703" s="16" t="s">
        <v>7444</v>
      </c>
      <c r="C1703" s="20" t="s">
        <v>7445</v>
      </c>
      <c r="D1703" s="21"/>
      <c r="E1703" s="22" t="s">
        <v>7446</v>
      </c>
      <c r="H1703" s="78"/>
      <c r="I1703" s="21"/>
      <c r="J1703" s="25"/>
      <c r="K1703" s="26" t="s">
        <v>44</v>
      </c>
      <c r="L1703" s="16"/>
      <c r="M1703" s="21"/>
    </row>
    <row r="1704">
      <c r="A1704" s="28">
        <v>46232.0</v>
      </c>
      <c r="B1704" s="16" t="s">
        <v>7447</v>
      </c>
      <c r="C1704" s="20" t="s">
        <v>7448</v>
      </c>
      <c r="D1704" s="21"/>
      <c r="E1704" s="22" t="s">
        <v>7449</v>
      </c>
      <c r="H1704" s="78"/>
      <c r="I1704" s="21"/>
      <c r="J1704" s="25"/>
      <c r="K1704" s="26" t="s">
        <v>44</v>
      </c>
      <c r="L1704" s="16"/>
      <c r="M1704" s="21"/>
    </row>
    <row r="1705">
      <c r="A1705" s="28">
        <v>46232.0</v>
      </c>
      <c r="B1705" s="16" t="s">
        <v>7450</v>
      </c>
      <c r="C1705" s="20" t="s">
        <v>7451</v>
      </c>
      <c r="D1705" s="21"/>
      <c r="E1705" s="22" t="s">
        <v>7452</v>
      </c>
      <c r="H1705" s="78"/>
      <c r="I1705" s="21"/>
      <c r="J1705" s="25"/>
      <c r="K1705" s="26" t="s">
        <v>44</v>
      </c>
      <c r="L1705" s="16"/>
      <c r="M1705" s="21"/>
    </row>
    <row r="1706">
      <c r="A1706" s="28">
        <v>46232.0</v>
      </c>
      <c r="B1706" s="16" t="s">
        <v>7453</v>
      </c>
      <c r="C1706" s="20" t="s">
        <v>7454</v>
      </c>
      <c r="D1706" s="21"/>
      <c r="E1706" s="22" t="s">
        <v>7455</v>
      </c>
      <c r="H1706" s="78"/>
      <c r="I1706" s="21"/>
      <c r="J1706" s="25"/>
      <c r="K1706" s="26" t="s">
        <v>44</v>
      </c>
      <c r="L1706" s="16"/>
      <c r="M1706" s="21"/>
    </row>
    <row r="1707">
      <c r="A1707" s="28">
        <v>46232.0</v>
      </c>
      <c r="B1707" s="16" t="s">
        <v>7456</v>
      </c>
      <c r="C1707" s="20" t="s">
        <v>7457</v>
      </c>
      <c r="D1707" s="21"/>
      <c r="E1707" s="22" t="s">
        <v>7458</v>
      </c>
      <c r="H1707" s="78"/>
      <c r="I1707" s="21"/>
      <c r="J1707" s="25"/>
      <c r="K1707" s="26" t="s">
        <v>44</v>
      </c>
      <c r="L1707" s="16"/>
      <c r="M1707" s="21"/>
    </row>
    <row r="1708">
      <c r="A1708" s="28">
        <v>46232.0</v>
      </c>
      <c r="B1708" s="16" t="s">
        <v>7459</v>
      </c>
      <c r="C1708" s="20" t="s">
        <v>7460</v>
      </c>
      <c r="D1708" s="21"/>
      <c r="E1708" s="22" t="s">
        <v>7461</v>
      </c>
      <c r="H1708" s="78"/>
      <c r="I1708" s="21"/>
      <c r="J1708" s="25"/>
      <c r="K1708" s="26" t="s">
        <v>44</v>
      </c>
      <c r="L1708" s="16"/>
      <c r="M1708" s="21"/>
    </row>
    <row r="1709">
      <c r="A1709" s="28">
        <v>46232.0</v>
      </c>
      <c r="B1709" s="16" t="s">
        <v>7462</v>
      </c>
      <c r="C1709" s="20" t="s">
        <v>7463</v>
      </c>
      <c r="D1709" s="21"/>
      <c r="E1709" s="22" t="s">
        <v>7464</v>
      </c>
      <c r="H1709" s="78"/>
      <c r="I1709" s="21"/>
      <c r="J1709" s="25"/>
      <c r="K1709" s="26" t="s">
        <v>44</v>
      </c>
      <c r="L1709" s="16"/>
      <c r="M1709" s="21"/>
    </row>
    <row r="1710">
      <c r="A1710" s="28">
        <v>46232.0</v>
      </c>
      <c r="B1710" s="16" t="s">
        <v>7465</v>
      </c>
      <c r="C1710" s="46" t="s">
        <v>7466</v>
      </c>
      <c r="D1710" s="21"/>
      <c r="E1710" s="22" t="s">
        <v>7467</v>
      </c>
      <c r="H1710" s="78"/>
      <c r="I1710" s="21"/>
      <c r="J1710" s="25"/>
      <c r="K1710" s="26" t="s">
        <v>44</v>
      </c>
      <c r="L1710" s="16"/>
      <c r="M1710" s="21"/>
    </row>
    <row r="1711">
      <c r="A1711" s="28">
        <v>46232.0</v>
      </c>
      <c r="B1711" s="16" t="s">
        <v>7468</v>
      </c>
      <c r="C1711" s="20" t="s">
        <v>7469</v>
      </c>
      <c r="D1711" s="21"/>
      <c r="E1711" s="22" t="s">
        <v>7470</v>
      </c>
      <c r="H1711" s="78"/>
      <c r="I1711" s="21"/>
      <c r="J1711" s="25"/>
      <c r="K1711" s="26" t="s">
        <v>44</v>
      </c>
      <c r="L1711" s="16"/>
      <c r="M1711" s="21"/>
    </row>
    <row r="1712">
      <c r="A1712" s="28">
        <v>46232.0</v>
      </c>
      <c r="B1712" s="16" t="s">
        <v>7471</v>
      </c>
      <c r="C1712" s="20" t="s">
        <v>7472</v>
      </c>
      <c r="D1712" s="21"/>
      <c r="E1712" s="22" t="s">
        <v>7473</v>
      </c>
      <c r="H1712" s="78"/>
      <c r="I1712" s="21"/>
      <c r="J1712" s="25"/>
      <c r="K1712" s="26" t="s">
        <v>44</v>
      </c>
      <c r="L1712" s="16"/>
      <c r="M1712" s="21"/>
    </row>
    <row r="1713">
      <c r="A1713" s="28">
        <v>46232.0</v>
      </c>
      <c r="B1713" s="16" t="s">
        <v>7474</v>
      </c>
      <c r="C1713" s="20" t="s">
        <v>7475</v>
      </c>
      <c r="D1713" s="21"/>
      <c r="E1713" s="22" t="s">
        <v>7476</v>
      </c>
      <c r="H1713" s="78"/>
      <c r="I1713" s="21"/>
      <c r="J1713" s="25"/>
      <c r="K1713" s="26" t="s">
        <v>44</v>
      </c>
      <c r="L1713" s="16"/>
      <c r="M1713" s="21"/>
    </row>
    <row r="1714">
      <c r="A1714" s="28">
        <v>46232.0</v>
      </c>
      <c r="B1714" s="16" t="s">
        <v>7477</v>
      </c>
      <c r="C1714" s="20" t="s">
        <v>7478</v>
      </c>
      <c r="D1714" s="21"/>
      <c r="E1714" s="22" t="s">
        <v>7479</v>
      </c>
      <c r="H1714" s="78"/>
      <c r="I1714" s="21"/>
      <c r="J1714" s="25"/>
      <c r="K1714" s="26" t="s">
        <v>44</v>
      </c>
      <c r="L1714" s="16"/>
      <c r="M1714" s="21"/>
    </row>
    <row r="1715">
      <c r="A1715" s="28">
        <v>46232.0</v>
      </c>
      <c r="B1715" s="16" t="s">
        <v>7480</v>
      </c>
      <c r="C1715" s="20" t="s">
        <v>7481</v>
      </c>
      <c r="D1715" s="21"/>
      <c r="E1715" s="22" t="s">
        <v>7482</v>
      </c>
      <c r="H1715" s="78"/>
      <c r="I1715" s="21"/>
      <c r="J1715" s="25"/>
      <c r="K1715" s="26" t="s">
        <v>44</v>
      </c>
      <c r="L1715" s="16"/>
      <c r="M1715" s="21"/>
    </row>
    <row r="1716">
      <c r="A1716" s="28">
        <v>46232.0</v>
      </c>
      <c r="B1716" s="16" t="s">
        <v>7483</v>
      </c>
      <c r="C1716" s="20" t="s">
        <v>7484</v>
      </c>
      <c r="D1716" s="21"/>
      <c r="E1716" s="22" t="s">
        <v>7485</v>
      </c>
      <c r="H1716" s="78"/>
      <c r="I1716" s="21"/>
      <c r="J1716" s="25"/>
      <c r="K1716" s="26" t="s">
        <v>44</v>
      </c>
      <c r="L1716" s="16"/>
      <c r="M1716" s="21"/>
    </row>
    <row r="1717">
      <c r="A1717" s="28">
        <v>46232.0</v>
      </c>
      <c r="B1717" s="16" t="s">
        <v>7486</v>
      </c>
      <c r="C1717" s="20" t="s">
        <v>7487</v>
      </c>
      <c r="D1717" s="21"/>
      <c r="E1717" s="22" t="s">
        <v>7488</v>
      </c>
      <c r="H1717" s="78"/>
      <c r="I1717" s="21"/>
      <c r="J1717" s="25"/>
      <c r="K1717" s="26" t="s">
        <v>44</v>
      </c>
      <c r="L1717" s="16"/>
      <c r="M1717" s="21"/>
    </row>
    <row r="1718">
      <c r="A1718" s="28">
        <v>46232.0</v>
      </c>
      <c r="B1718" s="16" t="s">
        <v>7489</v>
      </c>
      <c r="C1718" s="20" t="s">
        <v>7490</v>
      </c>
      <c r="D1718" s="21"/>
      <c r="E1718" s="22" t="s">
        <v>7491</v>
      </c>
      <c r="H1718" s="78"/>
      <c r="I1718" s="21"/>
      <c r="J1718" s="25"/>
      <c r="K1718" s="26" t="s">
        <v>44</v>
      </c>
      <c r="L1718" s="16"/>
      <c r="M1718" s="21"/>
    </row>
    <row r="1719">
      <c r="A1719" s="28">
        <v>46232.0</v>
      </c>
      <c r="B1719" s="16" t="s">
        <v>7492</v>
      </c>
      <c r="C1719" s="20" t="s">
        <v>7493</v>
      </c>
      <c r="D1719" s="21"/>
      <c r="E1719" s="41"/>
      <c r="H1719" s="78"/>
      <c r="I1719" s="21"/>
      <c r="J1719" s="25"/>
      <c r="K1719" s="26" t="s">
        <v>44</v>
      </c>
      <c r="L1719" s="16"/>
      <c r="M1719" s="21"/>
    </row>
    <row r="1720">
      <c r="A1720" s="28">
        <v>46232.0</v>
      </c>
      <c r="B1720" s="16" t="s">
        <v>7494</v>
      </c>
      <c r="C1720" s="20" t="s">
        <v>7495</v>
      </c>
      <c r="D1720" s="21"/>
      <c r="E1720" s="22" t="s">
        <v>7496</v>
      </c>
      <c r="H1720" s="78"/>
      <c r="I1720" s="21"/>
      <c r="J1720" s="25"/>
      <c r="K1720" s="26" t="s">
        <v>44</v>
      </c>
      <c r="L1720" s="16"/>
      <c r="M1720" s="21"/>
    </row>
    <row r="1721">
      <c r="A1721" s="28">
        <v>46232.0</v>
      </c>
      <c r="B1721" s="16" t="s">
        <v>7497</v>
      </c>
      <c r="C1721" s="20" t="s">
        <v>7498</v>
      </c>
      <c r="D1721" s="21"/>
      <c r="E1721" s="41"/>
      <c r="H1721" s="78"/>
      <c r="I1721" s="21"/>
      <c r="J1721" s="25"/>
      <c r="K1721" s="26" t="s">
        <v>44</v>
      </c>
      <c r="L1721" s="16"/>
      <c r="M1721" s="21"/>
    </row>
    <row r="1722">
      <c r="A1722" s="28">
        <v>46232.0</v>
      </c>
      <c r="B1722" s="16" t="s">
        <v>7499</v>
      </c>
      <c r="C1722" s="20" t="s">
        <v>7500</v>
      </c>
      <c r="D1722" s="21"/>
      <c r="E1722" s="22" t="s">
        <v>7501</v>
      </c>
      <c r="H1722" s="78"/>
      <c r="I1722" s="21"/>
      <c r="J1722" s="25"/>
      <c r="K1722" s="26" t="s">
        <v>44</v>
      </c>
      <c r="L1722" s="16"/>
      <c r="M1722" s="21"/>
    </row>
    <row r="1723">
      <c r="A1723" s="28">
        <v>46232.0</v>
      </c>
      <c r="B1723" s="16" t="s">
        <v>7502</v>
      </c>
      <c r="C1723" s="20" t="s">
        <v>7503</v>
      </c>
      <c r="D1723" s="21"/>
      <c r="E1723" s="22" t="s">
        <v>7504</v>
      </c>
      <c r="H1723" s="78"/>
      <c r="I1723" s="21"/>
      <c r="J1723" s="25"/>
      <c r="K1723" s="26" t="s">
        <v>44</v>
      </c>
      <c r="L1723" s="16"/>
      <c r="M1723" s="21"/>
    </row>
    <row r="1724">
      <c r="A1724" s="28">
        <v>46232.0</v>
      </c>
      <c r="B1724" s="16" t="s">
        <v>7505</v>
      </c>
      <c r="C1724" s="20" t="s">
        <v>7506</v>
      </c>
      <c r="D1724" s="21"/>
      <c r="E1724" s="22" t="s">
        <v>7507</v>
      </c>
      <c r="H1724" s="23" t="s">
        <v>7508</v>
      </c>
      <c r="I1724" s="21"/>
      <c r="J1724" s="25"/>
      <c r="K1724" s="26" t="s">
        <v>44</v>
      </c>
      <c r="L1724" s="16"/>
      <c r="M1724" s="21"/>
    </row>
    <row r="1725">
      <c r="A1725" s="28">
        <v>46232.0</v>
      </c>
      <c r="B1725" s="16" t="s">
        <v>7509</v>
      </c>
      <c r="C1725" s="20" t="s">
        <v>7510</v>
      </c>
      <c r="D1725" s="21"/>
      <c r="E1725" s="22" t="s">
        <v>7511</v>
      </c>
      <c r="H1725" s="23" t="s">
        <v>69</v>
      </c>
      <c r="I1725" s="21"/>
      <c r="J1725" s="25"/>
      <c r="K1725" s="26" t="s">
        <v>44</v>
      </c>
      <c r="L1725" s="16"/>
      <c r="M1725" s="21"/>
    </row>
    <row r="1726">
      <c r="A1726" s="28">
        <v>46232.0</v>
      </c>
      <c r="B1726" s="16" t="s">
        <v>7512</v>
      </c>
      <c r="C1726" s="20" t="s">
        <v>7513</v>
      </c>
      <c r="D1726" s="21"/>
      <c r="E1726" s="22" t="s">
        <v>7514</v>
      </c>
      <c r="H1726" s="23" t="s">
        <v>48</v>
      </c>
      <c r="I1726" s="21"/>
      <c r="J1726" s="25"/>
      <c r="K1726" s="26" t="s">
        <v>44</v>
      </c>
      <c r="L1726" s="16"/>
      <c r="M1726" s="21"/>
    </row>
    <row r="1727">
      <c r="A1727" s="28">
        <v>46232.0</v>
      </c>
      <c r="B1727" s="16" t="s">
        <v>7515</v>
      </c>
      <c r="C1727" s="20" t="s">
        <v>7516</v>
      </c>
      <c r="D1727" s="21"/>
      <c r="E1727" s="22" t="s">
        <v>7517</v>
      </c>
      <c r="H1727" s="23" t="s">
        <v>5067</v>
      </c>
      <c r="I1727" s="21"/>
      <c r="J1727" s="25"/>
      <c r="K1727" s="26" t="s">
        <v>44</v>
      </c>
      <c r="L1727" s="16"/>
      <c r="M1727" s="21"/>
    </row>
    <row r="1728">
      <c r="A1728" s="28">
        <v>46232.0</v>
      </c>
      <c r="B1728" s="16" t="s">
        <v>7518</v>
      </c>
      <c r="C1728" s="20" t="s">
        <v>7519</v>
      </c>
      <c r="D1728" s="21"/>
      <c r="E1728" s="22" t="s">
        <v>7520</v>
      </c>
      <c r="H1728" s="23" t="s">
        <v>48</v>
      </c>
      <c r="I1728" s="21"/>
      <c r="J1728" s="25"/>
      <c r="K1728" s="26" t="s">
        <v>44</v>
      </c>
      <c r="L1728" s="16"/>
      <c r="M1728" s="21"/>
    </row>
    <row r="1729">
      <c r="A1729" s="28">
        <v>46232.0</v>
      </c>
      <c r="B1729" s="16" t="s">
        <v>7521</v>
      </c>
      <c r="C1729" s="20" t="s">
        <v>7522</v>
      </c>
      <c r="D1729" s="21"/>
      <c r="E1729" s="22" t="s">
        <v>7523</v>
      </c>
      <c r="H1729" s="23" t="s">
        <v>80</v>
      </c>
      <c r="I1729" s="21"/>
      <c r="J1729" s="25"/>
      <c r="K1729" s="26" t="s">
        <v>44</v>
      </c>
      <c r="L1729" s="16"/>
      <c r="M1729" s="21"/>
    </row>
    <row r="1730">
      <c r="A1730" s="28">
        <v>46232.0</v>
      </c>
      <c r="B1730" s="16" t="s">
        <v>7524</v>
      </c>
      <c r="C1730" s="20" t="s">
        <v>7525</v>
      </c>
      <c r="D1730" s="21"/>
      <c r="E1730" s="22" t="s">
        <v>7526</v>
      </c>
      <c r="H1730" s="23" t="s">
        <v>80</v>
      </c>
      <c r="I1730" s="21"/>
      <c r="J1730" s="25"/>
      <c r="K1730" s="26" t="s">
        <v>44</v>
      </c>
      <c r="L1730" s="16"/>
      <c r="M1730" s="21"/>
    </row>
    <row r="1731">
      <c r="A1731" s="28">
        <v>46232.0</v>
      </c>
      <c r="B1731" s="16" t="s">
        <v>7527</v>
      </c>
      <c r="C1731" s="20" t="s">
        <v>7528</v>
      </c>
      <c r="D1731" s="21"/>
      <c r="E1731" s="22" t="s">
        <v>7529</v>
      </c>
      <c r="H1731" s="23" t="s">
        <v>751</v>
      </c>
      <c r="I1731" s="21"/>
      <c r="J1731" s="25"/>
      <c r="K1731" s="26" t="s">
        <v>44</v>
      </c>
      <c r="L1731" s="16"/>
      <c r="M1731" s="21"/>
    </row>
    <row r="1732">
      <c r="A1732" s="28">
        <v>46232.0</v>
      </c>
      <c r="B1732" s="16" t="s">
        <v>7530</v>
      </c>
      <c r="C1732" s="20" t="s">
        <v>7531</v>
      </c>
      <c r="D1732" s="21"/>
      <c r="E1732" s="22" t="s">
        <v>7532</v>
      </c>
      <c r="H1732" s="23" t="s">
        <v>48</v>
      </c>
      <c r="I1732" s="21"/>
      <c r="J1732" s="25"/>
      <c r="K1732" s="26" t="s">
        <v>44</v>
      </c>
      <c r="L1732" s="16"/>
      <c r="M1732" s="21"/>
    </row>
    <row r="1733">
      <c r="A1733" s="28">
        <v>46232.0</v>
      </c>
      <c r="B1733" s="16" t="s">
        <v>7533</v>
      </c>
      <c r="C1733" s="20" t="s">
        <v>7534</v>
      </c>
      <c r="D1733" s="21"/>
      <c r="E1733" s="22" t="s">
        <v>7535</v>
      </c>
      <c r="H1733" s="23" t="s">
        <v>65</v>
      </c>
      <c r="I1733" s="21"/>
      <c r="J1733" s="25"/>
      <c r="K1733" s="26" t="s">
        <v>44</v>
      </c>
      <c r="L1733" s="16"/>
      <c r="M1733" s="21"/>
    </row>
    <row r="1734">
      <c r="A1734" s="28">
        <v>46232.0</v>
      </c>
      <c r="B1734" s="16" t="s">
        <v>7536</v>
      </c>
      <c r="C1734" s="20" t="s">
        <v>7537</v>
      </c>
      <c r="D1734" s="21"/>
      <c r="E1734" s="22" t="s">
        <v>7538</v>
      </c>
      <c r="H1734" s="23" t="s">
        <v>69</v>
      </c>
      <c r="I1734" s="21"/>
      <c r="J1734" s="25"/>
      <c r="K1734" s="26" t="s">
        <v>44</v>
      </c>
      <c r="L1734" s="16"/>
      <c r="M1734" s="21"/>
    </row>
    <row r="1735">
      <c r="A1735" s="28">
        <v>46232.0</v>
      </c>
      <c r="B1735" s="16" t="s">
        <v>7539</v>
      </c>
      <c r="C1735" s="20" t="s">
        <v>7540</v>
      </c>
      <c r="D1735" s="21"/>
      <c r="E1735" s="22" t="s">
        <v>7541</v>
      </c>
      <c r="H1735" s="23" t="s">
        <v>57</v>
      </c>
      <c r="I1735" s="21"/>
      <c r="J1735" s="25"/>
      <c r="K1735" s="26" t="s">
        <v>44</v>
      </c>
      <c r="L1735" s="16"/>
      <c r="M1735" s="21"/>
    </row>
    <row r="1736">
      <c r="A1736" s="28">
        <v>46232.0</v>
      </c>
      <c r="B1736" s="16" t="s">
        <v>7542</v>
      </c>
      <c r="C1736" s="20" t="s">
        <v>7543</v>
      </c>
      <c r="D1736" s="21"/>
      <c r="E1736" s="22" t="s">
        <v>7544</v>
      </c>
      <c r="H1736" s="23" t="s">
        <v>69</v>
      </c>
      <c r="I1736" s="21"/>
      <c r="J1736" s="25"/>
      <c r="K1736" s="26" t="s">
        <v>44</v>
      </c>
      <c r="L1736" s="16"/>
      <c r="M1736" s="21"/>
    </row>
    <row r="1737">
      <c r="A1737" s="28">
        <v>46232.0</v>
      </c>
      <c r="B1737" s="16" t="s">
        <v>7545</v>
      </c>
      <c r="C1737" s="20" t="s">
        <v>7546</v>
      </c>
      <c r="D1737" s="21"/>
      <c r="E1737" s="22" t="s">
        <v>7547</v>
      </c>
      <c r="H1737" s="23" t="s">
        <v>396</v>
      </c>
      <c r="I1737" s="21"/>
      <c r="J1737" s="25"/>
      <c r="K1737" s="26" t="s">
        <v>44</v>
      </c>
      <c r="L1737" s="16"/>
      <c r="M1737" s="21"/>
    </row>
    <row r="1738">
      <c r="A1738" s="28">
        <v>46232.0</v>
      </c>
      <c r="B1738" s="16" t="s">
        <v>7548</v>
      </c>
      <c r="C1738" s="20" t="s">
        <v>7549</v>
      </c>
      <c r="D1738" s="21"/>
      <c r="E1738" s="22" t="s">
        <v>7550</v>
      </c>
      <c r="H1738" s="23" t="s">
        <v>69</v>
      </c>
      <c r="I1738" s="21"/>
      <c r="J1738" s="25"/>
      <c r="K1738" s="26" t="s">
        <v>44</v>
      </c>
      <c r="L1738" s="16"/>
      <c r="M1738" s="21"/>
    </row>
    <row r="1739">
      <c r="A1739" s="28">
        <v>46232.0</v>
      </c>
      <c r="B1739" s="16" t="s">
        <v>7551</v>
      </c>
      <c r="C1739" s="20" t="s">
        <v>7552</v>
      </c>
      <c r="D1739" s="21"/>
      <c r="E1739" s="22" t="s">
        <v>7553</v>
      </c>
      <c r="H1739" s="23" t="s">
        <v>7554</v>
      </c>
      <c r="I1739" s="21"/>
      <c r="J1739" s="25"/>
      <c r="K1739" s="26" t="s">
        <v>44</v>
      </c>
      <c r="L1739" s="16"/>
      <c r="M1739" s="21"/>
    </row>
    <row r="1740">
      <c r="A1740" s="28">
        <v>46232.0</v>
      </c>
      <c r="B1740" s="16" t="s">
        <v>7555</v>
      </c>
      <c r="C1740" s="20" t="s">
        <v>7556</v>
      </c>
      <c r="D1740" s="21"/>
      <c r="E1740" s="22" t="s">
        <v>7557</v>
      </c>
      <c r="H1740" s="23" t="s">
        <v>7558</v>
      </c>
      <c r="I1740" s="21"/>
      <c r="J1740" s="25"/>
      <c r="K1740" s="26" t="s">
        <v>44</v>
      </c>
      <c r="L1740" s="16"/>
      <c r="M1740" s="21"/>
    </row>
    <row r="1741">
      <c r="A1741" s="28">
        <v>46232.0</v>
      </c>
      <c r="B1741" s="16" t="s">
        <v>7559</v>
      </c>
      <c r="C1741" s="20" t="s">
        <v>7560</v>
      </c>
      <c r="D1741" s="21"/>
      <c r="E1741" s="22" t="s">
        <v>7561</v>
      </c>
      <c r="H1741" s="23" t="s">
        <v>299</v>
      </c>
      <c r="I1741" s="21"/>
      <c r="J1741" s="25"/>
      <c r="K1741" s="26" t="s">
        <v>44</v>
      </c>
      <c r="L1741" s="16"/>
      <c r="M1741" s="21"/>
    </row>
    <row r="1742">
      <c r="A1742" s="28">
        <v>46232.0</v>
      </c>
      <c r="B1742" s="16" t="s">
        <v>7562</v>
      </c>
      <c r="C1742" s="46" t="s">
        <v>7563</v>
      </c>
      <c r="D1742" s="21"/>
      <c r="E1742" s="22" t="s">
        <v>7564</v>
      </c>
      <c r="H1742" s="23" t="s">
        <v>69</v>
      </c>
      <c r="I1742" s="21"/>
      <c r="J1742" s="25"/>
      <c r="K1742" s="26" t="s">
        <v>44</v>
      </c>
      <c r="L1742" s="16"/>
      <c r="M1742" s="21"/>
    </row>
    <row r="1743">
      <c r="A1743" s="28">
        <v>46232.0</v>
      </c>
      <c r="B1743" s="16" t="s">
        <v>7565</v>
      </c>
      <c r="C1743" s="20" t="s">
        <v>7566</v>
      </c>
      <c r="D1743" s="21"/>
      <c r="E1743" s="22" t="s">
        <v>7567</v>
      </c>
      <c r="H1743" s="23" t="s">
        <v>7568</v>
      </c>
      <c r="I1743" s="21"/>
      <c r="J1743" s="25"/>
      <c r="K1743" s="26" t="s">
        <v>44</v>
      </c>
      <c r="L1743" s="16"/>
      <c r="M1743" s="21"/>
    </row>
    <row r="1744">
      <c r="A1744" s="28">
        <v>46232.0</v>
      </c>
      <c r="B1744" s="16" t="s">
        <v>7569</v>
      </c>
      <c r="C1744" s="20" t="s">
        <v>7570</v>
      </c>
      <c r="D1744" s="21"/>
      <c r="E1744" s="22" t="s">
        <v>7571</v>
      </c>
      <c r="H1744" s="23" t="s">
        <v>48</v>
      </c>
      <c r="I1744" s="21"/>
      <c r="J1744" s="25"/>
      <c r="K1744" s="26" t="s">
        <v>44</v>
      </c>
      <c r="L1744" s="16"/>
      <c r="M1744" s="21"/>
    </row>
    <row r="1745">
      <c r="A1745" s="28">
        <v>46232.0</v>
      </c>
      <c r="B1745" s="16" t="s">
        <v>7572</v>
      </c>
      <c r="C1745" s="20" t="s">
        <v>7573</v>
      </c>
      <c r="D1745" s="21"/>
      <c r="E1745" s="22" t="s">
        <v>7574</v>
      </c>
      <c r="H1745" s="23" t="s">
        <v>821</v>
      </c>
      <c r="I1745" s="21"/>
      <c r="J1745" s="25"/>
      <c r="K1745" s="26" t="s">
        <v>44</v>
      </c>
      <c r="L1745" s="16"/>
      <c r="M1745" s="21"/>
    </row>
    <row r="1746">
      <c r="A1746" s="28">
        <v>46232.0</v>
      </c>
      <c r="B1746" s="16" t="s">
        <v>7575</v>
      </c>
      <c r="C1746" s="20" t="s">
        <v>7576</v>
      </c>
      <c r="D1746" s="21"/>
      <c r="E1746" s="22" t="s">
        <v>7577</v>
      </c>
      <c r="H1746" s="23" t="s">
        <v>7578</v>
      </c>
      <c r="I1746" s="21"/>
      <c r="J1746" s="25"/>
      <c r="K1746" s="26" t="s">
        <v>44</v>
      </c>
      <c r="L1746" s="16"/>
      <c r="M1746" s="21"/>
    </row>
    <row r="1747">
      <c r="A1747" s="28">
        <v>46232.0</v>
      </c>
      <c r="B1747" s="16" t="s">
        <v>7579</v>
      </c>
      <c r="C1747" s="20" t="s">
        <v>7580</v>
      </c>
      <c r="D1747" s="21"/>
      <c r="E1747" s="22" t="s">
        <v>7581</v>
      </c>
      <c r="H1747" s="23" t="s">
        <v>396</v>
      </c>
      <c r="I1747" s="21"/>
      <c r="J1747" s="25"/>
      <c r="K1747" s="26" t="s">
        <v>44</v>
      </c>
      <c r="L1747" s="16"/>
      <c r="M1747" s="21"/>
    </row>
    <row r="1748">
      <c r="A1748" s="28">
        <v>46232.0</v>
      </c>
      <c r="B1748" s="16" t="s">
        <v>7582</v>
      </c>
      <c r="C1748" s="20" t="s">
        <v>7583</v>
      </c>
      <c r="D1748" s="21"/>
      <c r="E1748" s="22" t="s">
        <v>7584</v>
      </c>
      <c r="H1748" s="23" t="s">
        <v>69</v>
      </c>
      <c r="I1748" s="21"/>
      <c r="J1748" s="25"/>
      <c r="K1748" s="26" t="s">
        <v>44</v>
      </c>
      <c r="L1748" s="16"/>
      <c r="M1748" s="21"/>
    </row>
    <row r="1749">
      <c r="A1749" s="28">
        <v>46232.0</v>
      </c>
      <c r="B1749" s="16" t="s">
        <v>7585</v>
      </c>
      <c r="C1749" s="20" t="s">
        <v>7586</v>
      </c>
      <c r="D1749" s="21"/>
      <c r="E1749" s="22" t="s">
        <v>7587</v>
      </c>
      <c r="H1749" s="23" t="s">
        <v>5264</v>
      </c>
      <c r="I1749" s="21"/>
      <c r="J1749" s="25"/>
      <c r="K1749" s="26" t="s">
        <v>44</v>
      </c>
      <c r="L1749" s="16"/>
      <c r="M1749" s="21"/>
    </row>
    <row r="1750">
      <c r="A1750" s="28">
        <v>46232.0</v>
      </c>
      <c r="B1750" s="16" t="s">
        <v>7588</v>
      </c>
      <c r="C1750" s="20" t="s">
        <v>7589</v>
      </c>
      <c r="D1750" s="21"/>
      <c r="E1750" s="22" t="s">
        <v>7590</v>
      </c>
      <c r="H1750" s="23" t="s">
        <v>1534</v>
      </c>
      <c r="I1750" s="21"/>
      <c r="J1750" s="25"/>
      <c r="K1750" s="26" t="s">
        <v>44</v>
      </c>
      <c r="L1750" s="16"/>
      <c r="M1750" s="21"/>
    </row>
    <row r="1751">
      <c r="A1751" s="28">
        <v>46232.0</v>
      </c>
      <c r="B1751" s="16" t="s">
        <v>7591</v>
      </c>
      <c r="C1751" s="20" t="s">
        <v>7592</v>
      </c>
      <c r="D1751" s="21"/>
      <c r="E1751" s="22" t="s">
        <v>7593</v>
      </c>
      <c r="H1751" s="23" t="s">
        <v>800</v>
      </c>
      <c r="I1751" s="21"/>
      <c r="J1751" s="25"/>
      <c r="K1751" s="26" t="s">
        <v>44</v>
      </c>
      <c r="L1751" s="16"/>
      <c r="M1751" s="21"/>
    </row>
    <row r="1752">
      <c r="A1752" s="28">
        <v>46232.0</v>
      </c>
      <c r="B1752" s="16" t="s">
        <v>7594</v>
      </c>
      <c r="C1752" s="20" t="s">
        <v>7595</v>
      </c>
      <c r="D1752" s="21"/>
      <c r="E1752" s="22" t="s">
        <v>7596</v>
      </c>
      <c r="H1752" s="23" t="s">
        <v>652</v>
      </c>
      <c r="I1752" s="21"/>
      <c r="J1752" s="25"/>
      <c r="K1752" s="26" t="s">
        <v>44</v>
      </c>
      <c r="L1752" s="16"/>
      <c r="M1752" s="21"/>
    </row>
    <row r="1753">
      <c r="A1753" s="28">
        <v>46232.0</v>
      </c>
      <c r="B1753" s="16" t="s">
        <v>7597</v>
      </c>
      <c r="C1753" s="20" t="s">
        <v>7598</v>
      </c>
      <c r="D1753" s="21"/>
      <c r="E1753" s="22" t="s">
        <v>7599</v>
      </c>
      <c r="H1753" s="23" t="s">
        <v>896</v>
      </c>
      <c r="I1753" s="21"/>
      <c r="J1753" s="25"/>
      <c r="K1753" s="26" t="s">
        <v>44</v>
      </c>
      <c r="L1753" s="16"/>
      <c r="M1753" s="21"/>
    </row>
    <row r="1754">
      <c r="A1754" s="28">
        <v>46232.0</v>
      </c>
      <c r="B1754" s="16" t="s">
        <v>7600</v>
      </c>
      <c r="C1754" s="20" t="s">
        <v>7601</v>
      </c>
      <c r="D1754" s="21"/>
      <c r="E1754" s="22" t="s">
        <v>7602</v>
      </c>
      <c r="H1754" s="23" t="s">
        <v>1356</v>
      </c>
      <c r="I1754" s="21"/>
      <c r="J1754" s="25"/>
      <c r="K1754" s="26" t="s">
        <v>44</v>
      </c>
      <c r="L1754" s="16"/>
      <c r="M1754" s="21"/>
    </row>
    <row r="1755">
      <c r="A1755" s="28">
        <v>46232.0</v>
      </c>
      <c r="B1755" s="16" t="s">
        <v>7603</v>
      </c>
      <c r="C1755" s="20" t="s">
        <v>7604</v>
      </c>
      <c r="D1755" s="21"/>
      <c r="E1755" s="22" t="s">
        <v>7605</v>
      </c>
      <c r="H1755" s="23" t="s">
        <v>5414</v>
      </c>
      <c r="I1755" s="21"/>
      <c r="J1755" s="25"/>
      <c r="K1755" s="26" t="s">
        <v>44</v>
      </c>
      <c r="L1755" s="16"/>
      <c r="M1755" s="21"/>
    </row>
    <row r="1756">
      <c r="A1756" s="28">
        <v>46232.0</v>
      </c>
      <c r="B1756" s="16" t="s">
        <v>7606</v>
      </c>
      <c r="C1756" s="20" t="s">
        <v>7607</v>
      </c>
      <c r="D1756" s="21"/>
      <c r="E1756" s="22" t="s">
        <v>7608</v>
      </c>
      <c r="H1756" s="23" t="s">
        <v>57</v>
      </c>
      <c r="I1756" s="21"/>
      <c r="J1756" s="25"/>
      <c r="K1756" s="26" t="s">
        <v>44</v>
      </c>
      <c r="L1756" s="16"/>
      <c r="M1756" s="21"/>
    </row>
    <row r="1757">
      <c r="A1757" s="28">
        <v>46232.0</v>
      </c>
      <c r="B1757" s="16" t="s">
        <v>7609</v>
      </c>
      <c r="C1757" s="20" t="s">
        <v>7610</v>
      </c>
      <c r="D1757" s="21"/>
      <c r="E1757" s="22" t="s">
        <v>7611</v>
      </c>
      <c r="H1757" s="23" t="s">
        <v>1963</v>
      </c>
      <c r="I1757" s="21"/>
      <c r="J1757" s="25"/>
      <c r="K1757" s="26" t="s">
        <v>44</v>
      </c>
      <c r="L1757" s="16"/>
      <c r="M1757" s="21"/>
    </row>
    <row r="1758">
      <c r="A1758" s="28">
        <v>46232.0</v>
      </c>
      <c r="B1758" s="16" t="s">
        <v>7612</v>
      </c>
      <c r="C1758" s="20" t="s">
        <v>7613</v>
      </c>
      <c r="D1758" s="21"/>
      <c r="E1758" s="22" t="s">
        <v>7614</v>
      </c>
      <c r="H1758" s="23" t="s">
        <v>69</v>
      </c>
      <c r="I1758" s="21"/>
      <c r="J1758" s="25"/>
      <c r="K1758" s="26" t="s">
        <v>44</v>
      </c>
      <c r="L1758" s="16"/>
      <c r="M1758" s="21"/>
    </row>
    <row r="1759">
      <c r="A1759" s="28">
        <v>46232.0</v>
      </c>
      <c r="B1759" s="16" t="s">
        <v>7615</v>
      </c>
      <c r="C1759" s="20" t="s">
        <v>7616</v>
      </c>
      <c r="D1759" s="21"/>
      <c r="E1759" s="22" t="s">
        <v>7617</v>
      </c>
      <c r="H1759" s="23" t="s">
        <v>1250</v>
      </c>
      <c r="I1759" s="21"/>
      <c r="J1759" s="25"/>
      <c r="K1759" s="26" t="s">
        <v>44</v>
      </c>
      <c r="L1759" s="16"/>
      <c r="M1759" s="21"/>
    </row>
    <row r="1760">
      <c r="A1760" s="28">
        <v>46232.0</v>
      </c>
      <c r="B1760" s="16" t="s">
        <v>7618</v>
      </c>
      <c r="C1760" s="20" t="s">
        <v>7619</v>
      </c>
      <c r="D1760" s="21"/>
      <c r="E1760" s="22" t="s">
        <v>7620</v>
      </c>
      <c r="H1760" s="23" t="s">
        <v>1608</v>
      </c>
      <c r="I1760" s="21"/>
      <c r="J1760" s="25"/>
      <c r="K1760" s="26" t="s">
        <v>44</v>
      </c>
      <c r="L1760" s="16"/>
      <c r="M1760" s="21"/>
    </row>
    <row r="1761">
      <c r="A1761" s="28">
        <v>46232.0</v>
      </c>
      <c r="B1761" s="16" t="s">
        <v>7621</v>
      </c>
      <c r="C1761" s="20" t="s">
        <v>7622</v>
      </c>
      <c r="D1761" s="21"/>
      <c r="E1761" s="22" t="s">
        <v>7623</v>
      </c>
      <c r="H1761" s="23" t="s">
        <v>5513</v>
      </c>
      <c r="I1761" s="21"/>
      <c r="J1761" s="25"/>
      <c r="K1761" s="26" t="s">
        <v>44</v>
      </c>
      <c r="L1761" s="16"/>
      <c r="M1761" s="21"/>
    </row>
    <row r="1762">
      <c r="A1762" s="28">
        <v>46232.0</v>
      </c>
      <c r="B1762" s="16" t="s">
        <v>7624</v>
      </c>
      <c r="C1762" s="20" t="s">
        <v>7625</v>
      </c>
      <c r="D1762" s="21"/>
      <c r="E1762" s="22" t="s">
        <v>7626</v>
      </c>
      <c r="H1762" s="23" t="s">
        <v>751</v>
      </c>
      <c r="I1762" s="21"/>
      <c r="J1762" s="25"/>
      <c r="K1762" s="26" t="s">
        <v>44</v>
      </c>
      <c r="L1762" s="16"/>
      <c r="M1762" s="21"/>
    </row>
    <row r="1763">
      <c r="A1763" s="28">
        <v>46232.0</v>
      </c>
      <c r="B1763" s="16" t="s">
        <v>7627</v>
      </c>
      <c r="C1763" s="20" t="s">
        <v>7628</v>
      </c>
      <c r="D1763" s="21"/>
      <c r="E1763" s="22" t="s">
        <v>7629</v>
      </c>
      <c r="H1763" s="23" t="s">
        <v>7630</v>
      </c>
      <c r="I1763" s="21"/>
      <c r="J1763" s="25"/>
      <c r="K1763" s="26" t="s">
        <v>44</v>
      </c>
      <c r="L1763" s="16"/>
      <c r="M1763" s="21"/>
    </row>
    <row r="1764">
      <c r="A1764" s="28">
        <v>46232.0</v>
      </c>
      <c r="B1764" s="16" t="s">
        <v>7631</v>
      </c>
      <c r="C1764" s="20" t="s">
        <v>7632</v>
      </c>
      <c r="D1764" s="21"/>
      <c r="E1764" s="22" t="s">
        <v>7633</v>
      </c>
      <c r="H1764" s="23" t="s">
        <v>65</v>
      </c>
      <c r="I1764" s="21"/>
      <c r="J1764" s="25"/>
      <c r="K1764" s="26" t="s">
        <v>44</v>
      </c>
      <c r="L1764" s="16"/>
      <c r="M1764" s="21"/>
    </row>
    <row r="1765">
      <c r="A1765" s="28">
        <v>46232.0</v>
      </c>
      <c r="B1765" s="16" t="s">
        <v>7634</v>
      </c>
      <c r="C1765" s="20" t="s">
        <v>7635</v>
      </c>
      <c r="D1765" s="21"/>
      <c r="E1765" s="22" t="s">
        <v>7636</v>
      </c>
      <c r="H1765" s="23" t="s">
        <v>299</v>
      </c>
      <c r="I1765" s="21"/>
      <c r="J1765" s="25"/>
      <c r="K1765" s="26" t="s">
        <v>44</v>
      </c>
      <c r="L1765" s="16"/>
      <c r="M1765" s="21"/>
    </row>
    <row r="1766">
      <c r="A1766" s="28">
        <v>46232.0</v>
      </c>
      <c r="B1766" s="16" t="s">
        <v>7637</v>
      </c>
      <c r="C1766" s="20" t="s">
        <v>7638</v>
      </c>
      <c r="D1766" s="21"/>
      <c r="E1766" s="22" t="s">
        <v>7639</v>
      </c>
      <c r="H1766" s="23" t="s">
        <v>479</v>
      </c>
      <c r="I1766" s="21"/>
      <c r="J1766" s="25"/>
      <c r="K1766" s="26" t="s">
        <v>44</v>
      </c>
      <c r="L1766" s="16"/>
      <c r="M1766" s="21"/>
    </row>
    <row r="1767">
      <c r="A1767" s="28">
        <v>46232.0</v>
      </c>
      <c r="B1767" s="16" t="s">
        <v>7640</v>
      </c>
      <c r="C1767" s="20" t="s">
        <v>7641</v>
      </c>
      <c r="D1767" s="21"/>
      <c r="E1767" s="22" t="s">
        <v>7642</v>
      </c>
      <c r="H1767" s="23" t="s">
        <v>479</v>
      </c>
      <c r="I1767" s="21"/>
      <c r="J1767" s="25"/>
      <c r="K1767" s="26" t="s">
        <v>44</v>
      </c>
      <c r="L1767" s="16"/>
      <c r="M1767" s="21"/>
    </row>
    <row r="1768">
      <c r="A1768" s="28">
        <v>46232.0</v>
      </c>
      <c r="B1768" s="16" t="s">
        <v>7643</v>
      </c>
      <c r="C1768" s="20" t="s">
        <v>7644</v>
      </c>
      <c r="D1768" s="21"/>
      <c r="E1768" s="22" t="s">
        <v>7645</v>
      </c>
      <c r="H1768" s="23" t="s">
        <v>2124</v>
      </c>
      <c r="I1768" s="21"/>
      <c r="J1768" s="25"/>
      <c r="K1768" s="26" t="s">
        <v>44</v>
      </c>
      <c r="L1768" s="16"/>
      <c r="M1768" s="21"/>
    </row>
    <row r="1769">
      <c r="A1769" s="28">
        <v>46232.0</v>
      </c>
      <c r="B1769" s="16" t="s">
        <v>7646</v>
      </c>
      <c r="C1769" s="20" t="s">
        <v>7647</v>
      </c>
      <c r="D1769" s="21"/>
      <c r="E1769" s="22" t="s">
        <v>7648</v>
      </c>
      <c r="H1769" s="23" t="s">
        <v>2113</v>
      </c>
      <c r="I1769" s="21"/>
      <c r="J1769" s="25"/>
      <c r="K1769" s="26" t="s">
        <v>44</v>
      </c>
      <c r="L1769" s="16"/>
      <c r="M1769" s="21"/>
    </row>
    <row r="1770">
      <c r="A1770" s="28">
        <v>46232.0</v>
      </c>
      <c r="B1770" s="16" t="s">
        <v>7649</v>
      </c>
      <c r="C1770" s="20" t="s">
        <v>7650</v>
      </c>
      <c r="D1770" s="21"/>
      <c r="E1770" s="22" t="s">
        <v>7651</v>
      </c>
      <c r="H1770" s="23" t="s">
        <v>69</v>
      </c>
      <c r="I1770" s="21"/>
      <c r="J1770" s="25"/>
      <c r="K1770" s="26" t="s">
        <v>44</v>
      </c>
      <c r="L1770" s="16"/>
      <c r="M1770" s="21"/>
    </row>
    <row r="1771">
      <c r="A1771" s="28">
        <v>46232.0</v>
      </c>
      <c r="B1771" s="16" t="s">
        <v>7652</v>
      </c>
      <c r="C1771" s="20" t="s">
        <v>7653</v>
      </c>
      <c r="D1771" s="21"/>
      <c r="E1771" s="22" t="s">
        <v>7654</v>
      </c>
      <c r="H1771" s="23" t="s">
        <v>622</v>
      </c>
      <c r="I1771" s="21"/>
      <c r="J1771" s="25"/>
      <c r="K1771" s="26" t="s">
        <v>44</v>
      </c>
      <c r="L1771" s="16"/>
      <c r="M1771" s="21"/>
    </row>
    <row r="1772">
      <c r="A1772" s="28">
        <v>46232.0</v>
      </c>
      <c r="B1772" s="16" t="s">
        <v>7655</v>
      </c>
      <c r="C1772" s="20" t="s">
        <v>7656</v>
      </c>
      <c r="D1772" s="21"/>
      <c r="E1772" s="22" t="s">
        <v>7657</v>
      </c>
      <c r="H1772" s="23" t="s">
        <v>1356</v>
      </c>
      <c r="I1772" s="21"/>
      <c r="J1772" s="25"/>
      <c r="K1772" s="26" t="s">
        <v>44</v>
      </c>
      <c r="L1772" s="16"/>
      <c r="M1772" s="21"/>
    </row>
    <row r="1773">
      <c r="A1773" s="28">
        <v>46232.0</v>
      </c>
      <c r="B1773" s="16" t="s">
        <v>7658</v>
      </c>
      <c r="C1773" s="46" t="s">
        <v>7659</v>
      </c>
      <c r="D1773" s="21"/>
      <c r="E1773" s="22" t="s">
        <v>7660</v>
      </c>
      <c r="H1773" s="23" t="s">
        <v>370</v>
      </c>
      <c r="I1773" s="21"/>
      <c r="J1773" s="25"/>
      <c r="K1773" s="26" t="s">
        <v>44</v>
      </c>
      <c r="L1773" s="16"/>
      <c r="M1773" s="21"/>
    </row>
    <row r="1774">
      <c r="A1774" s="28">
        <v>46232.0</v>
      </c>
      <c r="B1774" s="16" t="s">
        <v>7661</v>
      </c>
      <c r="C1774" s="20" t="s">
        <v>7662</v>
      </c>
      <c r="D1774" s="21"/>
      <c r="E1774" s="22" t="s">
        <v>7663</v>
      </c>
      <c r="H1774" s="23" t="s">
        <v>80</v>
      </c>
      <c r="I1774" s="21"/>
      <c r="J1774" s="25"/>
      <c r="K1774" s="26" t="s">
        <v>44</v>
      </c>
      <c r="L1774" s="16"/>
      <c r="M1774" s="21"/>
    </row>
    <row r="1775">
      <c r="A1775" s="28">
        <v>46232.0</v>
      </c>
      <c r="B1775" s="16" t="s">
        <v>7664</v>
      </c>
      <c r="C1775" s="20" t="s">
        <v>7665</v>
      </c>
      <c r="D1775" s="21"/>
      <c r="E1775" s="22" t="s">
        <v>7666</v>
      </c>
      <c r="H1775" s="23" t="s">
        <v>856</v>
      </c>
      <c r="I1775" s="21"/>
      <c r="J1775" s="25"/>
      <c r="K1775" s="26" t="s">
        <v>44</v>
      </c>
      <c r="L1775" s="16"/>
      <c r="M1775" s="21"/>
    </row>
    <row r="1776">
      <c r="A1776" s="28">
        <v>46232.0</v>
      </c>
      <c r="B1776" s="16" t="s">
        <v>7667</v>
      </c>
      <c r="C1776" s="20" t="s">
        <v>7668</v>
      </c>
      <c r="D1776" s="21"/>
      <c r="E1776" s="22" t="s">
        <v>7669</v>
      </c>
      <c r="H1776" s="23" t="s">
        <v>6223</v>
      </c>
      <c r="I1776" s="21"/>
      <c r="J1776" s="25"/>
      <c r="K1776" s="26" t="s">
        <v>44</v>
      </c>
      <c r="L1776" s="16"/>
      <c r="M1776" s="21"/>
    </row>
    <row r="1777">
      <c r="A1777" s="28">
        <v>46232.0</v>
      </c>
      <c r="B1777" s="16" t="s">
        <v>7670</v>
      </c>
      <c r="C1777" s="20" t="s">
        <v>7671</v>
      </c>
      <c r="D1777" s="21"/>
      <c r="E1777" s="22" t="s">
        <v>7672</v>
      </c>
      <c r="H1777" s="23" t="s">
        <v>1963</v>
      </c>
      <c r="I1777" s="21"/>
      <c r="J1777" s="25"/>
      <c r="K1777" s="26" t="s">
        <v>44</v>
      </c>
      <c r="L1777" s="16"/>
      <c r="M1777" s="21"/>
    </row>
    <row r="1778">
      <c r="A1778" s="28">
        <v>46232.0</v>
      </c>
      <c r="B1778" s="16" t="s">
        <v>7673</v>
      </c>
      <c r="C1778" s="20" t="s">
        <v>7674</v>
      </c>
      <c r="D1778" s="21"/>
      <c r="E1778" s="22" t="s">
        <v>7675</v>
      </c>
      <c r="H1778" s="23" t="s">
        <v>69</v>
      </c>
      <c r="I1778" s="21"/>
      <c r="J1778" s="25"/>
      <c r="K1778" s="26" t="s">
        <v>44</v>
      </c>
      <c r="L1778" s="16"/>
      <c r="M1778" s="21"/>
    </row>
    <row r="1779">
      <c r="A1779" s="28">
        <v>46232.0</v>
      </c>
      <c r="B1779" s="16" t="s">
        <v>7676</v>
      </c>
      <c r="C1779" s="46" t="s">
        <v>7677</v>
      </c>
      <c r="D1779" s="21"/>
      <c r="E1779" s="22" t="s">
        <v>7678</v>
      </c>
      <c r="H1779" s="23" t="s">
        <v>1608</v>
      </c>
      <c r="I1779" s="21"/>
      <c r="J1779" s="25"/>
      <c r="K1779" s="26" t="s">
        <v>44</v>
      </c>
      <c r="L1779" s="16"/>
      <c r="M1779" s="21"/>
    </row>
    <row r="1780">
      <c r="A1780" s="28">
        <v>46232.0</v>
      </c>
      <c r="B1780" s="16" t="s">
        <v>7679</v>
      </c>
      <c r="C1780" s="20" t="s">
        <v>7680</v>
      </c>
      <c r="D1780" s="21"/>
      <c r="E1780" s="22" t="s">
        <v>7681</v>
      </c>
      <c r="H1780" s="23" t="s">
        <v>1693</v>
      </c>
      <c r="I1780" s="21"/>
      <c r="J1780" s="25"/>
      <c r="K1780" s="26" t="s">
        <v>44</v>
      </c>
      <c r="L1780" s="16"/>
      <c r="M1780" s="21"/>
    </row>
    <row r="1781">
      <c r="A1781" s="28">
        <v>46232.0</v>
      </c>
      <c r="B1781" s="16" t="s">
        <v>7682</v>
      </c>
      <c r="C1781" s="20" t="s">
        <v>7683</v>
      </c>
      <c r="D1781" s="21"/>
      <c r="E1781" s="22" t="s">
        <v>7684</v>
      </c>
      <c r="H1781" s="23" t="s">
        <v>48</v>
      </c>
      <c r="I1781" s="21"/>
      <c r="J1781" s="25"/>
      <c r="K1781" s="26" t="s">
        <v>44</v>
      </c>
      <c r="L1781" s="16"/>
      <c r="M1781" s="21"/>
    </row>
    <row r="1782">
      <c r="A1782" s="28">
        <v>46232.0</v>
      </c>
      <c r="B1782" s="16" t="s">
        <v>7685</v>
      </c>
      <c r="C1782" s="20" t="s">
        <v>7686</v>
      </c>
      <c r="D1782" s="21"/>
      <c r="E1782" s="22" t="s">
        <v>7687</v>
      </c>
      <c r="H1782" s="23" t="s">
        <v>2842</v>
      </c>
      <c r="I1782" s="21"/>
      <c r="J1782" s="25"/>
      <c r="K1782" s="26" t="s">
        <v>44</v>
      </c>
      <c r="L1782" s="16"/>
      <c r="M1782" s="21"/>
    </row>
    <row r="1783">
      <c r="A1783" s="28">
        <v>46232.0</v>
      </c>
      <c r="B1783" s="16" t="s">
        <v>7688</v>
      </c>
      <c r="C1783" s="20" t="s">
        <v>7689</v>
      </c>
      <c r="D1783" s="21"/>
      <c r="E1783" s="22" t="s">
        <v>7690</v>
      </c>
      <c r="H1783" s="23" t="s">
        <v>4733</v>
      </c>
      <c r="I1783" s="21"/>
      <c r="J1783" s="25"/>
      <c r="K1783" s="26" t="s">
        <v>44</v>
      </c>
      <c r="L1783" s="16"/>
      <c r="M1783" s="21"/>
    </row>
    <row r="1784">
      <c r="A1784" s="28">
        <v>46232.0</v>
      </c>
      <c r="B1784" s="16" t="s">
        <v>7691</v>
      </c>
      <c r="C1784" s="20" t="s">
        <v>7692</v>
      </c>
      <c r="D1784" s="21"/>
      <c r="E1784" s="22" t="s">
        <v>7693</v>
      </c>
      <c r="H1784" s="23" t="s">
        <v>7694</v>
      </c>
      <c r="I1784" s="21"/>
      <c r="J1784" s="25"/>
      <c r="K1784" s="26" t="s">
        <v>44</v>
      </c>
      <c r="L1784" s="16"/>
      <c r="M1784" s="21"/>
    </row>
    <row r="1785">
      <c r="A1785" s="28">
        <v>46232.0</v>
      </c>
      <c r="B1785" s="16" t="s">
        <v>7695</v>
      </c>
      <c r="C1785" s="20" t="s">
        <v>7696</v>
      </c>
      <c r="D1785" s="21"/>
      <c r="E1785" s="22" t="s">
        <v>7697</v>
      </c>
      <c r="H1785" s="23" t="s">
        <v>80</v>
      </c>
      <c r="I1785" s="21"/>
      <c r="J1785" s="25"/>
      <c r="K1785" s="26" t="s">
        <v>44</v>
      </c>
      <c r="L1785" s="16"/>
      <c r="M1785" s="21"/>
    </row>
    <row r="1786">
      <c r="A1786" s="28">
        <v>46232.0</v>
      </c>
      <c r="B1786" s="16" t="s">
        <v>7698</v>
      </c>
      <c r="C1786" s="20" t="s">
        <v>7699</v>
      </c>
      <c r="D1786" s="21"/>
      <c r="E1786" s="22" t="s">
        <v>7700</v>
      </c>
      <c r="H1786" s="23" t="s">
        <v>69</v>
      </c>
      <c r="I1786" s="21"/>
      <c r="J1786" s="25"/>
      <c r="K1786" s="26" t="s">
        <v>44</v>
      </c>
      <c r="L1786" s="16"/>
      <c r="M1786" s="21"/>
    </row>
    <row r="1787">
      <c r="A1787" s="28">
        <v>46232.0</v>
      </c>
      <c r="B1787" s="16" t="s">
        <v>7701</v>
      </c>
      <c r="C1787" s="20" t="s">
        <v>7702</v>
      </c>
      <c r="D1787" s="21"/>
      <c r="E1787" s="22" t="s">
        <v>7703</v>
      </c>
      <c r="H1787" s="23" t="s">
        <v>65</v>
      </c>
      <c r="I1787" s="21"/>
      <c r="J1787" s="25"/>
      <c r="K1787" s="26" t="s">
        <v>44</v>
      </c>
      <c r="L1787" s="16"/>
      <c r="M1787" s="21"/>
    </row>
    <row r="1788">
      <c r="A1788" s="28">
        <v>46232.0</v>
      </c>
      <c r="B1788" s="16" t="s">
        <v>7704</v>
      </c>
      <c r="C1788" s="20" t="s">
        <v>7705</v>
      </c>
      <c r="D1788" s="21"/>
      <c r="E1788" s="22" t="s">
        <v>7706</v>
      </c>
      <c r="H1788" s="23" t="s">
        <v>1963</v>
      </c>
      <c r="I1788" s="21"/>
      <c r="J1788" s="25"/>
      <c r="K1788" s="26" t="s">
        <v>44</v>
      </c>
      <c r="L1788" s="16"/>
      <c r="M1788" s="21"/>
    </row>
    <row r="1789">
      <c r="A1789" s="28">
        <v>46232.0</v>
      </c>
      <c r="B1789" s="16" t="s">
        <v>7707</v>
      </c>
      <c r="C1789" s="20" t="s">
        <v>7708</v>
      </c>
      <c r="D1789" s="21"/>
      <c r="E1789" s="22" t="s">
        <v>7709</v>
      </c>
      <c r="H1789" s="23" t="s">
        <v>1137</v>
      </c>
      <c r="I1789" s="21"/>
      <c r="J1789" s="25"/>
      <c r="K1789" s="26" t="s">
        <v>44</v>
      </c>
      <c r="L1789" s="16"/>
      <c r="M1789" s="21"/>
    </row>
    <row r="1790">
      <c r="A1790" s="28">
        <v>46232.0</v>
      </c>
      <c r="B1790" s="16" t="s">
        <v>7710</v>
      </c>
      <c r="C1790" s="20" t="s">
        <v>7711</v>
      </c>
      <c r="D1790" s="21"/>
      <c r="E1790" s="22" t="s">
        <v>7712</v>
      </c>
      <c r="H1790" s="23" t="s">
        <v>69</v>
      </c>
      <c r="I1790" s="21"/>
      <c r="J1790" s="25"/>
      <c r="K1790" s="26" t="s">
        <v>44</v>
      </c>
      <c r="L1790" s="16"/>
      <c r="M1790" s="21"/>
    </row>
    <row r="1791">
      <c r="A1791" s="28">
        <v>46232.0</v>
      </c>
      <c r="B1791" s="16" t="s">
        <v>7713</v>
      </c>
      <c r="C1791" s="20" t="s">
        <v>7714</v>
      </c>
      <c r="D1791" s="21"/>
      <c r="E1791" s="22" t="s">
        <v>7715</v>
      </c>
      <c r="H1791" s="23" t="s">
        <v>1415</v>
      </c>
      <c r="I1791" s="21"/>
      <c r="J1791" s="25"/>
      <c r="K1791" s="26" t="s">
        <v>44</v>
      </c>
      <c r="L1791" s="16"/>
      <c r="M1791" s="21"/>
    </row>
    <row r="1792">
      <c r="A1792" s="28">
        <v>46232.0</v>
      </c>
      <c r="B1792" s="16" t="s">
        <v>7716</v>
      </c>
      <c r="C1792" s="20" t="s">
        <v>7717</v>
      </c>
      <c r="D1792" s="21"/>
      <c r="E1792" s="22" t="s">
        <v>7718</v>
      </c>
      <c r="H1792" s="23" t="s">
        <v>111</v>
      </c>
      <c r="I1792" s="21"/>
      <c r="J1792" s="25"/>
      <c r="K1792" s="26" t="s">
        <v>44</v>
      </c>
      <c r="L1792" s="16"/>
      <c r="M1792" s="21"/>
    </row>
    <row r="1793">
      <c r="A1793" s="28">
        <v>46232.0</v>
      </c>
      <c r="B1793" s="16" t="s">
        <v>7719</v>
      </c>
      <c r="C1793" s="20" t="s">
        <v>7720</v>
      </c>
      <c r="D1793" s="21"/>
      <c r="E1793" s="22" t="s">
        <v>7721</v>
      </c>
      <c r="H1793" s="23" t="s">
        <v>5107</v>
      </c>
      <c r="I1793" s="21"/>
      <c r="J1793" s="25"/>
      <c r="K1793" s="26" t="s">
        <v>44</v>
      </c>
      <c r="L1793" s="16"/>
      <c r="M1793" s="21"/>
    </row>
    <row r="1794">
      <c r="A1794" s="28">
        <v>46232.0</v>
      </c>
      <c r="B1794" s="16" t="s">
        <v>7722</v>
      </c>
      <c r="C1794" s="20" t="s">
        <v>7723</v>
      </c>
      <c r="D1794" s="21"/>
      <c r="E1794" s="22" t="s">
        <v>7724</v>
      </c>
      <c r="H1794" s="23" t="s">
        <v>7725</v>
      </c>
      <c r="I1794" s="21"/>
      <c r="J1794" s="25"/>
      <c r="K1794" s="26" t="s">
        <v>44</v>
      </c>
      <c r="L1794" s="16"/>
      <c r="M1794" s="21"/>
    </row>
    <row r="1795">
      <c r="A1795" s="28">
        <v>46232.0</v>
      </c>
      <c r="B1795" s="16" t="s">
        <v>7726</v>
      </c>
      <c r="C1795" s="20" t="s">
        <v>7727</v>
      </c>
      <c r="D1795" s="21"/>
      <c r="E1795" s="22" t="s">
        <v>7728</v>
      </c>
      <c r="H1795" s="23" t="s">
        <v>1415</v>
      </c>
      <c r="I1795" s="21"/>
      <c r="J1795" s="25"/>
      <c r="K1795" s="26" t="s">
        <v>44</v>
      </c>
      <c r="L1795" s="16"/>
      <c r="M1795" s="21"/>
    </row>
    <row r="1796">
      <c r="A1796" s="28">
        <v>46232.0</v>
      </c>
      <c r="B1796" s="16" t="s">
        <v>7729</v>
      </c>
      <c r="C1796" s="20" t="s">
        <v>7730</v>
      </c>
      <c r="D1796" s="21"/>
      <c r="E1796" s="22" t="s">
        <v>7731</v>
      </c>
      <c r="H1796" s="23" t="s">
        <v>7732</v>
      </c>
      <c r="I1796" s="21"/>
      <c r="J1796" s="25"/>
      <c r="K1796" s="26" t="s">
        <v>44</v>
      </c>
      <c r="L1796" s="16"/>
      <c r="M1796" s="21"/>
    </row>
    <row r="1797">
      <c r="A1797" s="28">
        <v>46232.0</v>
      </c>
      <c r="B1797" s="16" t="s">
        <v>7733</v>
      </c>
      <c r="C1797" s="20" t="s">
        <v>7734</v>
      </c>
      <c r="D1797" s="21"/>
      <c r="E1797" s="22" t="s">
        <v>7735</v>
      </c>
      <c r="H1797" s="23" t="s">
        <v>48</v>
      </c>
      <c r="I1797" s="21"/>
      <c r="J1797" s="25"/>
      <c r="K1797" s="26" t="s">
        <v>44</v>
      </c>
      <c r="L1797" s="16"/>
      <c r="M1797" s="21"/>
    </row>
    <row r="1798">
      <c r="A1798" s="28">
        <v>46232.0</v>
      </c>
      <c r="B1798" s="16" t="s">
        <v>7736</v>
      </c>
      <c r="C1798" s="20" t="s">
        <v>7737</v>
      </c>
      <c r="D1798" s="21"/>
      <c r="E1798" s="22" t="s">
        <v>7738</v>
      </c>
      <c r="H1798" s="23" t="s">
        <v>5067</v>
      </c>
      <c r="I1798" s="21"/>
      <c r="J1798" s="25"/>
      <c r="K1798" s="26" t="s">
        <v>44</v>
      </c>
      <c r="L1798" s="16"/>
      <c r="M1798" s="21"/>
    </row>
    <row r="1799">
      <c r="A1799" s="28">
        <v>46232.0</v>
      </c>
      <c r="B1799" s="16" t="s">
        <v>7739</v>
      </c>
      <c r="C1799" s="20" t="s">
        <v>7740</v>
      </c>
      <c r="D1799" s="21"/>
      <c r="E1799" s="22" t="s">
        <v>7741</v>
      </c>
      <c r="H1799" s="23" t="s">
        <v>479</v>
      </c>
      <c r="I1799" s="21"/>
      <c r="J1799" s="25"/>
      <c r="K1799" s="26" t="s">
        <v>44</v>
      </c>
      <c r="L1799" s="16"/>
      <c r="M1799" s="21"/>
    </row>
    <row r="1800">
      <c r="A1800" s="28">
        <v>46232.0</v>
      </c>
      <c r="B1800" s="16" t="s">
        <v>7742</v>
      </c>
      <c r="C1800" s="20" t="s">
        <v>7743</v>
      </c>
      <c r="D1800" s="21"/>
      <c r="E1800" s="22" t="s">
        <v>7744</v>
      </c>
      <c r="H1800" s="23" t="s">
        <v>69</v>
      </c>
      <c r="I1800" s="21"/>
      <c r="J1800" s="25"/>
      <c r="K1800" s="26" t="s">
        <v>44</v>
      </c>
      <c r="L1800" s="16"/>
      <c r="M1800" s="21"/>
    </row>
    <row r="1801">
      <c r="A1801" s="28">
        <v>46232.0</v>
      </c>
      <c r="B1801" s="16" t="s">
        <v>7745</v>
      </c>
      <c r="C1801" s="20" t="s">
        <v>7746</v>
      </c>
      <c r="D1801" s="21"/>
      <c r="E1801" s="22" t="s">
        <v>7747</v>
      </c>
      <c r="H1801" s="23" t="s">
        <v>583</v>
      </c>
      <c r="I1801" s="21"/>
      <c r="J1801" s="25"/>
      <c r="K1801" s="26" t="s">
        <v>44</v>
      </c>
      <c r="L1801" s="16"/>
      <c r="M1801" s="21"/>
    </row>
    <row r="1802">
      <c r="A1802" s="28">
        <v>46232.0</v>
      </c>
      <c r="B1802" s="16" t="s">
        <v>7748</v>
      </c>
      <c r="C1802" s="20" t="s">
        <v>7749</v>
      </c>
      <c r="D1802" s="21"/>
      <c r="E1802" s="22" t="s">
        <v>7750</v>
      </c>
      <c r="H1802" s="23" t="s">
        <v>2268</v>
      </c>
      <c r="I1802" s="21"/>
      <c r="J1802" s="25"/>
      <c r="K1802" s="26" t="s">
        <v>44</v>
      </c>
      <c r="L1802" s="16"/>
      <c r="M1802" s="21"/>
    </row>
    <row r="1803">
      <c r="A1803" s="28">
        <v>46232.0</v>
      </c>
      <c r="B1803" s="16" t="s">
        <v>7751</v>
      </c>
      <c r="C1803" s="20" t="s">
        <v>7752</v>
      </c>
      <c r="D1803" s="21"/>
      <c r="E1803" s="22" t="s">
        <v>7753</v>
      </c>
      <c r="H1803" s="23" t="s">
        <v>7754</v>
      </c>
      <c r="I1803" s="21"/>
      <c r="J1803" s="25"/>
      <c r="K1803" s="26" t="s">
        <v>44</v>
      </c>
      <c r="L1803" s="16"/>
      <c r="M1803" s="21"/>
    </row>
    <row r="1804">
      <c r="A1804" s="28">
        <v>46232.0</v>
      </c>
      <c r="B1804" s="16" t="s">
        <v>7755</v>
      </c>
      <c r="C1804" s="20" t="s">
        <v>7756</v>
      </c>
      <c r="D1804" s="21"/>
      <c r="E1804" s="22" t="s">
        <v>7757</v>
      </c>
      <c r="H1804" s="23" t="s">
        <v>7758</v>
      </c>
      <c r="I1804" s="21"/>
      <c r="J1804" s="25"/>
      <c r="K1804" s="26" t="s">
        <v>44</v>
      </c>
      <c r="L1804" s="16"/>
      <c r="M1804" s="21"/>
    </row>
    <row r="1805">
      <c r="A1805" s="28">
        <v>46232.0</v>
      </c>
      <c r="B1805" s="16" t="s">
        <v>7759</v>
      </c>
      <c r="C1805" s="20" t="s">
        <v>7760</v>
      </c>
      <c r="D1805" s="21"/>
      <c r="E1805" s="22" t="s">
        <v>7761</v>
      </c>
      <c r="H1805" s="23" t="s">
        <v>7762</v>
      </c>
      <c r="I1805" s="21"/>
      <c r="J1805" s="25"/>
      <c r="K1805" s="26" t="s">
        <v>44</v>
      </c>
      <c r="L1805" s="16"/>
      <c r="M1805" s="21"/>
    </row>
    <row r="1806">
      <c r="A1806" s="28">
        <v>46232.0</v>
      </c>
      <c r="B1806" s="16" t="s">
        <v>7763</v>
      </c>
      <c r="C1806" s="46" t="s">
        <v>7764</v>
      </c>
      <c r="D1806" s="21"/>
      <c r="E1806" s="22" t="s">
        <v>7765</v>
      </c>
      <c r="H1806" s="23" t="s">
        <v>299</v>
      </c>
      <c r="I1806" s="21"/>
      <c r="J1806" s="25"/>
      <c r="K1806" s="26" t="s">
        <v>44</v>
      </c>
      <c r="L1806" s="16"/>
      <c r="M1806" s="21"/>
    </row>
    <row r="1807">
      <c r="A1807" s="28">
        <v>46232.0</v>
      </c>
      <c r="B1807" s="16" t="s">
        <v>7766</v>
      </c>
      <c r="C1807" s="20" t="s">
        <v>7767</v>
      </c>
      <c r="D1807" s="21"/>
      <c r="E1807" s="22" t="s">
        <v>7768</v>
      </c>
      <c r="H1807" s="23" t="s">
        <v>48</v>
      </c>
      <c r="I1807" s="21"/>
      <c r="J1807" s="25"/>
      <c r="K1807" s="26" t="s">
        <v>44</v>
      </c>
      <c r="L1807" s="16"/>
      <c r="M1807" s="21"/>
    </row>
    <row r="1808">
      <c r="A1808" s="28">
        <v>46232.0</v>
      </c>
      <c r="B1808" s="16" t="s">
        <v>7769</v>
      </c>
      <c r="C1808" s="20" t="s">
        <v>7770</v>
      </c>
      <c r="D1808" s="21"/>
      <c r="E1808" s="22" t="s">
        <v>7771</v>
      </c>
      <c r="H1808" s="23" t="s">
        <v>7758</v>
      </c>
      <c r="I1808" s="21"/>
      <c r="J1808" s="25"/>
      <c r="K1808" s="26" t="s">
        <v>44</v>
      </c>
      <c r="L1808" s="16"/>
      <c r="M1808" s="21"/>
    </row>
    <row r="1809">
      <c r="A1809" s="28">
        <v>46232.0</v>
      </c>
      <c r="B1809" s="16" t="s">
        <v>7772</v>
      </c>
      <c r="C1809" s="46" t="s">
        <v>7773</v>
      </c>
      <c r="D1809" s="21"/>
      <c r="E1809" s="22" t="s">
        <v>7774</v>
      </c>
      <c r="H1809" s="23" t="s">
        <v>7775</v>
      </c>
      <c r="I1809" s="21"/>
      <c r="J1809" s="25"/>
      <c r="K1809" s="26" t="s">
        <v>44</v>
      </c>
      <c r="L1809" s="16"/>
      <c r="M1809" s="21"/>
    </row>
    <row r="1810">
      <c r="A1810" s="28">
        <v>46232.0</v>
      </c>
      <c r="B1810" s="16" t="s">
        <v>7776</v>
      </c>
      <c r="C1810" s="20" t="s">
        <v>7777</v>
      </c>
      <c r="D1810" s="21"/>
      <c r="E1810" s="22" t="s">
        <v>7778</v>
      </c>
      <c r="H1810" s="23" t="s">
        <v>5551</v>
      </c>
      <c r="I1810" s="21"/>
      <c r="J1810" s="25"/>
      <c r="K1810" s="26" t="s">
        <v>44</v>
      </c>
      <c r="L1810" s="16"/>
      <c r="M1810" s="21"/>
    </row>
    <row r="1811">
      <c r="A1811" s="28">
        <v>46232.0</v>
      </c>
      <c r="B1811" s="16" t="s">
        <v>7779</v>
      </c>
      <c r="C1811" s="20" t="s">
        <v>7780</v>
      </c>
      <c r="D1811" s="21"/>
      <c r="E1811" s="22" t="s">
        <v>7781</v>
      </c>
      <c r="H1811" s="23" t="s">
        <v>936</v>
      </c>
      <c r="I1811" s="21"/>
      <c r="J1811" s="25"/>
      <c r="K1811" s="26" t="s">
        <v>44</v>
      </c>
      <c r="L1811" s="16"/>
      <c r="M1811" s="21"/>
    </row>
    <row r="1812">
      <c r="A1812" s="28">
        <v>46232.0</v>
      </c>
      <c r="B1812" s="16" t="s">
        <v>7782</v>
      </c>
      <c r="C1812" s="20" t="s">
        <v>7783</v>
      </c>
      <c r="D1812" s="21"/>
      <c r="E1812" s="22" t="s">
        <v>7784</v>
      </c>
      <c r="H1812" s="23" t="s">
        <v>564</v>
      </c>
      <c r="I1812" s="21"/>
      <c r="J1812" s="25"/>
      <c r="K1812" s="26" t="s">
        <v>44</v>
      </c>
      <c r="L1812" s="16"/>
      <c r="M1812" s="21"/>
    </row>
    <row r="1813">
      <c r="A1813" s="28">
        <v>46232.0</v>
      </c>
      <c r="B1813" s="16" t="s">
        <v>7785</v>
      </c>
      <c r="C1813" s="20" t="s">
        <v>7786</v>
      </c>
      <c r="D1813" s="21"/>
      <c r="E1813" s="22" t="s">
        <v>7787</v>
      </c>
      <c r="H1813" s="23" t="s">
        <v>2120</v>
      </c>
      <c r="I1813" s="21"/>
      <c r="J1813" s="25"/>
      <c r="K1813" s="26" t="s">
        <v>44</v>
      </c>
      <c r="L1813" s="16"/>
      <c r="M1813" s="21"/>
    </row>
    <row r="1814">
      <c r="A1814" s="28">
        <v>46232.0</v>
      </c>
      <c r="B1814" s="16" t="s">
        <v>7788</v>
      </c>
      <c r="C1814" s="20" t="s">
        <v>7789</v>
      </c>
      <c r="D1814" s="21"/>
      <c r="E1814" s="22" t="s">
        <v>7790</v>
      </c>
      <c r="H1814" s="23" t="s">
        <v>536</v>
      </c>
      <c r="I1814" s="21"/>
      <c r="J1814" s="25"/>
      <c r="K1814" s="26" t="s">
        <v>44</v>
      </c>
      <c r="L1814" s="16"/>
      <c r="M1814" s="21"/>
    </row>
    <row r="1815">
      <c r="A1815" s="28">
        <v>46232.0</v>
      </c>
      <c r="B1815" s="16" t="s">
        <v>7791</v>
      </c>
      <c r="C1815" s="20" t="s">
        <v>7792</v>
      </c>
      <c r="D1815" s="21"/>
      <c r="E1815" s="22" t="s">
        <v>7793</v>
      </c>
      <c r="H1815" s="23" t="s">
        <v>5364</v>
      </c>
      <c r="I1815" s="21"/>
      <c r="J1815" s="25"/>
      <c r="K1815" s="26" t="s">
        <v>44</v>
      </c>
      <c r="L1815" s="16"/>
      <c r="M1815" s="21"/>
    </row>
    <row r="1816">
      <c r="A1816" s="28">
        <v>46232.0</v>
      </c>
      <c r="B1816" s="16" t="s">
        <v>7794</v>
      </c>
      <c r="C1816" s="20" t="s">
        <v>7795</v>
      </c>
      <c r="D1816" s="21"/>
      <c r="E1816" s="22" t="s">
        <v>7796</v>
      </c>
      <c r="H1816" s="23" t="s">
        <v>713</v>
      </c>
      <c r="I1816" s="21"/>
      <c r="J1816" s="25"/>
      <c r="K1816" s="26" t="s">
        <v>44</v>
      </c>
      <c r="L1816" s="16"/>
      <c r="M1816" s="21"/>
    </row>
    <row r="1817">
      <c r="A1817" s="28">
        <v>46232.0</v>
      </c>
      <c r="B1817" s="16" t="s">
        <v>7797</v>
      </c>
      <c r="C1817" s="20" t="s">
        <v>7798</v>
      </c>
      <c r="D1817" s="21"/>
      <c r="E1817" s="22" t="s">
        <v>7799</v>
      </c>
      <c r="H1817" s="23" t="s">
        <v>4676</v>
      </c>
      <c r="I1817" s="21"/>
      <c r="J1817" s="25"/>
      <c r="K1817" s="26" t="s">
        <v>44</v>
      </c>
      <c r="L1817" s="16"/>
      <c r="M1817" s="21"/>
    </row>
    <row r="1818">
      <c r="A1818" s="28">
        <v>46232.0</v>
      </c>
      <c r="B1818" s="16" t="s">
        <v>7800</v>
      </c>
      <c r="C1818" s="20" t="s">
        <v>7801</v>
      </c>
      <c r="D1818" s="21"/>
      <c r="E1818" s="22" t="s">
        <v>7802</v>
      </c>
      <c r="H1818" s="23" t="s">
        <v>299</v>
      </c>
      <c r="I1818" s="21"/>
      <c r="J1818" s="25"/>
      <c r="K1818" s="26" t="s">
        <v>44</v>
      </c>
      <c r="L1818" s="16"/>
      <c r="M1818" s="21"/>
    </row>
    <row r="1819">
      <c r="A1819" s="28">
        <v>46232.0</v>
      </c>
      <c r="B1819" s="16" t="s">
        <v>7803</v>
      </c>
      <c r="C1819" s="20" t="s">
        <v>7804</v>
      </c>
      <c r="D1819" s="21"/>
      <c r="E1819" s="22" t="s">
        <v>7805</v>
      </c>
      <c r="H1819" s="23" t="s">
        <v>7806</v>
      </c>
      <c r="I1819" s="21"/>
      <c r="J1819" s="25"/>
      <c r="K1819" s="26" t="s">
        <v>44</v>
      </c>
      <c r="L1819" s="16"/>
      <c r="M1819" s="21"/>
    </row>
    <row r="1820">
      <c r="A1820" s="28">
        <v>46232.0</v>
      </c>
      <c r="B1820" s="16" t="s">
        <v>7807</v>
      </c>
      <c r="C1820" s="20" t="s">
        <v>7808</v>
      </c>
      <c r="D1820" s="21"/>
      <c r="E1820" s="22" t="s">
        <v>7809</v>
      </c>
      <c r="H1820" s="23" t="s">
        <v>80</v>
      </c>
      <c r="I1820" s="21"/>
      <c r="J1820" s="25"/>
      <c r="K1820" s="26" t="s">
        <v>44</v>
      </c>
      <c r="L1820" s="16"/>
      <c r="M1820" s="21"/>
    </row>
    <row r="1821">
      <c r="A1821" s="28">
        <v>46232.0</v>
      </c>
      <c r="B1821" s="16" t="s">
        <v>7810</v>
      </c>
      <c r="C1821" s="20" t="s">
        <v>7811</v>
      </c>
      <c r="D1821" s="21"/>
      <c r="E1821" s="22" t="s">
        <v>7812</v>
      </c>
      <c r="H1821" s="23" t="s">
        <v>57</v>
      </c>
      <c r="I1821" s="21"/>
      <c r="J1821" s="25"/>
      <c r="K1821" s="26" t="s">
        <v>44</v>
      </c>
      <c r="L1821" s="16"/>
      <c r="M1821" s="21"/>
    </row>
    <row r="1822">
      <c r="A1822" s="28">
        <v>46232.0</v>
      </c>
      <c r="B1822" s="16" t="s">
        <v>7813</v>
      </c>
      <c r="C1822" s="20" t="s">
        <v>7814</v>
      </c>
      <c r="D1822" s="21"/>
      <c r="E1822" s="22" t="s">
        <v>7815</v>
      </c>
      <c r="H1822" s="23" t="s">
        <v>111</v>
      </c>
      <c r="I1822" s="21"/>
      <c r="J1822" s="25"/>
      <c r="K1822" s="26" t="s">
        <v>44</v>
      </c>
      <c r="L1822" s="16"/>
      <c r="M1822" s="21"/>
    </row>
    <row r="1823">
      <c r="A1823" s="28">
        <v>46232.0</v>
      </c>
      <c r="B1823" s="16" t="s">
        <v>7816</v>
      </c>
      <c r="C1823" s="20" t="s">
        <v>7817</v>
      </c>
      <c r="D1823" s="21"/>
      <c r="E1823" s="22" t="s">
        <v>7818</v>
      </c>
      <c r="H1823" s="23" t="s">
        <v>7819</v>
      </c>
      <c r="I1823" s="21"/>
      <c r="J1823" s="25"/>
      <c r="K1823" s="26" t="s">
        <v>44</v>
      </c>
      <c r="L1823" s="16"/>
      <c r="M1823" s="21"/>
    </row>
    <row r="1824">
      <c r="A1824" s="28">
        <v>46232.0</v>
      </c>
      <c r="B1824" s="16" t="s">
        <v>7820</v>
      </c>
      <c r="C1824" s="20" t="s">
        <v>7821</v>
      </c>
      <c r="D1824" s="21"/>
      <c r="E1824" s="22" t="s">
        <v>7822</v>
      </c>
      <c r="H1824" s="23" t="s">
        <v>751</v>
      </c>
      <c r="I1824" s="21"/>
      <c r="J1824" s="25"/>
      <c r="K1824" s="26" t="s">
        <v>44</v>
      </c>
      <c r="L1824" s="16"/>
      <c r="M1824" s="21"/>
    </row>
    <row r="1825">
      <c r="A1825" s="28">
        <v>46232.0</v>
      </c>
      <c r="B1825" s="16" t="s">
        <v>7823</v>
      </c>
      <c r="C1825" s="20" t="s">
        <v>7824</v>
      </c>
      <c r="D1825" s="21"/>
      <c r="E1825" s="22" t="s">
        <v>7825</v>
      </c>
      <c r="H1825" s="23" t="s">
        <v>7826</v>
      </c>
      <c r="I1825" s="21"/>
      <c r="J1825" s="25"/>
      <c r="K1825" s="26" t="s">
        <v>44</v>
      </c>
      <c r="L1825" s="16"/>
      <c r="M1825" s="21"/>
    </row>
    <row r="1826">
      <c r="A1826" s="28">
        <v>46232.0</v>
      </c>
      <c r="B1826" s="16" t="s">
        <v>7827</v>
      </c>
      <c r="C1826" s="20" t="s">
        <v>7828</v>
      </c>
      <c r="D1826" s="21"/>
      <c r="E1826" s="22" t="s">
        <v>7829</v>
      </c>
      <c r="H1826" s="23" t="s">
        <v>7830</v>
      </c>
      <c r="I1826" s="21"/>
      <c r="J1826" s="25"/>
      <c r="K1826" s="26" t="s">
        <v>44</v>
      </c>
      <c r="L1826" s="16"/>
      <c r="M1826" s="21"/>
    </row>
    <row r="1827">
      <c r="A1827" s="28">
        <v>46232.0</v>
      </c>
      <c r="B1827" s="16" t="s">
        <v>7831</v>
      </c>
      <c r="C1827" s="20" t="s">
        <v>7832</v>
      </c>
      <c r="D1827" s="21"/>
      <c r="E1827" s="22" t="s">
        <v>7833</v>
      </c>
      <c r="H1827" s="23" t="s">
        <v>404</v>
      </c>
      <c r="I1827" s="21"/>
      <c r="J1827" s="25"/>
      <c r="K1827" s="26" t="s">
        <v>44</v>
      </c>
      <c r="L1827" s="16"/>
      <c r="M1827" s="21"/>
    </row>
    <row r="1828">
      <c r="A1828" s="28">
        <v>46232.0</v>
      </c>
      <c r="B1828" s="16" t="s">
        <v>7834</v>
      </c>
      <c r="C1828" s="20" t="s">
        <v>7835</v>
      </c>
      <c r="D1828" s="21"/>
      <c r="E1828" s="22" t="s">
        <v>7836</v>
      </c>
      <c r="H1828" s="23" t="s">
        <v>2251</v>
      </c>
      <c r="I1828" s="21"/>
      <c r="J1828" s="25"/>
      <c r="K1828" s="26" t="s">
        <v>44</v>
      </c>
      <c r="L1828" s="16"/>
      <c r="M1828" s="21"/>
    </row>
    <row r="1829">
      <c r="A1829" s="28">
        <v>46232.0</v>
      </c>
      <c r="B1829" s="16" t="s">
        <v>7837</v>
      </c>
      <c r="C1829" s="20" t="s">
        <v>7838</v>
      </c>
      <c r="D1829" s="21"/>
      <c r="E1829" s="22" t="s">
        <v>7839</v>
      </c>
      <c r="H1829" s="23" t="s">
        <v>127</v>
      </c>
      <c r="I1829" s="21"/>
      <c r="J1829" s="25"/>
      <c r="K1829" s="26" t="s">
        <v>44</v>
      </c>
      <c r="L1829" s="16"/>
      <c r="M1829" s="21"/>
    </row>
    <row r="1830">
      <c r="A1830" s="28">
        <v>46232.0</v>
      </c>
      <c r="B1830" s="16" t="s">
        <v>7840</v>
      </c>
      <c r="C1830" s="20" t="s">
        <v>7841</v>
      </c>
      <c r="D1830" s="21"/>
      <c r="E1830" s="22" t="s">
        <v>7842</v>
      </c>
      <c r="H1830" s="23" t="s">
        <v>98</v>
      </c>
      <c r="I1830" s="21"/>
      <c r="J1830" s="25"/>
      <c r="K1830" s="26" t="s">
        <v>44</v>
      </c>
      <c r="L1830" s="16"/>
      <c r="M1830" s="21"/>
    </row>
    <row r="1831">
      <c r="A1831" s="28">
        <v>46232.0</v>
      </c>
      <c r="B1831" s="16" t="s">
        <v>7843</v>
      </c>
      <c r="C1831" s="20" t="s">
        <v>7844</v>
      </c>
      <c r="D1831" s="21"/>
      <c r="E1831" s="22" t="s">
        <v>7845</v>
      </c>
      <c r="H1831" s="23" t="s">
        <v>48</v>
      </c>
      <c r="I1831" s="21"/>
      <c r="J1831" s="25"/>
      <c r="K1831" s="26" t="s">
        <v>44</v>
      </c>
      <c r="L1831" s="16"/>
      <c r="M1831" s="21"/>
    </row>
    <row r="1832">
      <c r="A1832" s="28">
        <v>46232.0</v>
      </c>
      <c r="B1832" s="16" t="s">
        <v>7846</v>
      </c>
      <c r="C1832" s="20" t="s">
        <v>7847</v>
      </c>
      <c r="D1832" s="21"/>
      <c r="E1832" s="22" t="s">
        <v>7848</v>
      </c>
      <c r="H1832" s="23" t="s">
        <v>5232</v>
      </c>
      <c r="I1832" s="21"/>
      <c r="J1832" s="25"/>
      <c r="K1832" s="26" t="s">
        <v>44</v>
      </c>
      <c r="L1832" s="16"/>
      <c r="M1832" s="21"/>
    </row>
    <row r="1833">
      <c r="A1833" s="28">
        <v>46232.0</v>
      </c>
      <c r="B1833" s="16" t="s">
        <v>7849</v>
      </c>
      <c r="C1833" s="20" t="s">
        <v>7850</v>
      </c>
      <c r="D1833" s="21"/>
      <c r="E1833" s="22" t="s">
        <v>7851</v>
      </c>
      <c r="H1833" s="23" t="s">
        <v>7852</v>
      </c>
      <c r="I1833" s="21"/>
      <c r="J1833" s="25"/>
      <c r="K1833" s="26" t="s">
        <v>44</v>
      </c>
      <c r="L1833" s="16"/>
      <c r="M1833" s="21"/>
    </row>
    <row r="1834">
      <c r="A1834" s="28">
        <v>46232.0</v>
      </c>
      <c r="B1834" s="16" t="s">
        <v>7853</v>
      </c>
      <c r="C1834" s="20" t="s">
        <v>7854</v>
      </c>
      <c r="D1834" s="21"/>
      <c r="E1834" s="22" t="s">
        <v>7855</v>
      </c>
      <c r="H1834" s="23" t="s">
        <v>47</v>
      </c>
      <c r="I1834" s="21"/>
      <c r="J1834" s="25"/>
      <c r="K1834" s="26" t="s">
        <v>44</v>
      </c>
      <c r="L1834" s="16"/>
      <c r="M1834" s="21"/>
    </row>
    <row r="1835">
      <c r="A1835" s="28">
        <v>46232.0</v>
      </c>
      <c r="B1835" s="16" t="s">
        <v>7856</v>
      </c>
      <c r="C1835" s="20" t="s">
        <v>7857</v>
      </c>
      <c r="D1835" s="21"/>
      <c r="E1835" s="22" t="s">
        <v>7858</v>
      </c>
      <c r="H1835" s="23" t="s">
        <v>479</v>
      </c>
      <c r="I1835" s="21"/>
      <c r="J1835" s="25"/>
      <c r="K1835" s="26" t="s">
        <v>44</v>
      </c>
      <c r="L1835" s="16"/>
      <c r="M1835" s="21"/>
    </row>
    <row r="1836">
      <c r="A1836" s="28">
        <v>46232.0</v>
      </c>
      <c r="B1836" s="16" t="s">
        <v>7859</v>
      </c>
      <c r="C1836" s="20" t="s">
        <v>7860</v>
      </c>
      <c r="D1836" s="21"/>
      <c r="E1836" s="22" t="s">
        <v>7861</v>
      </c>
      <c r="H1836" s="23" t="s">
        <v>48</v>
      </c>
      <c r="I1836" s="21"/>
      <c r="J1836" s="25"/>
      <c r="K1836" s="26" t="s">
        <v>44</v>
      </c>
      <c r="L1836" s="16"/>
      <c r="M1836" s="21"/>
    </row>
    <row r="1837">
      <c r="A1837" s="28">
        <v>46232.0</v>
      </c>
      <c r="B1837" s="16" t="s">
        <v>7862</v>
      </c>
      <c r="C1837" s="20" t="s">
        <v>7863</v>
      </c>
      <c r="D1837" s="21"/>
      <c r="E1837" s="22" t="s">
        <v>7864</v>
      </c>
      <c r="H1837" s="23" t="s">
        <v>1595</v>
      </c>
      <c r="I1837" s="21"/>
      <c r="J1837" s="25"/>
      <c r="K1837" s="26" t="s">
        <v>44</v>
      </c>
      <c r="L1837" s="16"/>
      <c r="M1837" s="21"/>
    </row>
    <row r="1838">
      <c r="A1838" s="28">
        <v>46232.0</v>
      </c>
      <c r="B1838" s="16" t="s">
        <v>7865</v>
      </c>
      <c r="C1838" s="20" t="s">
        <v>7866</v>
      </c>
      <c r="D1838" s="21"/>
      <c r="E1838" s="22" t="s">
        <v>7867</v>
      </c>
      <c r="H1838" s="23" t="s">
        <v>479</v>
      </c>
      <c r="I1838" s="21"/>
      <c r="J1838" s="25"/>
      <c r="K1838" s="26" t="s">
        <v>44</v>
      </c>
      <c r="L1838" s="16"/>
      <c r="M1838" s="21"/>
    </row>
    <row r="1839">
      <c r="A1839" s="28">
        <v>46232.0</v>
      </c>
      <c r="B1839" s="16" t="s">
        <v>7868</v>
      </c>
      <c r="C1839" s="20" t="s">
        <v>7869</v>
      </c>
      <c r="D1839" s="21"/>
      <c r="E1839" s="22" t="s">
        <v>7870</v>
      </c>
      <c r="H1839" s="23" t="s">
        <v>1595</v>
      </c>
      <c r="I1839" s="21"/>
      <c r="J1839" s="25"/>
      <c r="K1839" s="26" t="s">
        <v>44</v>
      </c>
      <c r="L1839" s="16"/>
      <c r="M1839" s="21"/>
    </row>
    <row r="1840">
      <c r="A1840" s="28">
        <v>46232.0</v>
      </c>
      <c r="B1840" s="16" t="s">
        <v>7871</v>
      </c>
      <c r="C1840" s="20" t="s">
        <v>7872</v>
      </c>
      <c r="D1840" s="21"/>
      <c r="E1840" s="22" t="s">
        <v>7873</v>
      </c>
      <c r="H1840" s="23" t="s">
        <v>69</v>
      </c>
      <c r="I1840" s="21"/>
      <c r="J1840" s="25"/>
      <c r="K1840" s="26" t="s">
        <v>44</v>
      </c>
      <c r="L1840" s="16"/>
      <c r="M1840" s="21"/>
    </row>
    <row r="1841">
      <c r="A1841" s="28">
        <v>46232.0</v>
      </c>
      <c r="B1841" s="16" t="s">
        <v>7874</v>
      </c>
      <c r="C1841" s="20" t="s">
        <v>7875</v>
      </c>
      <c r="D1841" s="21"/>
      <c r="E1841" s="22" t="s">
        <v>7876</v>
      </c>
      <c r="H1841" s="23" t="s">
        <v>69</v>
      </c>
      <c r="I1841" s="21"/>
      <c r="J1841" s="25"/>
      <c r="K1841" s="26" t="s">
        <v>44</v>
      </c>
      <c r="L1841" s="16"/>
      <c r="M1841" s="21"/>
    </row>
    <row r="1842">
      <c r="A1842" s="28">
        <v>46232.0</v>
      </c>
      <c r="B1842" s="16" t="s">
        <v>7877</v>
      </c>
      <c r="C1842" s="20" t="s">
        <v>7878</v>
      </c>
      <c r="D1842" s="21"/>
      <c r="E1842" s="22" t="s">
        <v>7879</v>
      </c>
      <c r="H1842" s="23" t="s">
        <v>7758</v>
      </c>
      <c r="I1842" s="21"/>
      <c r="J1842" s="25"/>
      <c r="K1842" s="26" t="s">
        <v>44</v>
      </c>
      <c r="L1842" s="16"/>
      <c r="M1842" s="21"/>
    </row>
    <row r="1843">
      <c r="A1843" s="28">
        <v>46232.0</v>
      </c>
      <c r="B1843" s="16" t="s">
        <v>7880</v>
      </c>
      <c r="C1843" s="20" t="s">
        <v>7881</v>
      </c>
      <c r="D1843" s="21"/>
      <c r="E1843" s="22" t="s">
        <v>7882</v>
      </c>
      <c r="H1843" s="23" t="s">
        <v>57</v>
      </c>
      <c r="I1843" s="21"/>
      <c r="J1843" s="25"/>
      <c r="K1843" s="26" t="s">
        <v>44</v>
      </c>
      <c r="L1843" s="16"/>
      <c r="M1843" s="21"/>
    </row>
    <row r="1844">
      <c r="A1844" s="28">
        <v>46232.0</v>
      </c>
      <c r="B1844" s="16" t="s">
        <v>7883</v>
      </c>
      <c r="C1844" s="20" t="s">
        <v>7884</v>
      </c>
      <c r="D1844" s="21"/>
      <c r="E1844" s="22" t="s">
        <v>7885</v>
      </c>
      <c r="H1844" s="23" t="s">
        <v>1360</v>
      </c>
      <c r="I1844" s="21"/>
      <c r="J1844" s="25"/>
      <c r="K1844" s="26" t="s">
        <v>44</v>
      </c>
      <c r="L1844" s="16"/>
      <c r="M1844" s="21"/>
    </row>
    <row r="1845">
      <c r="A1845" s="28">
        <v>46232.0</v>
      </c>
      <c r="B1845" s="16" t="s">
        <v>7886</v>
      </c>
      <c r="C1845" s="20" t="s">
        <v>7887</v>
      </c>
      <c r="D1845" s="21"/>
      <c r="E1845" s="22" t="s">
        <v>7888</v>
      </c>
      <c r="H1845" s="23" t="s">
        <v>1246</v>
      </c>
      <c r="I1845" s="21"/>
      <c r="J1845" s="25"/>
      <c r="K1845" s="26" t="s">
        <v>44</v>
      </c>
      <c r="L1845" s="16"/>
      <c r="M1845" s="21"/>
    </row>
    <row r="1846">
      <c r="A1846" s="28">
        <v>46232.0</v>
      </c>
      <c r="B1846" s="16" t="s">
        <v>7889</v>
      </c>
      <c r="C1846" s="46" t="s">
        <v>7890</v>
      </c>
      <c r="D1846" s="21"/>
      <c r="E1846" s="22" t="s">
        <v>7891</v>
      </c>
      <c r="H1846" s="23" t="s">
        <v>127</v>
      </c>
      <c r="I1846" s="21"/>
      <c r="J1846" s="25"/>
      <c r="K1846" s="26" t="s">
        <v>44</v>
      </c>
      <c r="L1846" s="16"/>
      <c r="M1846" s="21"/>
    </row>
    <row r="1847">
      <c r="A1847" s="28">
        <v>46232.0</v>
      </c>
      <c r="B1847" s="16" t="s">
        <v>7892</v>
      </c>
      <c r="C1847" s="46" t="s">
        <v>7893</v>
      </c>
      <c r="D1847" s="21"/>
      <c r="E1847" s="22" t="s">
        <v>7894</v>
      </c>
      <c r="H1847" s="23" t="s">
        <v>69</v>
      </c>
      <c r="I1847" s="21"/>
      <c r="J1847" s="25"/>
      <c r="K1847" s="26" t="s">
        <v>44</v>
      </c>
      <c r="L1847" s="16"/>
      <c r="M1847" s="21"/>
    </row>
    <row r="1848">
      <c r="A1848" s="28">
        <v>46232.0</v>
      </c>
      <c r="B1848" s="16" t="s">
        <v>7895</v>
      </c>
      <c r="C1848" s="20" t="s">
        <v>7896</v>
      </c>
      <c r="D1848" s="21"/>
      <c r="E1848" s="22" t="s">
        <v>7897</v>
      </c>
      <c r="H1848" s="23" t="s">
        <v>69</v>
      </c>
      <c r="I1848" s="21"/>
      <c r="J1848" s="25"/>
      <c r="K1848" s="26" t="s">
        <v>44</v>
      </c>
      <c r="L1848" s="16"/>
      <c r="M1848" s="21"/>
    </row>
    <row r="1849">
      <c r="A1849" s="28">
        <v>46232.0</v>
      </c>
      <c r="B1849" s="16" t="s">
        <v>7898</v>
      </c>
      <c r="C1849" s="20" t="s">
        <v>7899</v>
      </c>
      <c r="D1849" s="21"/>
      <c r="E1849" s="22" t="s">
        <v>7900</v>
      </c>
      <c r="H1849" s="23" t="s">
        <v>57</v>
      </c>
      <c r="I1849" s="21"/>
      <c r="J1849" s="25"/>
      <c r="K1849" s="26" t="s">
        <v>44</v>
      </c>
      <c r="L1849" s="16"/>
      <c r="M1849" s="21"/>
    </row>
    <row r="1850">
      <c r="A1850" s="28">
        <v>46232.0</v>
      </c>
      <c r="B1850" s="16" t="s">
        <v>7901</v>
      </c>
      <c r="C1850" s="20" t="s">
        <v>7902</v>
      </c>
      <c r="D1850" s="21"/>
      <c r="E1850" s="22" t="s">
        <v>7903</v>
      </c>
      <c r="H1850" s="23" t="s">
        <v>2157</v>
      </c>
      <c r="I1850" s="21"/>
      <c r="J1850" s="25"/>
      <c r="K1850" s="26" t="s">
        <v>44</v>
      </c>
      <c r="L1850" s="16"/>
      <c r="M1850" s="21"/>
    </row>
    <row r="1851">
      <c r="A1851" s="28">
        <v>46232.0</v>
      </c>
      <c r="B1851" s="16" t="s">
        <v>7904</v>
      </c>
      <c r="C1851" s="20" t="s">
        <v>7905</v>
      </c>
      <c r="D1851" s="21"/>
      <c r="E1851" s="22" t="s">
        <v>7906</v>
      </c>
      <c r="H1851" s="23" t="s">
        <v>69</v>
      </c>
      <c r="I1851" s="21"/>
      <c r="J1851" s="25"/>
      <c r="K1851" s="26" t="s">
        <v>44</v>
      </c>
      <c r="L1851" s="16"/>
      <c r="M1851" s="21"/>
    </row>
    <row r="1852">
      <c r="A1852" s="28">
        <v>46232.0</v>
      </c>
      <c r="B1852" s="16" t="s">
        <v>7907</v>
      </c>
      <c r="C1852" s="20" t="s">
        <v>7908</v>
      </c>
      <c r="D1852" s="21"/>
      <c r="E1852" s="22" t="s">
        <v>7909</v>
      </c>
      <c r="H1852" s="23" t="s">
        <v>5168</v>
      </c>
      <c r="I1852" s="21"/>
      <c r="J1852" s="25"/>
      <c r="K1852" s="26" t="s">
        <v>44</v>
      </c>
      <c r="L1852" s="16"/>
      <c r="M1852" s="21"/>
    </row>
    <row r="1853">
      <c r="A1853" s="28">
        <v>46232.0</v>
      </c>
      <c r="B1853" s="16" t="s">
        <v>7910</v>
      </c>
      <c r="C1853" s="20" t="s">
        <v>7911</v>
      </c>
      <c r="D1853" s="21"/>
      <c r="E1853" s="22" t="s">
        <v>7912</v>
      </c>
      <c r="H1853" s="23" t="s">
        <v>127</v>
      </c>
      <c r="I1853" s="21"/>
      <c r="J1853" s="25"/>
      <c r="K1853" s="26" t="s">
        <v>44</v>
      </c>
      <c r="L1853" s="16"/>
      <c r="M1853" s="21"/>
    </row>
    <row r="1854">
      <c r="A1854" s="28">
        <v>46232.0</v>
      </c>
      <c r="B1854" s="16" t="s">
        <v>7913</v>
      </c>
      <c r="C1854" s="20" t="s">
        <v>7914</v>
      </c>
      <c r="D1854" s="21"/>
      <c r="E1854" s="22" t="s">
        <v>7915</v>
      </c>
      <c r="H1854" s="23" t="s">
        <v>1016</v>
      </c>
      <c r="I1854" s="21"/>
      <c r="J1854" s="25"/>
      <c r="K1854" s="26" t="s">
        <v>44</v>
      </c>
      <c r="L1854" s="16"/>
      <c r="M1854" s="21"/>
    </row>
    <row r="1855">
      <c r="A1855" s="28">
        <v>46232.0</v>
      </c>
      <c r="B1855" s="16" t="s">
        <v>7916</v>
      </c>
      <c r="C1855" s="20" t="s">
        <v>7917</v>
      </c>
      <c r="D1855" s="21"/>
      <c r="E1855" s="22" t="s">
        <v>7918</v>
      </c>
      <c r="H1855" s="23" t="s">
        <v>7919</v>
      </c>
      <c r="I1855" s="21"/>
      <c r="J1855" s="25"/>
      <c r="K1855" s="26" t="s">
        <v>44</v>
      </c>
      <c r="L1855" s="16"/>
      <c r="M1855" s="21"/>
    </row>
    <row r="1856">
      <c r="A1856" s="28">
        <v>46232.0</v>
      </c>
      <c r="B1856" s="16" t="s">
        <v>7920</v>
      </c>
      <c r="C1856" s="20" t="s">
        <v>7921</v>
      </c>
      <c r="D1856" s="21"/>
      <c r="E1856" s="22" t="s">
        <v>7922</v>
      </c>
      <c r="H1856" s="23" t="s">
        <v>896</v>
      </c>
      <c r="I1856" s="21"/>
      <c r="J1856" s="25"/>
      <c r="K1856" s="26" t="s">
        <v>44</v>
      </c>
      <c r="L1856" s="16"/>
      <c r="M1856" s="21"/>
    </row>
    <row r="1857">
      <c r="A1857" s="28">
        <v>46232.0</v>
      </c>
      <c r="B1857" s="16" t="s">
        <v>7923</v>
      </c>
      <c r="C1857" s="20" t="s">
        <v>7924</v>
      </c>
      <c r="D1857" s="21"/>
      <c r="E1857" s="22" t="s">
        <v>7925</v>
      </c>
      <c r="H1857" s="23" t="s">
        <v>1141</v>
      </c>
      <c r="I1857" s="21"/>
      <c r="J1857" s="25"/>
      <c r="K1857" s="26" t="s">
        <v>44</v>
      </c>
      <c r="L1857" s="16"/>
      <c r="M1857" s="21"/>
    </row>
    <row r="1858">
      <c r="A1858" s="28">
        <v>46232.0</v>
      </c>
      <c r="B1858" s="16" t="s">
        <v>7926</v>
      </c>
      <c r="C1858" s="20" t="s">
        <v>7927</v>
      </c>
      <c r="D1858" s="21"/>
      <c r="E1858" s="22" t="s">
        <v>7928</v>
      </c>
      <c r="H1858" s="23" t="s">
        <v>7929</v>
      </c>
      <c r="I1858" s="21"/>
      <c r="J1858" s="25"/>
      <c r="K1858" s="26" t="s">
        <v>44</v>
      </c>
      <c r="L1858" s="16"/>
      <c r="M1858" s="21"/>
    </row>
    <row r="1859">
      <c r="A1859" s="28">
        <v>46232.0</v>
      </c>
      <c r="B1859" s="16" t="s">
        <v>7930</v>
      </c>
      <c r="C1859" s="20" t="s">
        <v>7931</v>
      </c>
      <c r="D1859" s="21"/>
      <c r="E1859" s="22" t="s">
        <v>7932</v>
      </c>
      <c r="H1859" s="23" t="s">
        <v>1141</v>
      </c>
      <c r="I1859" s="21"/>
      <c r="J1859" s="25"/>
      <c r="K1859" s="26" t="s">
        <v>44</v>
      </c>
      <c r="L1859" s="16"/>
      <c r="M1859" s="21"/>
    </row>
    <row r="1860">
      <c r="A1860" s="28">
        <v>46232.0</v>
      </c>
      <c r="B1860" s="16" t="s">
        <v>7933</v>
      </c>
      <c r="C1860" s="20" t="s">
        <v>7934</v>
      </c>
      <c r="D1860" s="21"/>
      <c r="E1860" s="22" t="s">
        <v>7935</v>
      </c>
      <c r="H1860" s="23" t="s">
        <v>7852</v>
      </c>
      <c r="I1860" s="21"/>
      <c r="J1860" s="25"/>
      <c r="K1860" s="26" t="s">
        <v>44</v>
      </c>
      <c r="L1860" s="16"/>
      <c r="M1860" s="21"/>
    </row>
    <row r="1861">
      <c r="A1861" s="28">
        <v>46232.0</v>
      </c>
      <c r="B1861" s="16" t="s">
        <v>7936</v>
      </c>
      <c r="C1861" s="20" t="s">
        <v>7937</v>
      </c>
      <c r="D1861" s="21"/>
      <c r="E1861" s="22" t="s">
        <v>7938</v>
      </c>
      <c r="H1861" s="23" t="s">
        <v>1708</v>
      </c>
      <c r="I1861" s="21"/>
      <c r="J1861" s="25"/>
      <c r="K1861" s="26" t="s">
        <v>44</v>
      </c>
      <c r="L1861" s="16"/>
      <c r="M1861" s="21"/>
    </row>
    <row r="1862">
      <c r="A1862" s="28">
        <v>46232.0</v>
      </c>
      <c r="B1862" s="16" t="s">
        <v>7939</v>
      </c>
      <c r="C1862" s="20" t="s">
        <v>7940</v>
      </c>
      <c r="D1862" s="21"/>
      <c r="E1862" s="22" t="s">
        <v>7941</v>
      </c>
      <c r="H1862" s="23" t="s">
        <v>7942</v>
      </c>
      <c r="I1862" s="21"/>
      <c r="J1862" s="25"/>
      <c r="K1862" s="26" t="s">
        <v>44</v>
      </c>
      <c r="L1862" s="16"/>
      <c r="M1862" s="21"/>
    </row>
    <row r="1863">
      <c r="A1863" s="28">
        <v>46232.0</v>
      </c>
      <c r="B1863" s="16" t="s">
        <v>7943</v>
      </c>
      <c r="C1863" s="20" t="s">
        <v>7944</v>
      </c>
      <c r="D1863" s="21"/>
      <c r="E1863" s="22" t="s">
        <v>7945</v>
      </c>
      <c r="H1863" s="23" t="s">
        <v>6506</v>
      </c>
      <c r="I1863" s="21"/>
      <c r="J1863" s="25"/>
      <c r="K1863" s="26" t="s">
        <v>44</v>
      </c>
      <c r="L1863" s="16"/>
      <c r="M1863" s="21"/>
    </row>
    <row r="1864">
      <c r="A1864" s="28">
        <v>46232.0</v>
      </c>
      <c r="B1864" s="16" t="s">
        <v>7946</v>
      </c>
      <c r="C1864" s="20" t="s">
        <v>7947</v>
      </c>
      <c r="D1864" s="21"/>
      <c r="E1864" s="22" t="s">
        <v>7948</v>
      </c>
      <c r="H1864" s="23" t="s">
        <v>57</v>
      </c>
      <c r="I1864" s="21"/>
      <c r="J1864" s="25"/>
      <c r="K1864" s="26" t="s">
        <v>44</v>
      </c>
      <c r="L1864" s="16"/>
      <c r="M1864" s="21"/>
    </row>
    <row r="1865">
      <c r="A1865" s="28">
        <v>46232.0</v>
      </c>
      <c r="B1865" s="16" t="s">
        <v>7949</v>
      </c>
      <c r="C1865" s="20" t="s">
        <v>7950</v>
      </c>
      <c r="D1865" s="21"/>
      <c r="E1865" s="22" t="s">
        <v>7951</v>
      </c>
      <c r="H1865" s="23" t="s">
        <v>7952</v>
      </c>
      <c r="I1865" s="21"/>
      <c r="J1865" s="25"/>
      <c r="K1865" s="26" t="s">
        <v>44</v>
      </c>
      <c r="L1865" s="16"/>
      <c r="M1865" s="21"/>
    </row>
    <row r="1866">
      <c r="A1866" s="28">
        <v>46232.0</v>
      </c>
      <c r="B1866" s="16" t="s">
        <v>7953</v>
      </c>
      <c r="C1866" s="20" t="s">
        <v>7954</v>
      </c>
      <c r="D1866" s="21"/>
      <c r="E1866" s="22" t="s">
        <v>7955</v>
      </c>
      <c r="H1866" s="23" t="s">
        <v>1422</v>
      </c>
      <c r="I1866" s="21"/>
      <c r="J1866" s="25"/>
      <c r="K1866" s="26" t="s">
        <v>44</v>
      </c>
      <c r="L1866" s="16"/>
      <c r="M1866" s="21"/>
    </row>
    <row r="1867">
      <c r="A1867" s="28">
        <v>46232.0</v>
      </c>
      <c r="B1867" s="16" t="s">
        <v>7956</v>
      </c>
      <c r="C1867" s="20" t="s">
        <v>7957</v>
      </c>
      <c r="D1867" s="21"/>
      <c r="E1867" s="22" t="s">
        <v>7958</v>
      </c>
      <c r="H1867" s="23" t="s">
        <v>7959</v>
      </c>
      <c r="I1867" s="21"/>
      <c r="J1867" s="25"/>
      <c r="K1867" s="26" t="s">
        <v>44</v>
      </c>
      <c r="L1867" s="16"/>
      <c r="M1867" s="21"/>
    </row>
    <row r="1868">
      <c r="A1868" s="28">
        <v>46232.0</v>
      </c>
      <c r="B1868" s="16" t="s">
        <v>7960</v>
      </c>
      <c r="C1868" s="20" t="s">
        <v>7961</v>
      </c>
      <c r="D1868" s="21"/>
      <c r="E1868" s="22" t="s">
        <v>7962</v>
      </c>
      <c r="H1868" s="23" t="s">
        <v>904</v>
      </c>
      <c r="I1868" s="21"/>
      <c r="J1868" s="25"/>
      <c r="K1868" s="26" t="s">
        <v>44</v>
      </c>
      <c r="L1868" s="16"/>
      <c r="M1868" s="21"/>
    </row>
    <row r="1869">
      <c r="A1869" s="28">
        <v>46232.0</v>
      </c>
      <c r="B1869" s="16" t="s">
        <v>7963</v>
      </c>
      <c r="C1869" s="20" t="s">
        <v>7964</v>
      </c>
      <c r="D1869" s="21"/>
      <c r="E1869" s="22" t="s">
        <v>7965</v>
      </c>
      <c r="H1869" s="23" t="s">
        <v>370</v>
      </c>
      <c r="I1869" s="21"/>
      <c r="J1869" s="25"/>
      <c r="K1869" s="26" t="s">
        <v>44</v>
      </c>
      <c r="L1869" s="16"/>
      <c r="M1869" s="21"/>
    </row>
    <row r="1870">
      <c r="A1870" s="28">
        <v>46232.0</v>
      </c>
      <c r="B1870" s="16" t="s">
        <v>7966</v>
      </c>
      <c r="C1870" s="20" t="s">
        <v>7967</v>
      </c>
      <c r="D1870" s="21"/>
      <c r="E1870" s="22" t="s">
        <v>7968</v>
      </c>
      <c r="H1870" s="23" t="s">
        <v>622</v>
      </c>
      <c r="I1870" s="21"/>
      <c r="J1870" s="25"/>
      <c r="K1870" s="26" t="s">
        <v>44</v>
      </c>
      <c r="L1870" s="16"/>
      <c r="M1870" s="21"/>
    </row>
    <row r="1871">
      <c r="A1871" s="28">
        <v>46232.0</v>
      </c>
      <c r="B1871" s="16" t="s">
        <v>7969</v>
      </c>
      <c r="C1871" s="20" t="s">
        <v>7970</v>
      </c>
      <c r="D1871" s="21"/>
      <c r="E1871" s="22" t="s">
        <v>7971</v>
      </c>
      <c r="H1871" s="23" t="s">
        <v>1619</v>
      </c>
      <c r="I1871" s="21"/>
      <c r="J1871" s="25"/>
      <c r="K1871" s="26" t="s">
        <v>44</v>
      </c>
      <c r="L1871" s="16"/>
      <c r="M1871" s="21"/>
    </row>
    <row r="1872">
      <c r="A1872" s="28">
        <v>46232.0</v>
      </c>
      <c r="B1872" s="16" t="s">
        <v>7972</v>
      </c>
      <c r="C1872" s="20" t="s">
        <v>7973</v>
      </c>
      <c r="D1872" s="21"/>
      <c r="E1872" s="22" t="s">
        <v>7974</v>
      </c>
      <c r="H1872" s="23" t="s">
        <v>1239</v>
      </c>
      <c r="I1872" s="21"/>
      <c r="J1872" s="25"/>
      <c r="K1872" s="26" t="s">
        <v>44</v>
      </c>
      <c r="L1872" s="16"/>
      <c r="M1872" s="21"/>
    </row>
    <row r="1873">
      <c r="A1873" s="28">
        <v>46232.0</v>
      </c>
      <c r="B1873" s="16" t="s">
        <v>7975</v>
      </c>
      <c r="C1873" s="20" t="s">
        <v>7976</v>
      </c>
      <c r="D1873" s="21"/>
      <c r="E1873" s="22" t="s">
        <v>7977</v>
      </c>
      <c r="H1873" s="23" t="s">
        <v>7978</v>
      </c>
      <c r="I1873" s="21"/>
      <c r="J1873" s="25"/>
      <c r="K1873" s="26" t="s">
        <v>44</v>
      </c>
      <c r="L1873" s="16"/>
      <c r="M1873" s="21"/>
    </row>
    <row r="1874">
      <c r="A1874" s="28">
        <v>46232.0</v>
      </c>
      <c r="B1874" s="16" t="s">
        <v>7979</v>
      </c>
      <c r="C1874" s="20" t="s">
        <v>7980</v>
      </c>
      <c r="D1874" s="21"/>
      <c r="E1874" s="22" t="s">
        <v>7981</v>
      </c>
      <c r="H1874" s="23" t="s">
        <v>1331</v>
      </c>
      <c r="I1874" s="21"/>
      <c r="J1874" s="25"/>
      <c r="K1874" s="26" t="s">
        <v>44</v>
      </c>
      <c r="L1874" s="16"/>
      <c r="M1874" s="21"/>
    </row>
    <row r="1875">
      <c r="A1875" s="28">
        <v>46232.0</v>
      </c>
      <c r="B1875" s="16" t="s">
        <v>7982</v>
      </c>
      <c r="C1875" s="20" t="s">
        <v>7983</v>
      </c>
      <c r="D1875" s="21"/>
      <c r="E1875" s="22" t="s">
        <v>7984</v>
      </c>
      <c r="H1875" s="23" t="s">
        <v>7985</v>
      </c>
      <c r="I1875" s="21"/>
      <c r="J1875" s="25"/>
      <c r="K1875" s="26" t="s">
        <v>44</v>
      </c>
      <c r="L1875" s="16"/>
      <c r="M1875" s="21"/>
    </row>
    <row r="1876">
      <c r="A1876" s="28">
        <v>46232.0</v>
      </c>
      <c r="B1876" s="16" t="s">
        <v>7986</v>
      </c>
      <c r="C1876" s="20" t="s">
        <v>7987</v>
      </c>
      <c r="D1876" s="21"/>
      <c r="E1876" s="22" t="s">
        <v>7988</v>
      </c>
      <c r="H1876" s="23" t="s">
        <v>48</v>
      </c>
      <c r="I1876" s="21"/>
      <c r="J1876" s="25"/>
      <c r="K1876" s="26" t="s">
        <v>44</v>
      </c>
      <c r="L1876" s="16"/>
      <c r="M1876" s="21"/>
    </row>
    <row r="1877">
      <c r="A1877" s="28">
        <v>46232.0</v>
      </c>
      <c r="B1877" s="16" t="s">
        <v>7989</v>
      </c>
      <c r="C1877" s="20" t="s">
        <v>7990</v>
      </c>
      <c r="D1877" s="21"/>
      <c r="E1877" s="22" t="s">
        <v>7991</v>
      </c>
      <c r="H1877" s="23" t="s">
        <v>528</v>
      </c>
      <c r="I1877" s="21"/>
      <c r="J1877" s="25"/>
      <c r="K1877" s="26" t="s">
        <v>44</v>
      </c>
      <c r="L1877" s="16"/>
      <c r="M1877" s="21"/>
    </row>
    <row r="1878">
      <c r="A1878" s="28">
        <v>46232.0</v>
      </c>
      <c r="B1878" s="16" t="s">
        <v>7992</v>
      </c>
      <c r="C1878" s="20" t="s">
        <v>7993</v>
      </c>
      <c r="D1878" s="21"/>
      <c r="E1878" s="22" t="s">
        <v>7994</v>
      </c>
      <c r="H1878" s="23" t="s">
        <v>487</v>
      </c>
      <c r="I1878" s="21"/>
      <c r="J1878" s="25"/>
      <c r="K1878" s="26" t="s">
        <v>44</v>
      </c>
      <c r="L1878" s="16"/>
      <c r="M1878" s="21"/>
    </row>
    <row r="1879">
      <c r="A1879" s="28">
        <v>46232.0</v>
      </c>
      <c r="B1879" s="16" t="s">
        <v>7995</v>
      </c>
      <c r="C1879" s="20" t="s">
        <v>7996</v>
      </c>
      <c r="D1879" s="21"/>
      <c r="E1879" s="22" t="s">
        <v>7997</v>
      </c>
      <c r="H1879" s="23" t="s">
        <v>463</v>
      </c>
      <c r="I1879" s="21"/>
      <c r="J1879" s="25"/>
      <c r="K1879" s="26" t="s">
        <v>44</v>
      </c>
      <c r="L1879" s="16"/>
      <c r="M1879" s="21"/>
    </row>
    <row r="1880">
      <c r="A1880" s="28">
        <v>46232.0</v>
      </c>
      <c r="B1880" s="16" t="s">
        <v>7998</v>
      </c>
      <c r="C1880" s="20" t="s">
        <v>7999</v>
      </c>
      <c r="D1880" s="21"/>
      <c r="E1880" s="22" t="s">
        <v>8000</v>
      </c>
      <c r="H1880" s="23" t="s">
        <v>80</v>
      </c>
      <c r="I1880" s="21"/>
      <c r="J1880" s="25"/>
      <c r="K1880" s="26" t="s">
        <v>44</v>
      </c>
      <c r="L1880" s="16"/>
      <c r="M1880" s="21"/>
    </row>
    <row r="1881">
      <c r="A1881" s="28">
        <v>46232.0</v>
      </c>
      <c r="B1881" s="16" t="s">
        <v>8001</v>
      </c>
      <c r="C1881" s="20" t="s">
        <v>8002</v>
      </c>
      <c r="D1881" s="21"/>
      <c r="E1881" s="22" t="s">
        <v>8003</v>
      </c>
      <c r="H1881" s="23" t="s">
        <v>8004</v>
      </c>
      <c r="I1881" s="21"/>
      <c r="J1881" s="25"/>
      <c r="K1881" s="26" t="s">
        <v>44</v>
      </c>
      <c r="L1881" s="16"/>
      <c r="M1881" s="21"/>
    </row>
    <row r="1882">
      <c r="A1882" s="28">
        <v>46232.0</v>
      </c>
      <c r="B1882" s="16" t="s">
        <v>8005</v>
      </c>
      <c r="C1882" s="20" t="s">
        <v>8006</v>
      </c>
      <c r="D1882" s="21"/>
      <c r="E1882" s="22" t="s">
        <v>8007</v>
      </c>
      <c r="H1882" s="23" t="s">
        <v>896</v>
      </c>
      <c r="I1882" s="21"/>
      <c r="J1882" s="25"/>
      <c r="K1882" s="26" t="s">
        <v>44</v>
      </c>
      <c r="L1882" s="16"/>
      <c r="M1882" s="21"/>
    </row>
    <row r="1883">
      <c r="A1883" s="28">
        <v>46232.0</v>
      </c>
      <c r="B1883" s="16" t="s">
        <v>8008</v>
      </c>
      <c r="C1883" s="20" t="s">
        <v>8009</v>
      </c>
      <c r="D1883" s="21"/>
      <c r="E1883" s="22" t="s">
        <v>8010</v>
      </c>
      <c r="H1883" s="23" t="s">
        <v>80</v>
      </c>
      <c r="I1883" s="21"/>
      <c r="J1883" s="25"/>
      <c r="K1883" s="26" t="s">
        <v>44</v>
      </c>
      <c r="L1883" s="16"/>
      <c r="M1883" s="21"/>
    </row>
    <row r="1884">
      <c r="A1884" s="28">
        <v>46232.0</v>
      </c>
      <c r="B1884" s="16" t="s">
        <v>8011</v>
      </c>
      <c r="C1884" s="20" t="s">
        <v>8012</v>
      </c>
      <c r="D1884" s="21"/>
      <c r="E1884" s="22" t="s">
        <v>8013</v>
      </c>
      <c r="H1884" s="23" t="s">
        <v>751</v>
      </c>
      <c r="I1884" s="21"/>
      <c r="J1884" s="25"/>
      <c r="K1884" s="26" t="s">
        <v>44</v>
      </c>
      <c r="L1884" s="16"/>
      <c r="M1884" s="21"/>
    </row>
    <row r="1885">
      <c r="A1885" s="28">
        <v>46232.0</v>
      </c>
      <c r="B1885" s="16" t="s">
        <v>8014</v>
      </c>
      <c r="C1885" s="20" t="s">
        <v>8015</v>
      </c>
      <c r="D1885" s="21"/>
      <c r="E1885" s="22" t="s">
        <v>8016</v>
      </c>
      <c r="H1885" s="23" t="s">
        <v>1415</v>
      </c>
      <c r="I1885" s="21"/>
      <c r="J1885" s="25"/>
      <c r="K1885" s="26" t="s">
        <v>44</v>
      </c>
      <c r="L1885" s="16"/>
      <c r="M1885" s="21"/>
    </row>
    <row r="1886">
      <c r="A1886" s="28">
        <v>46232.0</v>
      </c>
      <c r="B1886" s="16" t="s">
        <v>8017</v>
      </c>
      <c r="C1886" s="20" t="s">
        <v>8018</v>
      </c>
      <c r="D1886" s="21"/>
      <c r="E1886" s="22" t="s">
        <v>8019</v>
      </c>
      <c r="H1886" s="23" t="s">
        <v>8020</v>
      </c>
      <c r="I1886" s="21"/>
      <c r="J1886" s="25"/>
      <c r="K1886" s="26" t="s">
        <v>44</v>
      </c>
      <c r="L1886" s="16"/>
      <c r="M1886" s="21"/>
    </row>
    <row r="1887">
      <c r="A1887" s="28">
        <v>46232.0</v>
      </c>
      <c r="B1887" s="16" t="s">
        <v>8021</v>
      </c>
      <c r="C1887" s="20" t="s">
        <v>8022</v>
      </c>
      <c r="D1887" s="21"/>
      <c r="E1887" s="22" t="s">
        <v>8023</v>
      </c>
      <c r="H1887" s="23" t="s">
        <v>983</v>
      </c>
      <c r="I1887" s="21"/>
      <c r="J1887" s="25"/>
      <c r="K1887" s="26" t="s">
        <v>44</v>
      </c>
      <c r="L1887" s="16"/>
      <c r="M1887" s="21"/>
    </row>
    <row r="1888">
      <c r="A1888" s="28">
        <v>46232.0</v>
      </c>
      <c r="B1888" s="16" t="s">
        <v>8024</v>
      </c>
      <c r="C1888" s="20" t="s">
        <v>8025</v>
      </c>
      <c r="D1888" s="21"/>
      <c r="E1888" s="22" t="s">
        <v>8026</v>
      </c>
      <c r="H1888" s="23" t="s">
        <v>1016</v>
      </c>
      <c r="I1888" s="21"/>
      <c r="J1888" s="25"/>
      <c r="K1888" s="26" t="s">
        <v>44</v>
      </c>
      <c r="L1888" s="16"/>
      <c r="M1888" s="21"/>
    </row>
    <row r="1889">
      <c r="A1889" s="28">
        <v>46232.0</v>
      </c>
      <c r="B1889" s="16" t="s">
        <v>8027</v>
      </c>
      <c r="C1889" s="20" t="s">
        <v>8028</v>
      </c>
      <c r="D1889" s="21"/>
      <c r="E1889" s="22" t="s">
        <v>8029</v>
      </c>
      <c r="H1889" s="23" t="s">
        <v>8030</v>
      </c>
      <c r="I1889" s="21"/>
      <c r="J1889" s="25"/>
      <c r="K1889" s="26" t="s">
        <v>44</v>
      </c>
      <c r="L1889" s="16"/>
      <c r="M1889" s="21"/>
    </row>
    <row r="1890">
      <c r="A1890" s="28">
        <v>46232.0</v>
      </c>
      <c r="B1890" s="16" t="s">
        <v>8031</v>
      </c>
      <c r="C1890" s="20" t="s">
        <v>8032</v>
      </c>
      <c r="D1890" s="21"/>
      <c r="E1890" s="22" t="s">
        <v>8033</v>
      </c>
      <c r="H1890" s="23" t="s">
        <v>57</v>
      </c>
      <c r="I1890" s="21"/>
      <c r="J1890" s="25"/>
      <c r="K1890" s="26" t="s">
        <v>44</v>
      </c>
      <c r="L1890" s="16"/>
      <c r="M1890" s="21"/>
    </row>
    <row r="1891">
      <c r="A1891" s="28">
        <v>46232.0</v>
      </c>
      <c r="B1891" s="16" t="s">
        <v>8034</v>
      </c>
      <c r="C1891" s="20" t="s">
        <v>8035</v>
      </c>
      <c r="D1891" s="21"/>
      <c r="E1891" s="22" t="s">
        <v>8036</v>
      </c>
      <c r="H1891" s="23" t="s">
        <v>8037</v>
      </c>
      <c r="I1891" s="21"/>
      <c r="J1891" s="25"/>
      <c r="K1891" s="26" t="s">
        <v>44</v>
      </c>
      <c r="L1891" s="16"/>
      <c r="M1891" s="21"/>
    </row>
    <row r="1892">
      <c r="A1892" s="28">
        <v>46232.0</v>
      </c>
      <c r="B1892" s="16" t="s">
        <v>8038</v>
      </c>
      <c r="C1892" s="20" t="s">
        <v>8039</v>
      </c>
      <c r="D1892" s="21"/>
      <c r="E1892" s="22" t="s">
        <v>8040</v>
      </c>
      <c r="H1892" s="23" t="s">
        <v>8041</v>
      </c>
      <c r="I1892" s="21"/>
      <c r="J1892" s="25"/>
      <c r="K1892" s="26" t="s">
        <v>44</v>
      </c>
      <c r="L1892" s="16"/>
      <c r="M1892" s="21"/>
    </row>
    <row r="1893">
      <c r="A1893" s="28">
        <v>46232.0</v>
      </c>
      <c r="B1893" s="16" t="s">
        <v>8042</v>
      </c>
      <c r="C1893" s="20" t="s">
        <v>8043</v>
      </c>
      <c r="D1893" s="21"/>
      <c r="E1893" s="22" t="s">
        <v>8044</v>
      </c>
      <c r="H1893" s="23" t="s">
        <v>751</v>
      </c>
      <c r="I1893" s="21"/>
      <c r="J1893" s="25"/>
      <c r="K1893" s="26" t="s">
        <v>44</v>
      </c>
      <c r="L1893" s="16"/>
      <c r="M1893" s="21"/>
    </row>
    <row r="1894">
      <c r="A1894" s="28">
        <v>46232.0</v>
      </c>
      <c r="B1894" s="16" t="s">
        <v>8045</v>
      </c>
      <c r="C1894" s="20" t="s">
        <v>8046</v>
      </c>
      <c r="D1894" s="21"/>
      <c r="E1894" s="22" t="s">
        <v>8047</v>
      </c>
      <c r="H1894" s="23" t="s">
        <v>800</v>
      </c>
      <c r="I1894" s="21"/>
      <c r="J1894" s="25"/>
      <c r="K1894" s="26" t="s">
        <v>44</v>
      </c>
      <c r="L1894" s="16"/>
      <c r="M1894" s="21"/>
    </row>
    <row r="1895">
      <c r="A1895" s="28">
        <v>46232.0</v>
      </c>
      <c r="B1895" s="16" t="s">
        <v>8048</v>
      </c>
      <c r="C1895" s="20" t="s">
        <v>8049</v>
      </c>
      <c r="D1895" s="21"/>
      <c r="E1895" s="22" t="s">
        <v>8050</v>
      </c>
      <c r="H1895" s="23" t="s">
        <v>57</v>
      </c>
      <c r="I1895" s="21"/>
      <c r="J1895" s="25"/>
      <c r="K1895" s="26" t="s">
        <v>44</v>
      </c>
      <c r="L1895" s="16"/>
      <c r="M1895" s="21"/>
    </row>
    <row r="1896">
      <c r="A1896" s="28">
        <v>46232.0</v>
      </c>
      <c r="B1896" s="16" t="s">
        <v>8051</v>
      </c>
      <c r="C1896" s="20" t="s">
        <v>8052</v>
      </c>
      <c r="D1896" s="21"/>
      <c r="E1896" s="22" t="s">
        <v>8053</v>
      </c>
      <c r="H1896" s="23" t="s">
        <v>1595</v>
      </c>
      <c r="I1896" s="21"/>
      <c r="J1896" s="25"/>
      <c r="K1896" s="26" t="s">
        <v>44</v>
      </c>
      <c r="L1896" s="16"/>
      <c r="M1896" s="21"/>
    </row>
    <row r="1897">
      <c r="A1897" s="28">
        <v>46232.0</v>
      </c>
      <c r="B1897" s="16" t="s">
        <v>8054</v>
      </c>
      <c r="C1897" s="20" t="s">
        <v>8055</v>
      </c>
      <c r="D1897" s="21"/>
      <c r="E1897" s="22" t="s">
        <v>8056</v>
      </c>
      <c r="H1897" s="23" t="s">
        <v>1819</v>
      </c>
      <c r="I1897" s="21"/>
      <c r="J1897" s="25"/>
      <c r="K1897" s="26" t="s">
        <v>44</v>
      </c>
      <c r="L1897" s="16"/>
      <c r="M1897" s="21"/>
    </row>
    <row r="1898">
      <c r="A1898" s="28">
        <v>46232.0</v>
      </c>
      <c r="B1898" s="16" t="s">
        <v>8057</v>
      </c>
      <c r="C1898" s="20" t="s">
        <v>8058</v>
      </c>
      <c r="D1898" s="21"/>
      <c r="E1898" s="22" t="s">
        <v>8059</v>
      </c>
      <c r="H1898" s="23" t="s">
        <v>8060</v>
      </c>
      <c r="I1898" s="21"/>
      <c r="J1898" s="25"/>
      <c r="K1898" s="26" t="s">
        <v>44</v>
      </c>
      <c r="L1898" s="16"/>
      <c r="M1898" s="21"/>
    </row>
    <row r="1899">
      <c r="A1899" s="28">
        <v>46232.0</v>
      </c>
      <c r="B1899" s="16" t="s">
        <v>8061</v>
      </c>
      <c r="C1899" s="20" t="s">
        <v>8062</v>
      </c>
      <c r="D1899" s="21"/>
      <c r="E1899" s="22" t="s">
        <v>8063</v>
      </c>
      <c r="H1899" s="23" t="s">
        <v>127</v>
      </c>
      <c r="I1899" s="21"/>
      <c r="J1899" s="25"/>
      <c r="K1899" s="26" t="s">
        <v>44</v>
      </c>
      <c r="L1899" s="16"/>
      <c r="M1899" s="21"/>
    </row>
    <row r="1900">
      <c r="A1900" s="28">
        <v>46232.0</v>
      </c>
      <c r="B1900" s="16" t="s">
        <v>8064</v>
      </c>
      <c r="C1900" s="20" t="s">
        <v>8065</v>
      </c>
      <c r="D1900" s="21"/>
      <c r="E1900" s="22" t="s">
        <v>8066</v>
      </c>
      <c r="H1900" s="23" t="s">
        <v>1250</v>
      </c>
      <c r="I1900" s="21"/>
      <c r="J1900" s="25"/>
      <c r="K1900" s="26" t="s">
        <v>44</v>
      </c>
      <c r="L1900" s="16"/>
      <c r="M1900" s="21"/>
    </row>
    <row r="1901">
      <c r="A1901" s="28">
        <v>46232.0</v>
      </c>
      <c r="B1901" s="16" t="s">
        <v>8067</v>
      </c>
      <c r="C1901" s="20" t="s">
        <v>8068</v>
      </c>
      <c r="D1901" s="21"/>
      <c r="E1901" s="22" t="s">
        <v>8069</v>
      </c>
      <c r="H1901" s="23" t="s">
        <v>48</v>
      </c>
      <c r="I1901" s="21"/>
      <c r="J1901" s="25"/>
      <c r="K1901" s="26" t="s">
        <v>44</v>
      </c>
      <c r="L1901" s="16"/>
      <c r="M1901" s="21"/>
    </row>
    <row r="1902">
      <c r="A1902" s="28">
        <v>46232.0</v>
      </c>
      <c r="B1902" s="16" t="s">
        <v>8070</v>
      </c>
      <c r="C1902" s="20" t="s">
        <v>8071</v>
      </c>
      <c r="D1902" s="21"/>
      <c r="E1902" s="22" t="s">
        <v>8072</v>
      </c>
      <c r="H1902" s="23" t="s">
        <v>4889</v>
      </c>
      <c r="I1902" s="21"/>
      <c r="J1902" s="25"/>
      <c r="K1902" s="26" t="s">
        <v>44</v>
      </c>
      <c r="L1902" s="16"/>
      <c r="M1902" s="21"/>
    </row>
    <row r="1903">
      <c r="A1903" s="28">
        <v>46232.0</v>
      </c>
      <c r="B1903" s="16" t="s">
        <v>8073</v>
      </c>
      <c r="C1903" s="20" t="s">
        <v>8074</v>
      </c>
      <c r="D1903" s="21"/>
      <c r="E1903" s="22" t="s">
        <v>8075</v>
      </c>
      <c r="H1903" s="23" t="s">
        <v>299</v>
      </c>
      <c r="I1903" s="21"/>
      <c r="J1903" s="25"/>
      <c r="K1903" s="26" t="s">
        <v>44</v>
      </c>
      <c r="L1903" s="16"/>
      <c r="M1903" s="21"/>
    </row>
    <row r="1904">
      <c r="A1904" s="28">
        <v>46232.0</v>
      </c>
      <c r="B1904" s="16" t="s">
        <v>8076</v>
      </c>
      <c r="C1904" s="20" t="s">
        <v>8077</v>
      </c>
      <c r="D1904" s="21"/>
      <c r="E1904" s="22" t="s">
        <v>8078</v>
      </c>
      <c r="H1904" s="23" t="s">
        <v>8079</v>
      </c>
      <c r="I1904" s="21"/>
      <c r="J1904" s="25"/>
      <c r="K1904" s="26" t="s">
        <v>44</v>
      </c>
      <c r="L1904" s="16"/>
      <c r="M1904" s="21"/>
    </row>
    <row r="1905">
      <c r="A1905" s="28">
        <v>46232.0</v>
      </c>
      <c r="B1905" s="16" t="s">
        <v>8080</v>
      </c>
      <c r="C1905" s="20" t="s">
        <v>8081</v>
      </c>
      <c r="D1905" s="21"/>
      <c r="E1905" s="22" t="s">
        <v>8082</v>
      </c>
      <c r="H1905" s="23" t="s">
        <v>8083</v>
      </c>
      <c r="I1905" s="21"/>
      <c r="J1905" s="25"/>
      <c r="K1905" s="26" t="s">
        <v>44</v>
      </c>
      <c r="L1905" s="16"/>
      <c r="M1905" s="21"/>
    </row>
    <row r="1906">
      <c r="A1906" s="28">
        <v>46232.0</v>
      </c>
      <c r="B1906" s="16" t="s">
        <v>8084</v>
      </c>
      <c r="C1906" s="20" t="s">
        <v>8085</v>
      </c>
      <c r="D1906" s="21"/>
      <c r="E1906" s="22" t="s">
        <v>8086</v>
      </c>
      <c r="H1906" s="23" t="s">
        <v>4986</v>
      </c>
      <c r="I1906" s="21"/>
      <c r="J1906" s="25"/>
      <c r="K1906" s="26" t="s">
        <v>44</v>
      </c>
      <c r="L1906" s="16"/>
      <c r="M1906" s="21"/>
    </row>
    <row r="1907">
      <c r="A1907" s="28">
        <v>46232.0</v>
      </c>
      <c r="B1907" s="16" t="s">
        <v>8087</v>
      </c>
      <c r="C1907" s="20" t="s">
        <v>8088</v>
      </c>
      <c r="D1907" s="21"/>
      <c r="E1907" s="22" t="s">
        <v>8089</v>
      </c>
      <c r="H1907" s="23" t="s">
        <v>127</v>
      </c>
      <c r="I1907" s="21"/>
      <c r="J1907" s="25"/>
      <c r="K1907" s="26" t="s">
        <v>44</v>
      </c>
      <c r="L1907" s="16"/>
      <c r="M1907" s="21"/>
    </row>
    <row r="1908">
      <c r="A1908" s="28">
        <v>46232.0</v>
      </c>
      <c r="B1908" s="16" t="s">
        <v>8090</v>
      </c>
      <c r="C1908" s="46" t="s">
        <v>8091</v>
      </c>
      <c r="D1908" s="21"/>
      <c r="E1908" s="22" t="s">
        <v>8092</v>
      </c>
      <c r="H1908" s="23" t="s">
        <v>69</v>
      </c>
      <c r="I1908" s="21"/>
      <c r="J1908" s="25"/>
      <c r="K1908" s="26" t="s">
        <v>44</v>
      </c>
      <c r="L1908" s="16"/>
      <c r="M1908" s="21"/>
    </row>
    <row r="1909">
      <c r="A1909" s="28">
        <v>46232.0</v>
      </c>
      <c r="B1909" s="16" t="s">
        <v>8093</v>
      </c>
      <c r="C1909" s="20" t="s">
        <v>8094</v>
      </c>
      <c r="D1909" s="21"/>
      <c r="E1909" s="22" t="s">
        <v>8095</v>
      </c>
      <c r="H1909" s="23" t="s">
        <v>1200</v>
      </c>
      <c r="I1909" s="21"/>
      <c r="J1909" s="25"/>
      <c r="K1909" s="26" t="s">
        <v>44</v>
      </c>
      <c r="L1909" s="16"/>
      <c r="M1909" s="21"/>
    </row>
    <row r="1910">
      <c r="A1910" s="28">
        <v>46232.0</v>
      </c>
      <c r="B1910" s="16" t="s">
        <v>8096</v>
      </c>
      <c r="C1910" s="20" t="s">
        <v>8097</v>
      </c>
      <c r="D1910" s="21"/>
      <c r="E1910" s="22" t="s">
        <v>8098</v>
      </c>
      <c r="H1910" s="23" t="s">
        <v>8099</v>
      </c>
      <c r="I1910" s="21"/>
      <c r="J1910" s="25"/>
      <c r="K1910" s="26" t="s">
        <v>44</v>
      </c>
      <c r="L1910" s="16"/>
      <c r="M1910" s="21"/>
    </row>
    <row r="1911">
      <c r="A1911" s="28">
        <v>46232.0</v>
      </c>
      <c r="B1911" s="16" t="s">
        <v>8100</v>
      </c>
      <c r="C1911" s="20" t="s">
        <v>8101</v>
      </c>
      <c r="D1911" s="21"/>
      <c r="E1911" s="22" t="s">
        <v>8102</v>
      </c>
      <c r="H1911" s="23" t="s">
        <v>48</v>
      </c>
      <c r="I1911" s="21"/>
      <c r="J1911" s="25"/>
      <c r="K1911" s="26" t="s">
        <v>44</v>
      </c>
      <c r="L1911" s="16"/>
      <c r="M1911" s="21"/>
    </row>
    <row r="1912">
      <c r="A1912" s="28">
        <v>46232.0</v>
      </c>
      <c r="B1912" s="16" t="s">
        <v>8103</v>
      </c>
      <c r="C1912" s="20" t="s">
        <v>8104</v>
      </c>
      <c r="D1912" s="21"/>
      <c r="E1912" s="22" t="s">
        <v>8105</v>
      </c>
      <c r="H1912" s="23" t="s">
        <v>487</v>
      </c>
      <c r="I1912" s="21"/>
      <c r="J1912" s="25"/>
      <c r="K1912" s="26" t="s">
        <v>44</v>
      </c>
      <c r="L1912" s="16"/>
      <c r="M1912" s="21"/>
    </row>
    <row r="1913">
      <c r="A1913" s="28">
        <v>46232.0</v>
      </c>
      <c r="B1913" s="16" t="s">
        <v>8106</v>
      </c>
      <c r="C1913" s="20" t="s">
        <v>8107</v>
      </c>
      <c r="D1913" s="21"/>
      <c r="E1913" s="22" t="s">
        <v>8108</v>
      </c>
      <c r="H1913" s="23" t="s">
        <v>42</v>
      </c>
      <c r="I1913" s="21"/>
      <c r="J1913" s="25"/>
      <c r="K1913" s="26" t="s">
        <v>44</v>
      </c>
      <c r="L1913" s="16"/>
      <c r="M1913" s="21"/>
    </row>
    <row r="1914">
      <c r="A1914" s="28">
        <v>46232.0</v>
      </c>
      <c r="B1914" s="16" t="s">
        <v>8109</v>
      </c>
      <c r="C1914" s="20" t="s">
        <v>8110</v>
      </c>
      <c r="D1914" s="21"/>
      <c r="E1914" s="22" t="s">
        <v>8111</v>
      </c>
      <c r="H1914" s="23" t="s">
        <v>57</v>
      </c>
      <c r="I1914" s="21"/>
      <c r="J1914" s="25"/>
      <c r="K1914" s="26" t="s">
        <v>44</v>
      </c>
      <c r="L1914" s="16"/>
      <c r="M1914" s="21"/>
    </row>
    <row r="1915">
      <c r="A1915" s="28">
        <v>46232.0</v>
      </c>
      <c r="B1915" s="16" t="s">
        <v>8112</v>
      </c>
      <c r="C1915" s="20" t="s">
        <v>8113</v>
      </c>
      <c r="D1915" s="21"/>
      <c r="E1915" s="22" t="s">
        <v>8114</v>
      </c>
      <c r="H1915" s="23" t="s">
        <v>48</v>
      </c>
      <c r="I1915" s="21"/>
      <c r="J1915" s="25"/>
      <c r="K1915" s="26" t="s">
        <v>44</v>
      </c>
      <c r="L1915" s="16"/>
      <c r="M1915" s="21"/>
    </row>
    <row r="1916">
      <c r="A1916" s="28">
        <v>46232.0</v>
      </c>
      <c r="B1916" s="16" t="s">
        <v>8115</v>
      </c>
      <c r="C1916" s="20" t="s">
        <v>8116</v>
      </c>
      <c r="D1916" s="21"/>
      <c r="E1916" s="22" t="s">
        <v>8117</v>
      </c>
      <c r="H1916" s="23" t="s">
        <v>5841</v>
      </c>
      <c r="I1916" s="21"/>
      <c r="J1916" s="25"/>
      <c r="K1916" s="26" t="s">
        <v>44</v>
      </c>
      <c r="L1916" s="16"/>
      <c r="M1916" s="21"/>
    </row>
    <row r="1917">
      <c r="A1917" s="28">
        <v>46232.0</v>
      </c>
      <c r="B1917" s="16" t="s">
        <v>8118</v>
      </c>
      <c r="C1917" s="20" t="s">
        <v>8119</v>
      </c>
      <c r="D1917" s="21"/>
      <c r="E1917" s="22" t="s">
        <v>8120</v>
      </c>
      <c r="H1917" s="23" t="s">
        <v>8121</v>
      </c>
      <c r="I1917" s="21"/>
      <c r="J1917" s="25"/>
      <c r="K1917" s="26" t="s">
        <v>44</v>
      </c>
      <c r="L1917" s="16"/>
      <c r="M1917" s="21"/>
    </row>
    <row r="1918">
      <c r="A1918" s="28">
        <v>46232.0</v>
      </c>
      <c r="B1918" s="16" t="s">
        <v>8122</v>
      </c>
      <c r="C1918" s="20" t="s">
        <v>8123</v>
      </c>
      <c r="D1918" s="21"/>
      <c r="E1918" s="22" t="s">
        <v>8124</v>
      </c>
      <c r="H1918" s="23" t="s">
        <v>57</v>
      </c>
      <c r="I1918" s="21"/>
      <c r="J1918" s="25"/>
      <c r="K1918" s="26" t="s">
        <v>44</v>
      </c>
      <c r="L1918" s="16"/>
      <c r="M1918" s="21"/>
    </row>
    <row r="1919">
      <c r="A1919" s="28">
        <v>46232.0</v>
      </c>
      <c r="B1919" s="16" t="s">
        <v>8125</v>
      </c>
      <c r="C1919" s="20" t="s">
        <v>8126</v>
      </c>
      <c r="D1919" s="21"/>
      <c r="E1919" s="22" t="s">
        <v>8127</v>
      </c>
      <c r="H1919" s="23" t="s">
        <v>1141</v>
      </c>
      <c r="I1919" s="21"/>
      <c r="J1919" s="25"/>
      <c r="K1919" s="26" t="s">
        <v>44</v>
      </c>
      <c r="L1919" s="16"/>
      <c r="M1919" s="21"/>
    </row>
    <row r="1920">
      <c r="A1920" s="28">
        <v>46232.0</v>
      </c>
      <c r="B1920" s="16" t="s">
        <v>8128</v>
      </c>
      <c r="C1920" s="20" t="s">
        <v>8129</v>
      </c>
      <c r="D1920" s="21"/>
      <c r="E1920" s="22" t="s">
        <v>8130</v>
      </c>
      <c r="H1920" s="23" t="s">
        <v>5527</v>
      </c>
      <c r="I1920" s="21"/>
      <c r="J1920" s="25"/>
      <c r="K1920" s="26" t="s">
        <v>44</v>
      </c>
      <c r="L1920" s="16"/>
      <c r="M1920" s="21"/>
    </row>
    <row r="1921">
      <c r="A1921" s="28">
        <v>46232.0</v>
      </c>
      <c r="B1921" s="16" t="s">
        <v>8131</v>
      </c>
      <c r="C1921" s="20" t="s">
        <v>8132</v>
      </c>
      <c r="D1921" s="21"/>
      <c r="E1921" s="22" t="s">
        <v>8133</v>
      </c>
      <c r="H1921" s="23" t="s">
        <v>1727</v>
      </c>
      <c r="I1921" s="21"/>
      <c r="J1921" s="25"/>
      <c r="K1921" s="26" t="s">
        <v>44</v>
      </c>
      <c r="L1921" s="16"/>
      <c r="M1921" s="21"/>
    </row>
    <row r="1922">
      <c r="A1922" s="28">
        <v>46232.0</v>
      </c>
      <c r="B1922" s="16" t="s">
        <v>8134</v>
      </c>
      <c r="C1922" s="20" t="s">
        <v>8135</v>
      </c>
      <c r="D1922" s="21"/>
      <c r="E1922" s="22" t="s">
        <v>8136</v>
      </c>
      <c r="H1922" s="23" t="s">
        <v>1738</v>
      </c>
      <c r="I1922" s="21"/>
      <c r="J1922" s="25"/>
      <c r="K1922" s="26" t="s">
        <v>44</v>
      </c>
      <c r="L1922" s="16"/>
      <c r="M1922" s="21"/>
    </row>
    <row r="1923">
      <c r="A1923" s="28">
        <v>46232.0</v>
      </c>
      <c r="B1923" s="16" t="s">
        <v>8137</v>
      </c>
      <c r="C1923" s="20" t="s">
        <v>8138</v>
      </c>
      <c r="D1923" s="21"/>
      <c r="E1923" s="22" t="s">
        <v>8139</v>
      </c>
      <c r="H1923" s="23" t="s">
        <v>5527</v>
      </c>
      <c r="I1923" s="21"/>
      <c r="J1923" s="25"/>
      <c r="K1923" s="26" t="s">
        <v>44</v>
      </c>
      <c r="L1923" s="16"/>
      <c r="M1923" s="21"/>
    </row>
    <row r="1924">
      <c r="A1924" s="28">
        <v>46232.0</v>
      </c>
      <c r="B1924" s="16" t="s">
        <v>8140</v>
      </c>
      <c r="C1924" s="20" t="s">
        <v>8141</v>
      </c>
      <c r="D1924" s="21"/>
      <c r="E1924" s="22" t="s">
        <v>8142</v>
      </c>
      <c r="H1924" s="23" t="s">
        <v>8143</v>
      </c>
      <c r="I1924" s="21"/>
      <c r="J1924" s="25"/>
      <c r="K1924" s="26" t="s">
        <v>44</v>
      </c>
      <c r="L1924" s="16"/>
      <c r="M1924" s="21"/>
    </row>
    <row r="1925">
      <c r="A1925" s="28">
        <v>46232.0</v>
      </c>
      <c r="B1925" s="16" t="s">
        <v>8144</v>
      </c>
      <c r="C1925" s="20" t="s">
        <v>8145</v>
      </c>
      <c r="D1925" s="21"/>
      <c r="E1925" s="22" t="s">
        <v>8146</v>
      </c>
      <c r="H1925" s="23" t="s">
        <v>8147</v>
      </c>
      <c r="I1925" s="21"/>
      <c r="J1925" s="25"/>
      <c r="K1925" s="26" t="s">
        <v>44</v>
      </c>
      <c r="L1925" s="16"/>
      <c r="M1925" s="21"/>
    </row>
    <row r="1926">
      <c r="A1926" s="28">
        <v>46232.0</v>
      </c>
      <c r="B1926" s="16" t="s">
        <v>8148</v>
      </c>
      <c r="C1926" s="20" t="s">
        <v>8149</v>
      </c>
      <c r="D1926" s="21"/>
      <c r="E1926" s="22" t="s">
        <v>8150</v>
      </c>
      <c r="H1926" s="23" t="s">
        <v>69</v>
      </c>
      <c r="I1926" s="21"/>
      <c r="J1926" s="25"/>
      <c r="K1926" s="26" t="s">
        <v>44</v>
      </c>
      <c r="L1926" s="16"/>
      <c r="M1926" s="21"/>
    </row>
    <row r="1927">
      <c r="A1927" s="28">
        <v>46232.0</v>
      </c>
      <c r="B1927" s="16" t="s">
        <v>8151</v>
      </c>
      <c r="C1927" s="20" t="s">
        <v>8152</v>
      </c>
      <c r="D1927" s="21"/>
      <c r="E1927" s="22" t="s">
        <v>8153</v>
      </c>
      <c r="H1927" s="23" t="s">
        <v>8154</v>
      </c>
      <c r="I1927" s="21"/>
      <c r="J1927" s="25"/>
      <c r="K1927" s="26" t="s">
        <v>44</v>
      </c>
      <c r="L1927" s="16"/>
      <c r="M1927" s="21"/>
    </row>
    <row r="1928">
      <c r="A1928" s="28">
        <v>46232.0</v>
      </c>
      <c r="B1928" s="16" t="s">
        <v>8155</v>
      </c>
      <c r="C1928" s="20" t="s">
        <v>8156</v>
      </c>
      <c r="D1928" s="21"/>
      <c r="E1928" s="22" t="s">
        <v>8157</v>
      </c>
      <c r="H1928" s="23" t="s">
        <v>1608</v>
      </c>
      <c r="I1928" s="21"/>
      <c r="J1928" s="25"/>
      <c r="K1928" s="26" t="s">
        <v>44</v>
      </c>
      <c r="L1928" s="16"/>
      <c r="M1928" s="21"/>
    </row>
    <row r="1929">
      <c r="A1929" s="28">
        <v>46232.0</v>
      </c>
      <c r="B1929" s="16" t="s">
        <v>8158</v>
      </c>
      <c r="C1929" s="20" t="s">
        <v>8159</v>
      </c>
      <c r="D1929" s="21"/>
      <c r="E1929" s="22" t="s">
        <v>8160</v>
      </c>
      <c r="H1929" s="23" t="s">
        <v>1530</v>
      </c>
      <c r="I1929" s="21"/>
      <c r="J1929" s="25"/>
      <c r="K1929" s="26" t="s">
        <v>44</v>
      </c>
      <c r="L1929" s="16"/>
      <c r="M1929" s="21"/>
    </row>
    <row r="1930">
      <c r="A1930" s="28">
        <v>46232.0</v>
      </c>
      <c r="B1930" s="16" t="s">
        <v>8161</v>
      </c>
      <c r="C1930" s="20" t="s">
        <v>8162</v>
      </c>
      <c r="D1930" s="21"/>
      <c r="E1930" s="22" t="s">
        <v>8163</v>
      </c>
      <c r="H1930" s="23" t="s">
        <v>57</v>
      </c>
      <c r="I1930" s="21"/>
      <c r="J1930" s="25"/>
      <c r="K1930" s="26" t="s">
        <v>44</v>
      </c>
      <c r="L1930" s="16"/>
      <c r="M1930" s="21"/>
    </row>
    <row r="1931">
      <c r="A1931" s="28">
        <v>46232.0</v>
      </c>
      <c r="B1931" s="16" t="s">
        <v>8164</v>
      </c>
      <c r="C1931" s="20" t="s">
        <v>8165</v>
      </c>
      <c r="D1931" s="21"/>
      <c r="E1931" s="22" t="s">
        <v>8166</v>
      </c>
      <c r="H1931" s="23" t="s">
        <v>1550</v>
      </c>
      <c r="I1931" s="21"/>
      <c r="J1931" s="25"/>
      <c r="K1931" s="26" t="s">
        <v>44</v>
      </c>
      <c r="L1931" s="16"/>
      <c r="M1931" s="21"/>
    </row>
    <row r="1932">
      <c r="A1932" s="28">
        <v>46232.0</v>
      </c>
      <c r="B1932" s="16" t="s">
        <v>8167</v>
      </c>
      <c r="C1932" s="20" t="s">
        <v>8168</v>
      </c>
      <c r="D1932" s="21"/>
      <c r="E1932" s="22" t="s">
        <v>8169</v>
      </c>
      <c r="H1932" s="23" t="s">
        <v>111</v>
      </c>
      <c r="I1932" s="21"/>
      <c r="J1932" s="25"/>
      <c r="K1932" s="26" t="s">
        <v>44</v>
      </c>
      <c r="L1932" s="16"/>
      <c r="M1932" s="21"/>
    </row>
    <row r="1933">
      <c r="A1933" s="28">
        <v>46232.0</v>
      </c>
      <c r="B1933" s="16" t="s">
        <v>8170</v>
      </c>
      <c r="C1933" s="20" t="s">
        <v>8171</v>
      </c>
      <c r="D1933" s="21"/>
      <c r="E1933" s="22" t="s">
        <v>8172</v>
      </c>
      <c r="H1933" s="23" t="s">
        <v>536</v>
      </c>
      <c r="I1933" s="21"/>
      <c r="J1933" s="25"/>
      <c r="K1933" s="26" t="s">
        <v>44</v>
      </c>
      <c r="L1933" s="16"/>
      <c r="M1933" s="21"/>
    </row>
    <row r="1934">
      <c r="A1934" s="28">
        <v>46232.0</v>
      </c>
      <c r="B1934" s="16" t="s">
        <v>8173</v>
      </c>
      <c r="C1934" s="20" t="s">
        <v>8174</v>
      </c>
      <c r="D1934" s="21"/>
      <c r="E1934" s="22" t="s">
        <v>8175</v>
      </c>
      <c r="H1934" s="23" t="s">
        <v>1742</v>
      </c>
      <c r="I1934" s="21"/>
      <c r="J1934" s="25"/>
      <c r="K1934" s="26" t="s">
        <v>44</v>
      </c>
      <c r="L1934" s="16"/>
      <c r="M1934" s="21"/>
    </row>
    <row r="1935">
      <c r="A1935" s="28">
        <v>46232.0</v>
      </c>
      <c r="B1935" s="16" t="s">
        <v>8176</v>
      </c>
      <c r="C1935" s="20" t="s">
        <v>8177</v>
      </c>
      <c r="D1935" s="21"/>
      <c r="E1935" s="22" t="s">
        <v>8178</v>
      </c>
      <c r="H1935" s="23" t="s">
        <v>6124</v>
      </c>
      <c r="I1935" s="21"/>
      <c r="J1935" s="25"/>
      <c r="K1935" s="26" t="s">
        <v>44</v>
      </c>
      <c r="L1935" s="16"/>
      <c r="M1935" s="21"/>
    </row>
    <row r="1936">
      <c r="A1936" s="28">
        <v>46232.0</v>
      </c>
      <c r="B1936" s="16" t="s">
        <v>8179</v>
      </c>
      <c r="C1936" s="20" t="s">
        <v>8180</v>
      </c>
      <c r="D1936" s="21"/>
      <c r="E1936" s="22" t="s">
        <v>8181</v>
      </c>
      <c r="H1936" s="23" t="s">
        <v>8182</v>
      </c>
      <c r="I1936" s="21"/>
      <c r="J1936" s="25"/>
      <c r="K1936" s="26" t="s">
        <v>44</v>
      </c>
      <c r="L1936" s="16"/>
      <c r="M1936" s="21"/>
    </row>
    <row r="1937">
      <c r="A1937" s="28">
        <v>46232.0</v>
      </c>
      <c r="B1937" s="16" t="s">
        <v>8183</v>
      </c>
      <c r="C1937" s="20" t="s">
        <v>8184</v>
      </c>
      <c r="D1937" s="21"/>
      <c r="E1937" s="22" t="s">
        <v>8185</v>
      </c>
      <c r="H1937" s="23" t="s">
        <v>5232</v>
      </c>
      <c r="I1937" s="21"/>
      <c r="J1937" s="25"/>
      <c r="K1937" s="26" t="s">
        <v>44</v>
      </c>
      <c r="L1937" s="16"/>
      <c r="M1937" s="21"/>
    </row>
    <row r="1938">
      <c r="A1938" s="28">
        <v>46232.0</v>
      </c>
      <c r="B1938" s="16" t="s">
        <v>8186</v>
      </c>
      <c r="C1938" s="20" t="s">
        <v>8187</v>
      </c>
      <c r="D1938" s="21"/>
      <c r="E1938" s="22" t="s">
        <v>8188</v>
      </c>
      <c r="H1938" s="23" t="s">
        <v>983</v>
      </c>
      <c r="I1938" s="21"/>
      <c r="J1938" s="25"/>
      <c r="K1938" s="26" t="s">
        <v>44</v>
      </c>
      <c r="L1938" s="16"/>
      <c r="M1938" s="21"/>
    </row>
    <row r="1939">
      <c r="A1939" s="28">
        <v>46232.0</v>
      </c>
      <c r="B1939" s="16" t="s">
        <v>8189</v>
      </c>
      <c r="C1939" s="20" t="s">
        <v>8190</v>
      </c>
      <c r="D1939" s="21"/>
      <c r="E1939" s="22" t="s">
        <v>8191</v>
      </c>
      <c r="H1939" s="23" t="s">
        <v>69</v>
      </c>
      <c r="I1939" s="21"/>
      <c r="J1939" s="25"/>
      <c r="K1939" s="26" t="s">
        <v>44</v>
      </c>
      <c r="L1939" s="16"/>
      <c r="M1939" s="21"/>
    </row>
    <row r="1940">
      <c r="A1940" s="28">
        <v>46232.0</v>
      </c>
      <c r="B1940" s="16" t="s">
        <v>8192</v>
      </c>
      <c r="C1940" s="20" t="s">
        <v>8193</v>
      </c>
      <c r="D1940" s="21"/>
      <c r="E1940" s="22" t="s">
        <v>8194</v>
      </c>
      <c r="H1940" s="23" t="s">
        <v>960</v>
      </c>
      <c r="I1940" s="21"/>
      <c r="J1940" s="25"/>
      <c r="K1940" s="26" t="s">
        <v>44</v>
      </c>
      <c r="L1940" s="16"/>
      <c r="M1940" s="21"/>
    </row>
    <row r="1941">
      <c r="A1941" s="28">
        <v>46232.0</v>
      </c>
      <c r="B1941" s="16" t="s">
        <v>8195</v>
      </c>
      <c r="C1941" s="20" t="s">
        <v>8196</v>
      </c>
      <c r="D1941" s="21"/>
      <c r="E1941" s="22" t="s">
        <v>8197</v>
      </c>
      <c r="H1941" s="23" t="s">
        <v>8198</v>
      </c>
      <c r="I1941" s="21"/>
      <c r="J1941" s="25"/>
      <c r="K1941" s="26" t="s">
        <v>44</v>
      </c>
      <c r="L1941" s="16"/>
      <c r="M1941" s="21"/>
    </row>
    <row r="1942">
      <c r="A1942" s="28">
        <v>46232.0</v>
      </c>
      <c r="B1942" s="16" t="s">
        <v>8199</v>
      </c>
      <c r="C1942" s="20" t="s">
        <v>8200</v>
      </c>
      <c r="D1942" s="21"/>
      <c r="E1942" s="22" t="s">
        <v>8201</v>
      </c>
      <c r="H1942" s="23" t="s">
        <v>4681</v>
      </c>
      <c r="I1942" s="21"/>
      <c r="J1942" s="25"/>
      <c r="K1942" s="26" t="s">
        <v>44</v>
      </c>
      <c r="L1942" s="16"/>
      <c r="M1942" s="21"/>
    </row>
    <row r="1943">
      <c r="A1943" s="28">
        <v>46232.0</v>
      </c>
      <c r="B1943" s="16" t="s">
        <v>8202</v>
      </c>
      <c r="C1943" s="20" t="s">
        <v>8203</v>
      </c>
      <c r="D1943" s="21"/>
      <c r="E1943" s="22" t="s">
        <v>8204</v>
      </c>
      <c r="H1943" s="23" t="s">
        <v>1992</v>
      </c>
      <c r="I1943" s="21"/>
      <c r="J1943" s="25"/>
      <c r="K1943" s="26" t="s">
        <v>44</v>
      </c>
      <c r="L1943" s="16"/>
      <c r="M1943" s="21"/>
    </row>
    <row r="1944">
      <c r="A1944" s="28">
        <v>46232.0</v>
      </c>
      <c r="B1944" s="16" t="s">
        <v>8205</v>
      </c>
      <c r="C1944" s="20" t="s">
        <v>8206</v>
      </c>
      <c r="D1944" s="21"/>
      <c r="E1944" s="22" t="s">
        <v>8207</v>
      </c>
      <c r="H1944" s="23" t="s">
        <v>1643</v>
      </c>
      <c r="I1944" s="21"/>
      <c r="J1944" s="25"/>
      <c r="K1944" s="26" t="s">
        <v>44</v>
      </c>
      <c r="L1944" s="16"/>
      <c r="M1944" s="21"/>
    </row>
    <row r="1945">
      <c r="A1945" s="28">
        <v>46232.0</v>
      </c>
      <c r="B1945" s="16" t="s">
        <v>8208</v>
      </c>
      <c r="C1945" s="20" t="s">
        <v>8209</v>
      </c>
      <c r="D1945" s="21"/>
      <c r="E1945" s="22" t="s">
        <v>8210</v>
      </c>
      <c r="H1945" s="23" t="s">
        <v>69</v>
      </c>
      <c r="I1945" s="21"/>
      <c r="J1945" s="25"/>
      <c r="K1945" s="26" t="s">
        <v>44</v>
      </c>
      <c r="L1945" s="16"/>
      <c r="M1945" s="21"/>
    </row>
    <row r="1946">
      <c r="A1946" s="28">
        <v>46232.0</v>
      </c>
      <c r="B1946" s="16" t="s">
        <v>8211</v>
      </c>
      <c r="C1946" s="20" t="s">
        <v>8212</v>
      </c>
      <c r="D1946" s="21"/>
      <c r="E1946" s="22" t="s">
        <v>8213</v>
      </c>
      <c r="H1946" s="23" t="s">
        <v>8214</v>
      </c>
      <c r="I1946" s="21"/>
      <c r="J1946" s="25"/>
      <c r="K1946" s="26" t="s">
        <v>44</v>
      </c>
      <c r="L1946" s="16"/>
      <c r="M1946" s="21"/>
    </row>
    <row r="1947">
      <c r="A1947" s="28">
        <v>46232.0</v>
      </c>
      <c r="B1947" s="16" t="s">
        <v>8215</v>
      </c>
      <c r="C1947" s="20" t="s">
        <v>8216</v>
      </c>
      <c r="D1947" s="21"/>
      <c r="E1947" s="22" t="s">
        <v>8217</v>
      </c>
      <c r="H1947" s="23" t="s">
        <v>57</v>
      </c>
      <c r="I1947" s="21"/>
      <c r="J1947" s="25"/>
      <c r="K1947" s="26" t="s">
        <v>44</v>
      </c>
      <c r="L1947" s="16"/>
      <c r="M1947" s="21"/>
    </row>
    <row r="1948">
      <c r="A1948" s="28">
        <v>46232.0</v>
      </c>
      <c r="B1948" s="16" t="s">
        <v>8218</v>
      </c>
      <c r="C1948" s="20" t="s">
        <v>8219</v>
      </c>
      <c r="D1948" s="21"/>
      <c r="E1948" s="22" t="s">
        <v>8220</v>
      </c>
      <c r="H1948" s="23" t="s">
        <v>604</v>
      </c>
      <c r="I1948" s="21"/>
      <c r="J1948" s="25"/>
      <c r="K1948" s="26" t="s">
        <v>44</v>
      </c>
      <c r="L1948" s="16"/>
      <c r="M1948" s="21"/>
    </row>
    <row r="1949">
      <c r="A1949" s="28">
        <v>46232.0</v>
      </c>
      <c r="B1949" s="16" t="s">
        <v>8221</v>
      </c>
      <c r="C1949" s="20" t="s">
        <v>8222</v>
      </c>
      <c r="D1949" s="21"/>
      <c r="E1949" s="22" t="s">
        <v>8223</v>
      </c>
      <c r="H1949" s="23" t="s">
        <v>8224</v>
      </c>
      <c r="I1949" s="21"/>
      <c r="J1949" s="25"/>
      <c r="K1949" s="26" t="s">
        <v>44</v>
      </c>
      <c r="L1949" s="16"/>
      <c r="M1949" s="21"/>
    </row>
    <row r="1950">
      <c r="A1950" s="28">
        <v>46232.0</v>
      </c>
      <c r="B1950" s="16" t="s">
        <v>8225</v>
      </c>
      <c r="C1950" s="20" t="s">
        <v>8226</v>
      </c>
      <c r="D1950" s="21"/>
      <c r="E1950" s="22" t="s">
        <v>8227</v>
      </c>
      <c r="H1950" s="23" t="s">
        <v>57</v>
      </c>
      <c r="I1950" s="21"/>
      <c r="J1950" s="25"/>
      <c r="K1950" s="26" t="s">
        <v>44</v>
      </c>
      <c r="L1950" s="16"/>
      <c r="M1950" s="21"/>
    </row>
    <row r="1951">
      <c r="A1951" s="28">
        <v>46232.0</v>
      </c>
      <c r="B1951" s="16" t="s">
        <v>8228</v>
      </c>
      <c r="C1951" s="20" t="s">
        <v>8229</v>
      </c>
      <c r="D1951" s="21"/>
      <c r="E1951" s="22" t="s">
        <v>8230</v>
      </c>
      <c r="H1951" s="23" t="s">
        <v>583</v>
      </c>
      <c r="I1951" s="21"/>
      <c r="J1951" s="25"/>
      <c r="K1951" s="26" t="s">
        <v>44</v>
      </c>
      <c r="L1951" s="16"/>
      <c r="M1951" s="21"/>
    </row>
    <row r="1952">
      <c r="A1952" s="28">
        <v>46232.0</v>
      </c>
      <c r="B1952" s="16" t="s">
        <v>8231</v>
      </c>
      <c r="C1952" s="46" t="s">
        <v>8232</v>
      </c>
      <c r="D1952" s="21"/>
      <c r="E1952" s="22" t="s">
        <v>8233</v>
      </c>
      <c r="H1952" s="23" t="s">
        <v>1196</v>
      </c>
      <c r="I1952" s="21"/>
      <c r="J1952" s="25"/>
      <c r="K1952" s="26" t="s">
        <v>44</v>
      </c>
      <c r="L1952" s="16"/>
      <c r="M1952" s="21"/>
    </row>
    <row r="1953">
      <c r="A1953" s="28">
        <v>46232.0</v>
      </c>
      <c r="B1953" s="16" t="s">
        <v>8234</v>
      </c>
      <c r="C1953" s="20" t="s">
        <v>8235</v>
      </c>
      <c r="D1953" s="21"/>
      <c r="E1953" s="22" t="s">
        <v>8236</v>
      </c>
      <c r="H1953" s="23" t="s">
        <v>713</v>
      </c>
      <c r="I1953" s="21"/>
      <c r="J1953" s="25"/>
      <c r="K1953" s="26" t="s">
        <v>44</v>
      </c>
      <c r="L1953" s="16"/>
      <c r="M1953" s="21"/>
    </row>
    <row r="1954">
      <c r="A1954" s="28">
        <v>46232.0</v>
      </c>
      <c r="B1954" s="16" t="s">
        <v>8237</v>
      </c>
      <c r="C1954" s="20" t="s">
        <v>8238</v>
      </c>
      <c r="D1954" s="21"/>
      <c r="E1954" s="22" t="s">
        <v>8239</v>
      </c>
      <c r="H1954" s="23" t="s">
        <v>48</v>
      </c>
      <c r="I1954" s="21"/>
      <c r="J1954" s="25"/>
      <c r="K1954" s="26" t="s">
        <v>44</v>
      </c>
      <c r="L1954" s="16"/>
      <c r="M1954" s="21"/>
    </row>
    <row r="1955">
      <c r="A1955" s="28">
        <v>46232.0</v>
      </c>
      <c r="B1955" s="16" t="s">
        <v>8240</v>
      </c>
      <c r="C1955" s="20" t="s">
        <v>8241</v>
      </c>
      <c r="D1955" s="21"/>
      <c r="E1955" s="22" t="s">
        <v>8242</v>
      </c>
      <c r="H1955" s="23" t="s">
        <v>1137</v>
      </c>
      <c r="I1955" s="21"/>
      <c r="J1955" s="25"/>
      <c r="K1955" s="26" t="s">
        <v>44</v>
      </c>
      <c r="L1955" s="16"/>
      <c r="M1955" s="21"/>
    </row>
    <row r="1956">
      <c r="A1956" s="28">
        <v>46232.0</v>
      </c>
      <c r="B1956" s="16" t="s">
        <v>8243</v>
      </c>
      <c r="C1956" s="20" t="s">
        <v>8244</v>
      </c>
      <c r="D1956" s="21"/>
      <c r="E1956" s="22" t="s">
        <v>8245</v>
      </c>
      <c r="H1956" s="23" t="s">
        <v>1534</v>
      </c>
      <c r="I1956" s="21"/>
      <c r="J1956" s="25"/>
      <c r="K1956" s="26" t="s">
        <v>44</v>
      </c>
      <c r="L1956" s="16"/>
      <c r="M1956" s="21"/>
    </row>
    <row r="1957">
      <c r="A1957" s="28">
        <v>46232.0</v>
      </c>
      <c r="B1957" s="16" t="s">
        <v>8246</v>
      </c>
      <c r="C1957" s="20" t="s">
        <v>8247</v>
      </c>
      <c r="D1957" s="21"/>
      <c r="E1957" s="22" t="s">
        <v>8248</v>
      </c>
      <c r="H1957" s="23" t="s">
        <v>1819</v>
      </c>
      <c r="I1957" s="21"/>
      <c r="J1957" s="25"/>
      <c r="K1957" s="26" t="s">
        <v>44</v>
      </c>
      <c r="L1957" s="16"/>
      <c r="M1957" s="21"/>
    </row>
    <row r="1958">
      <c r="A1958" s="28">
        <v>46232.0</v>
      </c>
      <c r="B1958" s="16" t="s">
        <v>8249</v>
      </c>
      <c r="C1958" s="20" t="s">
        <v>8250</v>
      </c>
      <c r="D1958" s="21"/>
      <c r="E1958" s="22" t="s">
        <v>8251</v>
      </c>
      <c r="H1958" s="23" t="s">
        <v>8252</v>
      </c>
      <c r="I1958" s="21"/>
      <c r="J1958" s="25"/>
      <c r="K1958" s="26" t="s">
        <v>44</v>
      </c>
      <c r="L1958" s="16"/>
      <c r="M1958" s="21"/>
    </row>
    <row r="1959">
      <c r="A1959" s="28">
        <v>46232.0</v>
      </c>
      <c r="B1959" s="16" t="s">
        <v>8253</v>
      </c>
      <c r="C1959" s="20" t="s">
        <v>8254</v>
      </c>
      <c r="D1959" s="21"/>
      <c r="E1959" s="22" t="s">
        <v>8255</v>
      </c>
      <c r="H1959" s="23" t="s">
        <v>8256</v>
      </c>
      <c r="I1959" s="21"/>
      <c r="J1959" s="25"/>
      <c r="K1959" s="26" t="s">
        <v>44</v>
      </c>
      <c r="L1959" s="16"/>
      <c r="M1959" s="21"/>
    </row>
    <row r="1960">
      <c r="A1960" s="28">
        <v>46232.0</v>
      </c>
      <c r="B1960" s="16" t="s">
        <v>8257</v>
      </c>
      <c r="C1960" s="20" t="s">
        <v>8258</v>
      </c>
      <c r="D1960" s="21"/>
      <c r="E1960" s="22" t="s">
        <v>8259</v>
      </c>
      <c r="H1960" s="23" t="s">
        <v>5257</v>
      </c>
      <c r="I1960" s="21"/>
      <c r="J1960" s="25"/>
      <c r="K1960" s="26" t="s">
        <v>44</v>
      </c>
      <c r="L1960" s="16"/>
      <c r="M1960" s="21"/>
    </row>
    <row r="1961">
      <c r="A1961" s="28">
        <v>46232.0</v>
      </c>
      <c r="B1961" s="16" t="s">
        <v>8260</v>
      </c>
      <c r="C1961" s="20" t="s">
        <v>8261</v>
      </c>
      <c r="D1961" s="21"/>
      <c r="E1961" s="22" t="s">
        <v>8262</v>
      </c>
      <c r="H1961" s="23" t="s">
        <v>8263</v>
      </c>
      <c r="I1961" s="21"/>
      <c r="J1961" s="25"/>
      <c r="K1961" s="26" t="s">
        <v>44</v>
      </c>
      <c r="L1961" s="16"/>
      <c r="M1961" s="21"/>
    </row>
    <row r="1962">
      <c r="A1962" s="28">
        <v>46232.0</v>
      </c>
      <c r="B1962" s="16" t="s">
        <v>8264</v>
      </c>
      <c r="C1962" s="20" t="s">
        <v>8265</v>
      </c>
      <c r="D1962" s="21"/>
      <c r="E1962" s="22" t="s">
        <v>8266</v>
      </c>
      <c r="H1962" s="23" t="s">
        <v>299</v>
      </c>
      <c r="I1962" s="21"/>
      <c r="J1962" s="25"/>
      <c r="K1962" s="26" t="s">
        <v>44</v>
      </c>
      <c r="L1962" s="16"/>
      <c r="M1962" s="21"/>
    </row>
    <row r="1963">
      <c r="A1963" s="28">
        <v>46232.0</v>
      </c>
      <c r="B1963" s="16" t="s">
        <v>8267</v>
      </c>
      <c r="C1963" s="46" t="s">
        <v>8268</v>
      </c>
      <c r="D1963" s="21"/>
      <c r="E1963" s="22" t="s">
        <v>8269</v>
      </c>
      <c r="H1963" s="23" t="s">
        <v>6124</v>
      </c>
      <c r="I1963" s="21"/>
      <c r="J1963" s="25"/>
      <c r="K1963" s="26" t="s">
        <v>44</v>
      </c>
      <c r="L1963" s="16"/>
      <c r="M1963" s="21"/>
    </row>
    <row r="1964">
      <c r="A1964" s="28">
        <v>46232.0</v>
      </c>
      <c r="B1964" s="16" t="s">
        <v>8270</v>
      </c>
      <c r="C1964" s="20" t="s">
        <v>8271</v>
      </c>
      <c r="D1964" s="21"/>
      <c r="E1964" s="22" t="s">
        <v>8272</v>
      </c>
      <c r="H1964" s="23" t="s">
        <v>487</v>
      </c>
      <c r="I1964" s="21"/>
      <c r="J1964" s="25"/>
      <c r="K1964" s="26" t="s">
        <v>44</v>
      </c>
      <c r="L1964" s="16"/>
      <c r="M1964" s="21"/>
    </row>
    <row r="1965">
      <c r="A1965" s="28">
        <v>46232.0</v>
      </c>
      <c r="B1965" s="16" t="s">
        <v>8273</v>
      </c>
      <c r="C1965" s="20" t="s">
        <v>8274</v>
      </c>
      <c r="D1965" s="21"/>
      <c r="E1965" s="22" t="s">
        <v>8275</v>
      </c>
      <c r="H1965" s="23" t="s">
        <v>8276</v>
      </c>
      <c r="I1965" s="21"/>
      <c r="J1965" s="25"/>
      <c r="K1965" s="26" t="s">
        <v>44</v>
      </c>
      <c r="L1965" s="16"/>
      <c r="M1965" s="21"/>
    </row>
    <row r="1966">
      <c r="A1966" s="28">
        <v>46232.0</v>
      </c>
      <c r="B1966" s="16" t="s">
        <v>8277</v>
      </c>
      <c r="C1966" s="20" t="s">
        <v>8278</v>
      </c>
      <c r="D1966" s="21"/>
      <c r="E1966" s="22" t="s">
        <v>8279</v>
      </c>
      <c r="H1966" s="23" t="s">
        <v>48</v>
      </c>
      <c r="I1966" s="21"/>
      <c r="J1966" s="25"/>
      <c r="K1966" s="26" t="s">
        <v>44</v>
      </c>
      <c r="L1966" s="16"/>
      <c r="M1966" s="21"/>
    </row>
    <row r="1967">
      <c r="A1967" s="28">
        <v>46232.0</v>
      </c>
      <c r="B1967" s="16" t="s">
        <v>8280</v>
      </c>
      <c r="C1967" s="20" t="s">
        <v>8281</v>
      </c>
      <c r="D1967" s="21"/>
      <c r="E1967" s="22" t="s">
        <v>8282</v>
      </c>
      <c r="H1967" s="23" t="s">
        <v>1619</v>
      </c>
      <c r="I1967" s="21"/>
      <c r="J1967" s="25"/>
      <c r="K1967" s="26" t="s">
        <v>44</v>
      </c>
      <c r="L1967" s="16"/>
      <c r="M1967" s="21"/>
    </row>
    <row r="1968">
      <c r="A1968" s="28">
        <v>46232.0</v>
      </c>
      <c r="B1968" s="16" t="s">
        <v>8283</v>
      </c>
      <c r="C1968" s="20" t="s">
        <v>8284</v>
      </c>
      <c r="D1968" s="21"/>
      <c r="E1968" s="22" t="s">
        <v>8285</v>
      </c>
      <c r="H1968" s="23" t="s">
        <v>487</v>
      </c>
      <c r="I1968" s="21"/>
      <c r="J1968" s="25"/>
      <c r="K1968" s="26" t="s">
        <v>44</v>
      </c>
      <c r="L1968" s="16"/>
      <c r="M1968" s="21"/>
    </row>
    <row r="1969">
      <c r="A1969" s="28">
        <v>46232.0</v>
      </c>
      <c r="B1969" s="16" t="s">
        <v>8286</v>
      </c>
      <c r="C1969" s="20" t="s">
        <v>8287</v>
      </c>
      <c r="D1969" s="21"/>
      <c r="E1969" s="22" t="s">
        <v>8288</v>
      </c>
      <c r="H1969" s="23" t="s">
        <v>127</v>
      </c>
      <c r="I1969" s="21"/>
      <c r="J1969" s="25"/>
      <c r="K1969" s="26" t="s">
        <v>44</v>
      </c>
      <c r="L1969" s="16"/>
      <c r="M1969" s="21"/>
    </row>
    <row r="1970">
      <c r="A1970" s="28">
        <v>46232.0</v>
      </c>
      <c r="B1970" s="16" t="s">
        <v>8289</v>
      </c>
      <c r="C1970" s="20" t="s">
        <v>8290</v>
      </c>
      <c r="D1970" s="21"/>
      <c r="E1970" s="22" t="s">
        <v>8291</v>
      </c>
      <c r="H1970" s="23" t="s">
        <v>57</v>
      </c>
      <c r="I1970" s="21"/>
      <c r="J1970" s="25"/>
      <c r="K1970" s="26" t="s">
        <v>44</v>
      </c>
      <c r="L1970" s="16"/>
      <c r="M1970" s="21"/>
    </row>
    <row r="1971">
      <c r="A1971" s="28">
        <v>46232.0</v>
      </c>
      <c r="B1971" s="16" t="s">
        <v>8292</v>
      </c>
      <c r="C1971" s="20" t="s">
        <v>8293</v>
      </c>
      <c r="D1971" s="21"/>
      <c r="E1971" s="22" t="s">
        <v>8294</v>
      </c>
      <c r="H1971" s="23" t="s">
        <v>599</v>
      </c>
      <c r="I1971" s="21"/>
      <c r="J1971" s="25"/>
      <c r="K1971" s="26" t="s">
        <v>44</v>
      </c>
      <c r="L1971" s="16"/>
      <c r="M1971" s="21"/>
    </row>
    <row r="1972">
      <c r="A1972" s="28">
        <v>46232.0</v>
      </c>
      <c r="B1972" s="16" t="s">
        <v>8295</v>
      </c>
      <c r="C1972" s="20" t="s">
        <v>8296</v>
      </c>
      <c r="D1972" s="21"/>
      <c r="E1972" s="22" t="s">
        <v>8297</v>
      </c>
      <c r="H1972" s="23" t="s">
        <v>57</v>
      </c>
      <c r="I1972" s="21"/>
      <c r="J1972" s="25"/>
      <c r="K1972" s="26" t="s">
        <v>44</v>
      </c>
      <c r="L1972" s="16"/>
      <c r="M1972" s="21"/>
    </row>
    <row r="1973">
      <c r="A1973" s="28">
        <v>46232.0</v>
      </c>
      <c r="B1973" s="16" t="s">
        <v>8298</v>
      </c>
      <c r="C1973" s="20" t="s">
        <v>8299</v>
      </c>
      <c r="D1973" s="21"/>
      <c r="E1973" s="22" t="s">
        <v>8300</v>
      </c>
      <c r="H1973" s="23" t="s">
        <v>8301</v>
      </c>
      <c r="I1973" s="21"/>
      <c r="J1973" s="25"/>
      <c r="K1973" s="26" t="s">
        <v>44</v>
      </c>
      <c r="L1973" s="16"/>
      <c r="M1973" s="21"/>
    </row>
    <row r="1974">
      <c r="A1974" s="28">
        <v>46232.0</v>
      </c>
      <c r="B1974" s="16" t="s">
        <v>8302</v>
      </c>
      <c r="C1974" s="20" t="s">
        <v>8303</v>
      </c>
      <c r="D1974" s="21"/>
      <c r="E1974" s="22" t="s">
        <v>8304</v>
      </c>
      <c r="H1974" s="23" t="s">
        <v>5222</v>
      </c>
      <c r="I1974" s="21"/>
      <c r="J1974" s="25"/>
      <c r="K1974" s="26" t="s">
        <v>44</v>
      </c>
      <c r="L1974" s="16"/>
      <c r="M1974" s="21"/>
    </row>
    <row r="1975">
      <c r="A1975" s="28">
        <v>46232.0</v>
      </c>
      <c r="B1975" s="16" t="s">
        <v>8305</v>
      </c>
      <c r="C1975" s="20" t="s">
        <v>8306</v>
      </c>
      <c r="D1975" s="21"/>
      <c r="E1975" s="22" t="s">
        <v>8307</v>
      </c>
      <c r="H1975" s="23" t="s">
        <v>6021</v>
      </c>
      <c r="I1975" s="21"/>
      <c r="J1975" s="25"/>
      <c r="K1975" s="26" t="s">
        <v>44</v>
      </c>
      <c r="L1975" s="16"/>
      <c r="M1975" s="21"/>
    </row>
    <row r="1976">
      <c r="A1976" s="28">
        <v>46232.0</v>
      </c>
      <c r="B1976" s="16" t="s">
        <v>8308</v>
      </c>
      <c r="C1976" s="20" t="s">
        <v>8309</v>
      </c>
      <c r="D1976" s="21"/>
      <c r="E1976" s="22" t="s">
        <v>8310</v>
      </c>
      <c r="H1976" s="23" t="s">
        <v>98</v>
      </c>
      <c r="I1976" s="21"/>
      <c r="J1976" s="25"/>
      <c r="K1976" s="26" t="s">
        <v>44</v>
      </c>
      <c r="L1976" s="16"/>
      <c r="M1976" s="21"/>
    </row>
    <row r="1977">
      <c r="A1977" s="28">
        <v>46232.0</v>
      </c>
      <c r="B1977" s="16" t="s">
        <v>8311</v>
      </c>
      <c r="C1977" s="20" t="s">
        <v>8312</v>
      </c>
      <c r="D1977" s="21"/>
      <c r="E1977" s="22" t="s">
        <v>8313</v>
      </c>
      <c r="H1977" s="23" t="s">
        <v>5719</v>
      </c>
      <c r="I1977" s="21"/>
      <c r="J1977" s="25"/>
      <c r="K1977" s="26" t="s">
        <v>44</v>
      </c>
      <c r="L1977" s="16"/>
      <c r="M1977" s="21"/>
    </row>
    <row r="1978">
      <c r="A1978" s="28">
        <v>46232.0</v>
      </c>
      <c r="B1978" s="16" t="s">
        <v>8314</v>
      </c>
      <c r="C1978" s="20" t="s">
        <v>8315</v>
      </c>
      <c r="D1978" s="21"/>
      <c r="E1978" s="22" t="s">
        <v>8316</v>
      </c>
      <c r="H1978" s="23" t="s">
        <v>1708</v>
      </c>
      <c r="I1978" s="21"/>
      <c r="J1978" s="25"/>
      <c r="K1978" s="26" t="s">
        <v>44</v>
      </c>
      <c r="L1978" s="16"/>
      <c r="M1978" s="21"/>
    </row>
    <row r="1979">
      <c r="A1979" s="28">
        <v>46232.0</v>
      </c>
      <c r="B1979" s="16" t="s">
        <v>8317</v>
      </c>
      <c r="C1979" s="20" t="s">
        <v>8318</v>
      </c>
      <c r="D1979" s="21"/>
      <c r="E1979" s="22" t="s">
        <v>8319</v>
      </c>
      <c r="H1979" s="23" t="s">
        <v>48</v>
      </c>
      <c r="I1979" s="21"/>
      <c r="J1979" s="25"/>
      <c r="K1979" s="26" t="s">
        <v>44</v>
      </c>
      <c r="L1979" s="16"/>
      <c r="M1979" s="21"/>
    </row>
    <row r="1980">
      <c r="A1980" s="28">
        <v>46232.0</v>
      </c>
      <c r="B1980" s="16" t="s">
        <v>8320</v>
      </c>
      <c r="C1980" s="20" t="s">
        <v>8321</v>
      </c>
      <c r="D1980" s="21"/>
      <c r="E1980" s="22" t="s">
        <v>8322</v>
      </c>
      <c r="H1980" s="23" t="s">
        <v>583</v>
      </c>
      <c r="I1980" s="21"/>
      <c r="J1980" s="25"/>
      <c r="K1980" s="26" t="s">
        <v>44</v>
      </c>
      <c r="L1980" s="16"/>
      <c r="M1980" s="21"/>
    </row>
    <row r="1981">
      <c r="A1981" s="28">
        <v>46232.0</v>
      </c>
      <c r="B1981" s="16" t="s">
        <v>8323</v>
      </c>
      <c r="C1981" s="20" t="s">
        <v>8324</v>
      </c>
      <c r="D1981" s="21"/>
      <c r="E1981" s="22" t="s">
        <v>8325</v>
      </c>
      <c r="H1981" s="23" t="s">
        <v>404</v>
      </c>
      <c r="I1981" s="21"/>
      <c r="J1981" s="25"/>
      <c r="K1981" s="26" t="s">
        <v>44</v>
      </c>
      <c r="L1981" s="16"/>
      <c r="M1981" s="21"/>
    </row>
    <row r="1982">
      <c r="A1982" s="28">
        <v>46232.0</v>
      </c>
      <c r="B1982" s="16" t="s">
        <v>8326</v>
      </c>
      <c r="C1982" s="20" t="s">
        <v>8327</v>
      </c>
      <c r="D1982" s="21"/>
      <c r="E1982" s="22" t="s">
        <v>8328</v>
      </c>
      <c r="H1982" s="23" t="s">
        <v>98</v>
      </c>
      <c r="I1982" s="21"/>
      <c r="J1982" s="25"/>
      <c r="K1982" s="26" t="s">
        <v>44</v>
      </c>
      <c r="L1982" s="16"/>
      <c r="M1982" s="21"/>
    </row>
    <row r="1983">
      <c r="A1983" s="28">
        <v>46232.0</v>
      </c>
      <c r="B1983" s="16" t="s">
        <v>8329</v>
      </c>
      <c r="C1983" s="20" t="s">
        <v>8330</v>
      </c>
      <c r="D1983" s="21"/>
      <c r="E1983" s="22" t="s">
        <v>8331</v>
      </c>
      <c r="H1983" s="23" t="s">
        <v>751</v>
      </c>
      <c r="I1983" s="21"/>
      <c r="J1983" s="25"/>
      <c r="K1983" s="26" t="s">
        <v>44</v>
      </c>
      <c r="L1983" s="16"/>
      <c r="M1983" s="21"/>
    </row>
    <row r="1984">
      <c r="A1984" s="28">
        <v>46232.0</v>
      </c>
      <c r="B1984" s="16" t="s">
        <v>8332</v>
      </c>
      <c r="C1984" s="20" t="s">
        <v>8333</v>
      </c>
      <c r="D1984" s="21"/>
      <c r="E1984" s="22" t="s">
        <v>8334</v>
      </c>
      <c r="H1984" s="23" t="s">
        <v>2867</v>
      </c>
      <c r="I1984" s="21"/>
      <c r="J1984" s="25"/>
      <c r="K1984" s="26" t="s">
        <v>44</v>
      </c>
      <c r="L1984" s="16"/>
      <c r="M1984" s="21"/>
    </row>
    <row r="1985">
      <c r="A1985" s="28">
        <v>46232.0</v>
      </c>
      <c r="B1985" s="16" t="s">
        <v>8335</v>
      </c>
      <c r="C1985" s="20" t="s">
        <v>8336</v>
      </c>
      <c r="D1985" s="21"/>
      <c r="E1985" s="22" t="s">
        <v>8337</v>
      </c>
      <c r="H1985" s="23" t="s">
        <v>896</v>
      </c>
      <c r="I1985" s="21"/>
      <c r="J1985" s="25"/>
      <c r="K1985" s="26" t="s">
        <v>44</v>
      </c>
      <c r="L1985" s="16"/>
      <c r="M1985" s="21"/>
    </row>
    <row r="1986">
      <c r="A1986" s="28">
        <v>46232.0</v>
      </c>
      <c r="B1986" s="16" t="s">
        <v>8338</v>
      </c>
      <c r="C1986" s="20" t="s">
        <v>8339</v>
      </c>
      <c r="D1986" s="21"/>
      <c r="E1986" s="22" t="s">
        <v>8340</v>
      </c>
      <c r="H1986" s="23" t="s">
        <v>1686</v>
      </c>
      <c r="I1986" s="21"/>
      <c r="J1986" s="25"/>
      <c r="K1986" s="26" t="s">
        <v>44</v>
      </c>
      <c r="L1986" s="16"/>
      <c r="M1986" s="21"/>
    </row>
    <row r="1987">
      <c r="A1987" s="28">
        <v>46232.0</v>
      </c>
      <c r="B1987" s="16" t="s">
        <v>8341</v>
      </c>
      <c r="C1987" s="20" t="s">
        <v>8342</v>
      </c>
      <c r="D1987" s="21"/>
      <c r="E1987" s="22" t="s">
        <v>8343</v>
      </c>
      <c r="H1987" s="23" t="s">
        <v>6028</v>
      </c>
      <c r="I1987" s="21"/>
      <c r="J1987" s="25"/>
      <c r="K1987" s="26" t="s">
        <v>44</v>
      </c>
      <c r="L1987" s="16"/>
      <c r="M1987" s="21"/>
    </row>
    <row r="1988">
      <c r="A1988" s="28">
        <v>46232.0</v>
      </c>
      <c r="B1988" s="16" t="s">
        <v>8344</v>
      </c>
      <c r="C1988" s="20" t="s">
        <v>8345</v>
      </c>
      <c r="D1988" s="21"/>
      <c r="E1988" s="22" t="s">
        <v>8346</v>
      </c>
      <c r="H1988" s="23" t="s">
        <v>487</v>
      </c>
      <c r="I1988" s="21"/>
      <c r="J1988" s="25"/>
      <c r="K1988" s="26" t="s">
        <v>44</v>
      </c>
      <c r="L1988" s="16"/>
      <c r="M1988" s="21"/>
    </row>
    <row r="1989">
      <c r="A1989" s="28">
        <v>46232.0</v>
      </c>
      <c r="B1989" s="16" t="s">
        <v>8347</v>
      </c>
      <c r="C1989" s="20" t="s">
        <v>8348</v>
      </c>
      <c r="D1989" s="21"/>
      <c r="E1989" s="22" t="s">
        <v>8349</v>
      </c>
      <c r="H1989" s="23" t="s">
        <v>751</v>
      </c>
      <c r="I1989" s="21"/>
      <c r="J1989" s="25"/>
      <c r="K1989" s="26" t="s">
        <v>44</v>
      </c>
      <c r="L1989" s="16"/>
      <c r="M1989" s="21"/>
    </row>
    <row r="1990">
      <c r="A1990" s="28">
        <v>46232.0</v>
      </c>
      <c r="B1990" s="16" t="s">
        <v>8350</v>
      </c>
      <c r="C1990" s="20" t="s">
        <v>8351</v>
      </c>
      <c r="D1990" s="21"/>
      <c r="E1990" s="22" t="s">
        <v>8352</v>
      </c>
      <c r="H1990" s="23" t="s">
        <v>48</v>
      </c>
      <c r="I1990" s="21"/>
      <c r="J1990" s="25"/>
      <c r="K1990" s="26" t="s">
        <v>44</v>
      </c>
      <c r="L1990" s="16"/>
      <c r="M1990" s="21"/>
    </row>
    <row r="1991">
      <c r="A1991" s="28">
        <v>46232.0</v>
      </c>
      <c r="B1991" s="16" t="s">
        <v>8353</v>
      </c>
      <c r="C1991" s="20" t="s">
        <v>8354</v>
      </c>
      <c r="D1991" s="21"/>
      <c r="E1991" s="22" t="s">
        <v>8355</v>
      </c>
      <c r="H1991" s="23" t="s">
        <v>1716</v>
      </c>
      <c r="I1991" s="21"/>
      <c r="J1991" s="25"/>
      <c r="K1991" s="26" t="s">
        <v>44</v>
      </c>
      <c r="L1991" s="16"/>
      <c r="M1991" s="21"/>
    </row>
    <row r="1992">
      <c r="A1992" s="28">
        <v>46232.0</v>
      </c>
      <c r="B1992" s="16" t="s">
        <v>8356</v>
      </c>
      <c r="C1992" s="20" t="s">
        <v>8357</v>
      </c>
      <c r="D1992" s="21"/>
      <c r="E1992" s="22" t="s">
        <v>8358</v>
      </c>
      <c r="H1992" s="23" t="s">
        <v>1141</v>
      </c>
      <c r="I1992" s="21"/>
      <c r="J1992" s="25"/>
      <c r="K1992" s="26" t="s">
        <v>44</v>
      </c>
      <c r="L1992" s="16"/>
      <c r="M1992" s="21"/>
    </row>
    <row r="1993">
      <c r="A1993" s="28">
        <v>46232.0</v>
      </c>
      <c r="B1993" s="16" t="s">
        <v>8359</v>
      </c>
      <c r="C1993" s="20" t="s">
        <v>8360</v>
      </c>
      <c r="D1993" s="21"/>
      <c r="E1993" s="22" t="s">
        <v>8361</v>
      </c>
      <c r="H1993" s="23" t="s">
        <v>8362</v>
      </c>
      <c r="I1993" s="21"/>
      <c r="J1993" s="25"/>
      <c r="K1993" s="26" t="s">
        <v>44</v>
      </c>
      <c r="L1993" s="16"/>
      <c r="M1993" s="21"/>
    </row>
    <row r="1994">
      <c r="A1994" s="28">
        <v>46232.0</v>
      </c>
      <c r="B1994" s="16" t="s">
        <v>8363</v>
      </c>
      <c r="C1994" s="20" t="s">
        <v>8364</v>
      </c>
      <c r="D1994" s="21"/>
      <c r="E1994" s="22" t="s">
        <v>8365</v>
      </c>
      <c r="H1994" s="23" t="s">
        <v>5232</v>
      </c>
      <c r="I1994" s="21"/>
      <c r="J1994" s="25"/>
      <c r="K1994" s="26" t="s">
        <v>44</v>
      </c>
      <c r="L1994" s="16"/>
      <c r="M1994" s="21"/>
    </row>
    <row r="1995">
      <c r="A1995" s="28">
        <v>46232.0</v>
      </c>
      <c r="B1995" s="16" t="s">
        <v>8366</v>
      </c>
      <c r="C1995" s="20" t="s">
        <v>8367</v>
      </c>
      <c r="D1995" s="21"/>
      <c r="E1995" s="22" t="s">
        <v>8368</v>
      </c>
      <c r="H1995" s="23" t="s">
        <v>69</v>
      </c>
      <c r="I1995" s="21"/>
      <c r="J1995" s="25"/>
      <c r="K1995" s="26" t="s">
        <v>44</v>
      </c>
      <c r="L1995" s="16"/>
      <c r="M1995" s="21"/>
    </row>
    <row r="1996">
      <c r="A1996" s="28">
        <v>46232.0</v>
      </c>
      <c r="B1996" s="16" t="s">
        <v>8369</v>
      </c>
      <c r="C1996" s="20" t="s">
        <v>8370</v>
      </c>
      <c r="D1996" s="21"/>
      <c r="E1996" s="22" t="s">
        <v>8371</v>
      </c>
      <c r="H1996" s="23" t="s">
        <v>48</v>
      </c>
      <c r="I1996" s="21"/>
      <c r="J1996" s="25"/>
      <c r="K1996" s="26" t="s">
        <v>44</v>
      </c>
      <c r="L1996" s="16"/>
      <c r="M1996" s="21"/>
    </row>
    <row r="1997">
      <c r="A1997" s="28">
        <v>46232.0</v>
      </c>
      <c r="B1997" s="16" t="s">
        <v>8372</v>
      </c>
      <c r="C1997" s="20" t="s">
        <v>8373</v>
      </c>
      <c r="D1997" s="21"/>
      <c r="E1997" s="22" t="s">
        <v>8374</v>
      </c>
      <c r="H1997" s="23" t="s">
        <v>1368</v>
      </c>
      <c r="I1997" s="21"/>
      <c r="J1997" s="25"/>
      <c r="K1997" s="26" t="s">
        <v>44</v>
      </c>
      <c r="L1997" s="16"/>
      <c r="M1997" s="21"/>
    </row>
    <row r="1998">
      <c r="A1998" s="28">
        <v>46232.0</v>
      </c>
      <c r="B1998" s="16" t="s">
        <v>8375</v>
      </c>
      <c r="C1998" s="20" t="s">
        <v>8376</v>
      </c>
      <c r="D1998" s="21"/>
      <c r="E1998" s="22" t="s">
        <v>8377</v>
      </c>
      <c r="H1998" s="23" t="s">
        <v>1534</v>
      </c>
      <c r="I1998" s="21"/>
      <c r="J1998" s="25"/>
      <c r="K1998" s="26" t="s">
        <v>44</v>
      </c>
      <c r="L1998" s="16"/>
      <c r="M1998" s="21"/>
    </row>
    <row r="1999">
      <c r="A1999" s="28">
        <v>46232.0</v>
      </c>
      <c r="B1999" s="16" t="s">
        <v>8378</v>
      </c>
      <c r="C1999" s="20" t="s">
        <v>8379</v>
      </c>
      <c r="D1999" s="21"/>
      <c r="E1999" s="22" t="s">
        <v>8380</v>
      </c>
      <c r="H1999" s="23" t="s">
        <v>1848</v>
      </c>
      <c r="I1999" s="21"/>
      <c r="J1999" s="25"/>
      <c r="K1999" s="26" t="s">
        <v>44</v>
      </c>
      <c r="L1999" s="16"/>
      <c r="M1999" s="21"/>
    </row>
    <row r="2000">
      <c r="A2000" s="28">
        <v>46232.0</v>
      </c>
      <c r="B2000" s="16" t="s">
        <v>8381</v>
      </c>
      <c r="C2000" s="20" t="s">
        <v>8382</v>
      </c>
      <c r="D2000" s="21"/>
      <c r="E2000" s="22" t="s">
        <v>8383</v>
      </c>
      <c r="H2000" s="23" t="s">
        <v>1016</v>
      </c>
      <c r="I2000" s="21"/>
      <c r="J2000" s="25"/>
      <c r="K2000" s="26" t="s">
        <v>44</v>
      </c>
      <c r="L2000" s="16"/>
      <c r="M2000" s="21"/>
    </row>
    <row r="2001">
      <c r="A2001" s="28">
        <v>46232.0</v>
      </c>
      <c r="B2001" s="16" t="s">
        <v>8384</v>
      </c>
      <c r="C2001" s="46" t="s">
        <v>8385</v>
      </c>
      <c r="D2001" s="21"/>
      <c r="E2001" s="22" t="s">
        <v>8386</v>
      </c>
      <c r="H2001" s="23" t="s">
        <v>111</v>
      </c>
      <c r="I2001" s="21"/>
      <c r="J2001" s="25"/>
      <c r="K2001" s="26" t="s">
        <v>44</v>
      </c>
      <c r="L2001" s="16"/>
      <c r="M2001" s="21"/>
    </row>
    <row r="2002">
      <c r="A2002" s="28">
        <v>46232.0</v>
      </c>
      <c r="B2002" s="16" t="s">
        <v>8387</v>
      </c>
      <c r="C2002" s="20" t="s">
        <v>8388</v>
      </c>
      <c r="D2002" s="21"/>
      <c r="E2002" s="22" t="s">
        <v>8389</v>
      </c>
      <c r="H2002" s="23" t="s">
        <v>2089</v>
      </c>
      <c r="I2002" s="21"/>
      <c r="J2002" s="25"/>
      <c r="K2002" s="26" t="s">
        <v>44</v>
      </c>
      <c r="L2002" s="16"/>
      <c r="M2002" s="21"/>
    </row>
    <row r="2003">
      <c r="A2003" s="28">
        <v>46232.0</v>
      </c>
      <c r="B2003" s="16" t="s">
        <v>8390</v>
      </c>
      <c r="C2003" s="20" t="s">
        <v>8391</v>
      </c>
      <c r="D2003" s="21"/>
      <c r="E2003" s="22" t="s">
        <v>8392</v>
      </c>
      <c r="H2003" s="23" t="s">
        <v>404</v>
      </c>
      <c r="I2003" s="21"/>
      <c r="J2003" s="25"/>
      <c r="K2003" s="26" t="s">
        <v>44</v>
      </c>
      <c r="L2003" s="16"/>
      <c r="M2003" s="21"/>
    </row>
    <row r="2004">
      <c r="A2004" s="28">
        <v>46232.0</v>
      </c>
      <c r="B2004" s="16" t="s">
        <v>8393</v>
      </c>
      <c r="C2004" s="20" t="s">
        <v>8394</v>
      </c>
      <c r="D2004" s="21"/>
      <c r="E2004" s="22" t="s">
        <v>8395</v>
      </c>
      <c r="H2004" s="23" t="s">
        <v>8396</v>
      </c>
      <c r="I2004" s="21"/>
      <c r="J2004" s="25"/>
      <c r="K2004" s="26" t="s">
        <v>44</v>
      </c>
      <c r="L2004" s="16"/>
      <c r="M2004" s="21"/>
    </row>
    <row r="2005">
      <c r="A2005" s="28">
        <v>46232.0</v>
      </c>
      <c r="B2005" s="16" t="s">
        <v>8397</v>
      </c>
      <c r="C2005" s="20" t="s">
        <v>8398</v>
      </c>
      <c r="D2005" s="21"/>
      <c r="E2005" s="22" t="s">
        <v>8399</v>
      </c>
      <c r="H2005" s="23" t="s">
        <v>8400</v>
      </c>
      <c r="I2005" s="21"/>
      <c r="J2005" s="25"/>
      <c r="K2005" s="26" t="s">
        <v>44</v>
      </c>
      <c r="L2005" s="16"/>
      <c r="M2005" s="21"/>
    </row>
    <row r="2006">
      <c r="A2006" s="28">
        <v>46232.0</v>
      </c>
      <c r="B2006" s="16" t="s">
        <v>8401</v>
      </c>
      <c r="C2006" s="20" t="s">
        <v>8402</v>
      </c>
      <c r="D2006" s="21"/>
      <c r="E2006" s="22" t="s">
        <v>8403</v>
      </c>
      <c r="H2006" s="23" t="s">
        <v>6028</v>
      </c>
      <c r="I2006" s="21"/>
      <c r="J2006" s="25"/>
      <c r="K2006" s="26" t="s">
        <v>44</v>
      </c>
      <c r="L2006" s="16"/>
      <c r="M2006" s="21"/>
    </row>
    <row r="2007">
      <c r="A2007" s="28">
        <v>46232.0</v>
      </c>
      <c r="B2007" s="16" t="s">
        <v>8404</v>
      </c>
      <c r="C2007" s="20" t="s">
        <v>8405</v>
      </c>
      <c r="D2007" s="21"/>
      <c r="E2007" s="22" t="s">
        <v>8406</v>
      </c>
      <c r="H2007" s="23" t="s">
        <v>57</v>
      </c>
      <c r="I2007" s="21"/>
      <c r="J2007" s="25"/>
      <c r="K2007" s="26" t="s">
        <v>44</v>
      </c>
      <c r="L2007" s="16"/>
      <c r="M2007" s="21"/>
    </row>
    <row r="2008">
      <c r="A2008" s="28">
        <v>46232.0</v>
      </c>
      <c r="B2008" s="16" t="s">
        <v>8407</v>
      </c>
      <c r="C2008" s="20" t="s">
        <v>8408</v>
      </c>
      <c r="D2008" s="21"/>
      <c r="E2008" s="22" t="s">
        <v>8409</v>
      </c>
      <c r="H2008" s="23" t="s">
        <v>1093</v>
      </c>
      <c r="I2008" s="21"/>
      <c r="J2008" s="25"/>
      <c r="K2008" s="26" t="s">
        <v>44</v>
      </c>
      <c r="L2008" s="16"/>
      <c r="M2008" s="21"/>
    </row>
    <row r="2009">
      <c r="A2009" s="28">
        <v>46232.0</v>
      </c>
      <c r="B2009" s="16" t="s">
        <v>8410</v>
      </c>
      <c r="C2009" s="20" t="s">
        <v>8411</v>
      </c>
      <c r="D2009" s="21"/>
      <c r="E2009" s="22" t="s">
        <v>8412</v>
      </c>
      <c r="H2009" s="23" t="s">
        <v>69</v>
      </c>
      <c r="I2009" s="21"/>
      <c r="J2009" s="25"/>
      <c r="K2009" s="26" t="s">
        <v>44</v>
      </c>
      <c r="L2009" s="16"/>
      <c r="M2009" s="21"/>
    </row>
    <row r="2010">
      <c r="A2010" s="28">
        <v>46232.0</v>
      </c>
      <c r="B2010" s="16" t="s">
        <v>8413</v>
      </c>
      <c r="C2010" s="20" t="s">
        <v>8414</v>
      </c>
      <c r="D2010" s="21"/>
      <c r="E2010" s="22" t="s">
        <v>8415</v>
      </c>
      <c r="H2010" s="23" t="s">
        <v>57</v>
      </c>
      <c r="I2010" s="21"/>
      <c r="J2010" s="25"/>
      <c r="K2010" s="26" t="s">
        <v>44</v>
      </c>
      <c r="L2010" s="16"/>
      <c r="M2010" s="21"/>
    </row>
    <row r="2011">
      <c r="A2011" s="28">
        <v>46232.0</v>
      </c>
      <c r="B2011" s="16" t="s">
        <v>8416</v>
      </c>
      <c r="C2011" s="20" t="s">
        <v>8417</v>
      </c>
      <c r="D2011" s="21"/>
      <c r="E2011" s="22" t="s">
        <v>8418</v>
      </c>
      <c r="H2011" s="23" t="s">
        <v>2650</v>
      </c>
      <c r="I2011" s="21"/>
      <c r="J2011" s="25"/>
      <c r="K2011" s="26" t="s">
        <v>44</v>
      </c>
      <c r="L2011" s="16"/>
      <c r="M2011" s="21"/>
    </row>
    <row r="2012">
      <c r="A2012" s="28">
        <v>46232.0</v>
      </c>
      <c r="B2012" s="16" t="s">
        <v>8419</v>
      </c>
      <c r="C2012" s="20" t="s">
        <v>8420</v>
      </c>
      <c r="D2012" s="21"/>
      <c r="E2012" s="22" t="s">
        <v>8421</v>
      </c>
      <c r="H2012" s="23" t="s">
        <v>404</v>
      </c>
      <c r="I2012" s="21"/>
      <c r="J2012" s="25"/>
      <c r="K2012" s="26" t="s">
        <v>44</v>
      </c>
      <c r="L2012" s="16"/>
      <c r="M2012" s="21"/>
    </row>
    <row r="2013">
      <c r="A2013" s="28">
        <v>46232.0</v>
      </c>
      <c r="B2013" s="16" t="s">
        <v>8422</v>
      </c>
      <c r="C2013" s="20" t="s">
        <v>8423</v>
      </c>
      <c r="D2013" s="21"/>
      <c r="E2013" s="22" t="s">
        <v>8424</v>
      </c>
      <c r="H2013" s="23" t="s">
        <v>983</v>
      </c>
      <c r="I2013" s="21"/>
      <c r="J2013" s="25"/>
      <c r="K2013" s="26" t="s">
        <v>44</v>
      </c>
      <c r="L2013" s="16"/>
      <c r="M2013" s="21"/>
    </row>
    <row r="2014">
      <c r="A2014" s="28">
        <v>46232.0</v>
      </c>
      <c r="B2014" s="16" t="s">
        <v>8425</v>
      </c>
      <c r="C2014" s="20" t="s">
        <v>8426</v>
      </c>
      <c r="D2014" s="21"/>
      <c r="E2014" s="22" t="s">
        <v>8427</v>
      </c>
      <c r="H2014" s="23" t="s">
        <v>622</v>
      </c>
      <c r="I2014" s="21"/>
      <c r="J2014" s="25"/>
      <c r="K2014" s="26" t="s">
        <v>44</v>
      </c>
      <c r="L2014" s="16"/>
      <c r="M2014" s="21"/>
    </row>
    <row r="2015">
      <c r="A2015" s="28">
        <v>46232.0</v>
      </c>
      <c r="B2015" s="16" t="s">
        <v>8428</v>
      </c>
      <c r="C2015" s="20" t="s">
        <v>8429</v>
      </c>
      <c r="D2015" s="21"/>
      <c r="E2015" s="22" t="s">
        <v>8430</v>
      </c>
      <c r="H2015" s="23" t="s">
        <v>8431</v>
      </c>
      <c r="I2015" s="21"/>
      <c r="J2015" s="25"/>
      <c r="K2015" s="26" t="s">
        <v>44</v>
      </c>
      <c r="L2015" s="16"/>
      <c r="M2015" s="21"/>
    </row>
    <row r="2016">
      <c r="A2016" s="28">
        <v>46232.0</v>
      </c>
      <c r="B2016" s="16" t="s">
        <v>8432</v>
      </c>
      <c r="C2016" s="20" t="s">
        <v>8433</v>
      </c>
      <c r="D2016" s="21"/>
      <c r="E2016" s="22" t="s">
        <v>8434</v>
      </c>
      <c r="H2016" s="23" t="s">
        <v>48</v>
      </c>
      <c r="I2016" s="21"/>
      <c r="J2016" s="25"/>
      <c r="K2016" s="26" t="s">
        <v>44</v>
      </c>
      <c r="L2016" s="16"/>
      <c r="M2016" s="21"/>
    </row>
    <row r="2017">
      <c r="A2017" s="28">
        <v>46232.0</v>
      </c>
      <c r="B2017" s="16" t="s">
        <v>8435</v>
      </c>
      <c r="C2017" s="20" t="s">
        <v>8436</v>
      </c>
      <c r="D2017" s="21"/>
      <c r="E2017" s="22" t="s">
        <v>8437</v>
      </c>
      <c r="H2017" s="23" t="s">
        <v>7578</v>
      </c>
      <c r="I2017" s="21"/>
      <c r="J2017" s="25"/>
      <c r="K2017" s="26" t="s">
        <v>44</v>
      </c>
      <c r="L2017" s="16"/>
      <c r="M2017" s="21"/>
    </row>
    <row r="2018">
      <c r="A2018" s="28">
        <v>46232.0</v>
      </c>
      <c r="B2018" s="16" t="s">
        <v>8438</v>
      </c>
      <c r="C2018" s="20" t="s">
        <v>8439</v>
      </c>
      <c r="D2018" s="21"/>
      <c r="E2018" s="22" t="s">
        <v>8440</v>
      </c>
      <c r="H2018" s="23" t="s">
        <v>8441</v>
      </c>
      <c r="I2018" s="21"/>
      <c r="J2018" s="25"/>
      <c r="K2018" s="26" t="s">
        <v>44</v>
      </c>
      <c r="L2018" s="16"/>
      <c r="M2018" s="21"/>
    </row>
    <row r="2019">
      <c r="A2019" s="28">
        <v>46232.0</v>
      </c>
      <c r="B2019" s="16" t="s">
        <v>8442</v>
      </c>
      <c r="C2019" s="20" t="s">
        <v>8443</v>
      </c>
      <c r="D2019" s="21"/>
      <c r="E2019" s="22" t="s">
        <v>8444</v>
      </c>
      <c r="H2019" s="23" t="s">
        <v>856</v>
      </c>
      <c r="I2019" s="21"/>
      <c r="J2019" s="25"/>
      <c r="K2019" s="26" t="s">
        <v>44</v>
      </c>
      <c r="L2019" s="16"/>
      <c r="M2019" s="21"/>
    </row>
    <row r="2020">
      <c r="A2020" s="28">
        <v>46232.0</v>
      </c>
      <c r="B2020" s="16" t="s">
        <v>8445</v>
      </c>
      <c r="C2020" s="20" t="s">
        <v>8446</v>
      </c>
      <c r="D2020" s="21"/>
      <c r="E2020" s="22" t="s">
        <v>8447</v>
      </c>
      <c r="H2020" s="23" t="s">
        <v>111</v>
      </c>
      <c r="I2020" s="21"/>
      <c r="J2020" s="25"/>
      <c r="K2020" s="26" t="s">
        <v>44</v>
      </c>
      <c r="L2020" s="16"/>
      <c r="M2020" s="21"/>
    </row>
    <row r="2021">
      <c r="A2021" s="28">
        <v>46232.0</v>
      </c>
      <c r="B2021" s="16" t="s">
        <v>8448</v>
      </c>
      <c r="C2021" s="20" t="s">
        <v>8449</v>
      </c>
      <c r="D2021" s="21"/>
      <c r="E2021" s="22" t="s">
        <v>8450</v>
      </c>
      <c r="H2021" s="23" t="s">
        <v>1141</v>
      </c>
      <c r="I2021" s="21"/>
      <c r="J2021" s="25"/>
      <c r="K2021" s="26" t="s">
        <v>44</v>
      </c>
      <c r="L2021" s="16"/>
      <c r="M2021" s="21"/>
    </row>
    <row r="2022">
      <c r="A2022" s="28">
        <v>46232.0</v>
      </c>
      <c r="B2022" s="16" t="s">
        <v>8451</v>
      </c>
      <c r="C2022" s="20" t="s">
        <v>8452</v>
      </c>
      <c r="D2022" s="21"/>
      <c r="E2022" s="22" t="s">
        <v>8453</v>
      </c>
      <c r="H2022" s="23" t="s">
        <v>127</v>
      </c>
      <c r="I2022" s="21"/>
      <c r="J2022" s="25"/>
      <c r="K2022" s="26" t="s">
        <v>44</v>
      </c>
      <c r="L2022" s="16"/>
      <c r="M2022" s="21"/>
    </row>
    <row r="2023">
      <c r="A2023" s="28">
        <v>46232.0</v>
      </c>
      <c r="B2023" s="16" t="s">
        <v>8454</v>
      </c>
      <c r="C2023" s="20" t="s">
        <v>8455</v>
      </c>
      <c r="D2023" s="21"/>
      <c r="E2023" s="22" t="s">
        <v>8456</v>
      </c>
      <c r="H2023" s="23" t="s">
        <v>5719</v>
      </c>
      <c r="I2023" s="21"/>
      <c r="J2023" s="25"/>
      <c r="K2023" s="26" t="s">
        <v>44</v>
      </c>
      <c r="L2023" s="16"/>
      <c r="M2023" s="21"/>
    </row>
    <row r="2024">
      <c r="A2024" s="28">
        <v>46232.0</v>
      </c>
      <c r="B2024" s="16" t="s">
        <v>8457</v>
      </c>
      <c r="C2024" s="20" t="s">
        <v>8458</v>
      </c>
      <c r="D2024" s="21"/>
      <c r="E2024" s="22" t="s">
        <v>8459</v>
      </c>
      <c r="H2024" s="23" t="s">
        <v>8460</v>
      </c>
      <c r="I2024" s="21"/>
      <c r="J2024" s="25"/>
      <c r="K2024" s="26" t="s">
        <v>44</v>
      </c>
      <c r="L2024" s="16"/>
      <c r="M2024" s="21"/>
    </row>
    <row r="2025">
      <c r="A2025" s="28">
        <v>46232.0</v>
      </c>
      <c r="B2025" s="16" t="s">
        <v>8461</v>
      </c>
      <c r="C2025" s="20" t="s">
        <v>8462</v>
      </c>
      <c r="D2025" s="21"/>
      <c r="E2025" s="22" t="s">
        <v>8463</v>
      </c>
      <c r="H2025" s="23" t="s">
        <v>6392</v>
      </c>
      <c r="I2025" s="21"/>
      <c r="J2025" s="25"/>
      <c r="K2025" s="26" t="s">
        <v>44</v>
      </c>
      <c r="L2025" s="16"/>
      <c r="M2025" s="21"/>
    </row>
    <row r="2026">
      <c r="A2026" s="28">
        <v>46232.0</v>
      </c>
      <c r="B2026" s="16" t="s">
        <v>8464</v>
      </c>
      <c r="C2026" s="20" t="s">
        <v>8465</v>
      </c>
      <c r="D2026" s="21"/>
      <c r="E2026" s="22" t="s">
        <v>8466</v>
      </c>
      <c r="H2026" s="23" t="s">
        <v>4808</v>
      </c>
      <c r="I2026" s="21"/>
      <c r="J2026" s="25"/>
      <c r="K2026" s="26" t="s">
        <v>44</v>
      </c>
      <c r="L2026" s="16"/>
      <c r="M2026" s="21"/>
    </row>
    <row r="2027">
      <c r="A2027" s="28">
        <v>46232.0</v>
      </c>
      <c r="B2027" s="16" t="s">
        <v>8467</v>
      </c>
      <c r="C2027" s="20" t="s">
        <v>8468</v>
      </c>
      <c r="D2027" s="21"/>
      <c r="E2027" s="22" t="s">
        <v>8469</v>
      </c>
      <c r="H2027" s="23" t="s">
        <v>404</v>
      </c>
      <c r="I2027" s="21"/>
      <c r="J2027" s="25"/>
      <c r="K2027" s="26" t="s">
        <v>44</v>
      </c>
      <c r="L2027" s="16"/>
      <c r="M2027" s="21"/>
    </row>
    <row r="2028">
      <c r="A2028" s="28">
        <v>46232.0</v>
      </c>
      <c r="B2028" s="16" t="s">
        <v>8470</v>
      </c>
      <c r="C2028" s="20" t="s">
        <v>8471</v>
      </c>
      <c r="D2028" s="21"/>
      <c r="E2028" s="22" t="s">
        <v>8472</v>
      </c>
      <c r="H2028" s="23" t="s">
        <v>69</v>
      </c>
      <c r="I2028" s="21"/>
      <c r="J2028" s="25"/>
      <c r="K2028" s="26" t="s">
        <v>44</v>
      </c>
      <c r="L2028" s="16"/>
      <c r="M2028" s="21"/>
    </row>
    <row r="2029">
      <c r="A2029" s="28">
        <v>46232.0</v>
      </c>
      <c r="B2029" s="16" t="s">
        <v>8473</v>
      </c>
      <c r="C2029" s="20" t="s">
        <v>8474</v>
      </c>
      <c r="D2029" s="21"/>
      <c r="E2029" s="22" t="s">
        <v>8475</v>
      </c>
      <c r="H2029" s="23" t="s">
        <v>65</v>
      </c>
      <c r="I2029" s="21"/>
      <c r="J2029" s="25"/>
      <c r="K2029" s="26" t="s">
        <v>44</v>
      </c>
      <c r="L2029" s="16"/>
      <c r="M2029" s="21"/>
    </row>
    <row r="2030">
      <c r="A2030" s="28">
        <v>46232.0</v>
      </c>
      <c r="B2030" s="16" t="s">
        <v>8476</v>
      </c>
      <c r="C2030" s="20" t="s">
        <v>8477</v>
      </c>
      <c r="D2030" s="21"/>
      <c r="E2030" s="22" t="s">
        <v>8478</v>
      </c>
      <c r="H2030" s="23" t="s">
        <v>1848</v>
      </c>
      <c r="I2030" s="21"/>
      <c r="J2030" s="25"/>
      <c r="K2030" s="26" t="s">
        <v>44</v>
      </c>
      <c r="L2030" s="16"/>
      <c r="M2030" s="21"/>
    </row>
    <row r="2031">
      <c r="A2031" s="28">
        <v>46232.0</v>
      </c>
      <c r="B2031" s="16" t="s">
        <v>8479</v>
      </c>
      <c r="C2031" s="20" t="s">
        <v>8480</v>
      </c>
      <c r="D2031" s="21"/>
      <c r="E2031" s="22" t="s">
        <v>8481</v>
      </c>
      <c r="H2031" s="23" t="s">
        <v>57</v>
      </c>
      <c r="I2031" s="21"/>
      <c r="J2031" s="25"/>
      <c r="K2031" s="26" t="s">
        <v>44</v>
      </c>
      <c r="L2031" s="16"/>
      <c r="M2031" s="21"/>
    </row>
    <row r="2032">
      <c r="A2032" s="28">
        <v>46232.0</v>
      </c>
      <c r="B2032" s="16" t="s">
        <v>8482</v>
      </c>
      <c r="C2032" s="20" t="s">
        <v>8483</v>
      </c>
      <c r="D2032" s="21"/>
      <c r="E2032" s="22" t="s">
        <v>8484</v>
      </c>
      <c r="H2032" s="23" t="s">
        <v>396</v>
      </c>
      <c r="I2032" s="21"/>
      <c r="J2032" s="25"/>
      <c r="K2032" s="26" t="s">
        <v>44</v>
      </c>
      <c r="L2032" s="16"/>
      <c r="M2032" s="21"/>
    </row>
    <row r="2033">
      <c r="A2033" s="28">
        <v>46232.0</v>
      </c>
      <c r="B2033" s="16" t="s">
        <v>8485</v>
      </c>
      <c r="C2033" s="20" t="s">
        <v>8486</v>
      </c>
      <c r="D2033" s="21"/>
      <c r="E2033" s="22" t="s">
        <v>8487</v>
      </c>
      <c r="H2033" s="23" t="s">
        <v>404</v>
      </c>
      <c r="I2033" s="21"/>
      <c r="J2033" s="25"/>
      <c r="K2033" s="26" t="s">
        <v>44</v>
      </c>
      <c r="L2033" s="16"/>
      <c r="M2033" s="21"/>
    </row>
    <row r="2034">
      <c r="A2034" s="28">
        <v>46232.0</v>
      </c>
      <c r="B2034" s="16" t="s">
        <v>8488</v>
      </c>
      <c r="C2034" s="20" t="s">
        <v>8489</v>
      </c>
      <c r="D2034" s="21"/>
      <c r="E2034" s="22" t="s">
        <v>8490</v>
      </c>
      <c r="H2034" s="23" t="s">
        <v>1686</v>
      </c>
      <c r="I2034" s="21"/>
      <c r="J2034" s="25"/>
      <c r="K2034" s="26" t="s">
        <v>44</v>
      </c>
      <c r="L2034" s="16"/>
      <c r="M2034" s="21"/>
    </row>
    <row r="2035">
      <c r="A2035" s="28">
        <v>46232.0</v>
      </c>
      <c r="B2035" s="16" t="s">
        <v>8491</v>
      </c>
      <c r="C2035" s="20" t="s">
        <v>8492</v>
      </c>
      <c r="D2035" s="21"/>
      <c r="E2035" s="22" t="s">
        <v>8493</v>
      </c>
      <c r="H2035" s="23" t="s">
        <v>8494</v>
      </c>
      <c r="I2035" s="21"/>
      <c r="J2035" s="25"/>
      <c r="K2035" s="26" t="s">
        <v>44</v>
      </c>
      <c r="L2035" s="16"/>
      <c r="M2035" s="21"/>
    </row>
    <row r="2036">
      <c r="A2036" s="28">
        <v>46232.0</v>
      </c>
      <c r="B2036" s="16" t="s">
        <v>8495</v>
      </c>
      <c r="C2036" s="20" t="s">
        <v>8496</v>
      </c>
      <c r="D2036" s="21"/>
      <c r="E2036" s="22" t="s">
        <v>8497</v>
      </c>
      <c r="H2036" s="23" t="s">
        <v>1978</v>
      </c>
      <c r="I2036" s="21"/>
      <c r="J2036" s="25"/>
      <c r="K2036" s="26" t="s">
        <v>44</v>
      </c>
      <c r="L2036" s="16"/>
      <c r="M2036" s="21"/>
    </row>
    <row r="2037">
      <c r="A2037" s="28">
        <v>46232.0</v>
      </c>
      <c r="B2037" s="16" t="s">
        <v>8498</v>
      </c>
      <c r="C2037" s="20" t="s">
        <v>8499</v>
      </c>
      <c r="D2037" s="21"/>
      <c r="E2037" s="22" t="s">
        <v>8500</v>
      </c>
      <c r="H2037" s="23" t="s">
        <v>2842</v>
      </c>
      <c r="I2037" s="21"/>
      <c r="J2037" s="25"/>
      <c r="K2037" s="26" t="s">
        <v>44</v>
      </c>
      <c r="L2037" s="16"/>
      <c r="M2037" s="21"/>
    </row>
    <row r="2038">
      <c r="A2038" s="28">
        <v>46232.0</v>
      </c>
      <c r="B2038" s="16" t="s">
        <v>8501</v>
      </c>
      <c r="C2038" s="20" t="s">
        <v>8502</v>
      </c>
      <c r="D2038" s="21"/>
      <c r="E2038" s="22" t="s">
        <v>8503</v>
      </c>
      <c r="H2038" s="23" t="s">
        <v>404</v>
      </c>
      <c r="I2038" s="21"/>
      <c r="J2038" s="25"/>
      <c r="K2038" s="26" t="s">
        <v>44</v>
      </c>
      <c r="L2038" s="16"/>
      <c r="M2038" s="21"/>
    </row>
    <row r="2039">
      <c r="A2039" s="28">
        <v>46232.0</v>
      </c>
      <c r="B2039" s="16" t="s">
        <v>8504</v>
      </c>
      <c r="C2039" s="20" t="s">
        <v>8505</v>
      </c>
      <c r="D2039" s="21"/>
      <c r="E2039" s="22" t="s">
        <v>8506</v>
      </c>
      <c r="H2039" s="23" t="s">
        <v>8507</v>
      </c>
      <c r="I2039" s="21"/>
      <c r="J2039" s="25"/>
      <c r="K2039" s="26" t="s">
        <v>44</v>
      </c>
      <c r="L2039" s="16"/>
      <c r="M2039" s="21"/>
    </row>
    <row r="2040">
      <c r="A2040" s="28">
        <v>46232.0</v>
      </c>
      <c r="B2040" s="16" t="s">
        <v>8508</v>
      </c>
      <c r="C2040" s="20" t="s">
        <v>8509</v>
      </c>
      <c r="D2040" s="21"/>
      <c r="E2040" s="22" t="s">
        <v>8510</v>
      </c>
      <c r="H2040" s="23" t="s">
        <v>1738</v>
      </c>
      <c r="I2040" s="21"/>
      <c r="J2040" s="25"/>
      <c r="K2040" s="26" t="s">
        <v>44</v>
      </c>
      <c r="L2040" s="16"/>
      <c r="M2040" s="21"/>
    </row>
    <row r="2041">
      <c r="A2041" s="28">
        <v>46232.0</v>
      </c>
      <c r="B2041" s="16" t="s">
        <v>8511</v>
      </c>
      <c r="C2041" s="20" t="s">
        <v>8512</v>
      </c>
      <c r="D2041" s="21"/>
      <c r="E2041" s="22" t="s">
        <v>8513</v>
      </c>
      <c r="H2041" s="23" t="s">
        <v>5132</v>
      </c>
      <c r="I2041" s="21"/>
      <c r="J2041" s="25"/>
      <c r="K2041" s="26" t="s">
        <v>44</v>
      </c>
      <c r="L2041" s="16"/>
      <c r="M2041" s="21"/>
    </row>
    <row r="2042">
      <c r="A2042" s="28">
        <v>46232.0</v>
      </c>
      <c r="B2042" s="16" t="s">
        <v>8514</v>
      </c>
      <c r="C2042" s="20" t="s">
        <v>8515</v>
      </c>
      <c r="D2042" s="21"/>
      <c r="E2042" s="22" t="s">
        <v>8516</v>
      </c>
      <c r="H2042" s="23" t="s">
        <v>4167</v>
      </c>
      <c r="I2042" s="21"/>
      <c r="J2042" s="25"/>
      <c r="K2042" s="26" t="s">
        <v>44</v>
      </c>
      <c r="L2042" s="16"/>
      <c r="M2042" s="21"/>
    </row>
    <row r="2043">
      <c r="A2043" s="28">
        <v>46232.0</v>
      </c>
      <c r="B2043" s="16" t="s">
        <v>8517</v>
      </c>
      <c r="C2043" s="20" t="s">
        <v>8518</v>
      </c>
      <c r="D2043" s="21"/>
      <c r="E2043" s="22" t="s">
        <v>8519</v>
      </c>
      <c r="H2043" s="23" t="s">
        <v>8520</v>
      </c>
      <c r="I2043" s="21"/>
      <c r="J2043" s="25"/>
      <c r="K2043" s="26" t="s">
        <v>44</v>
      </c>
      <c r="L2043" s="16"/>
      <c r="M2043" s="21"/>
    </row>
    <row r="2044">
      <c r="A2044" s="28">
        <v>46232.0</v>
      </c>
      <c r="B2044" s="16" t="s">
        <v>8521</v>
      </c>
      <c r="C2044" s="20" t="s">
        <v>8522</v>
      </c>
      <c r="D2044" s="21"/>
      <c r="E2044" s="22" t="s">
        <v>8523</v>
      </c>
      <c r="H2044" s="23" t="s">
        <v>8524</v>
      </c>
      <c r="I2044" s="21"/>
      <c r="J2044" s="25"/>
      <c r="K2044" s="26" t="s">
        <v>44</v>
      </c>
      <c r="L2044" s="16"/>
      <c r="M2044" s="21"/>
    </row>
    <row r="2045">
      <c r="A2045" s="28">
        <v>46232.0</v>
      </c>
      <c r="B2045" s="16" t="s">
        <v>8525</v>
      </c>
      <c r="C2045" s="20" t="s">
        <v>8526</v>
      </c>
      <c r="D2045" s="21"/>
      <c r="E2045" s="22" t="s">
        <v>8527</v>
      </c>
      <c r="H2045" s="23" t="s">
        <v>1941</v>
      </c>
      <c r="I2045" s="21"/>
      <c r="J2045" s="25"/>
      <c r="K2045" s="26" t="s">
        <v>44</v>
      </c>
      <c r="L2045" s="16"/>
      <c r="M2045" s="21"/>
    </row>
    <row r="2046">
      <c r="A2046" s="28">
        <v>46232.0</v>
      </c>
      <c r="B2046" s="16" t="s">
        <v>8528</v>
      </c>
      <c r="C2046" s="20" t="s">
        <v>8529</v>
      </c>
      <c r="D2046" s="21"/>
      <c r="E2046" s="22" t="s">
        <v>8530</v>
      </c>
      <c r="H2046" s="23" t="s">
        <v>8531</v>
      </c>
      <c r="I2046" s="21"/>
      <c r="J2046" s="25"/>
      <c r="K2046" s="26" t="s">
        <v>44</v>
      </c>
      <c r="L2046" s="16"/>
      <c r="M2046" s="21"/>
    </row>
    <row r="2047">
      <c r="A2047" s="28">
        <v>46232.0</v>
      </c>
      <c r="B2047" s="16" t="s">
        <v>8532</v>
      </c>
      <c r="C2047" s="20" t="s">
        <v>8533</v>
      </c>
      <c r="D2047" s="21"/>
      <c r="E2047" s="22" t="s">
        <v>8534</v>
      </c>
      <c r="H2047" s="23" t="s">
        <v>960</v>
      </c>
      <c r="I2047" s="21"/>
      <c r="J2047" s="25"/>
      <c r="K2047" s="26" t="s">
        <v>44</v>
      </c>
      <c r="L2047" s="16"/>
      <c r="M2047" s="21"/>
    </row>
    <row r="2048">
      <c r="A2048" s="28">
        <v>46232.0</v>
      </c>
      <c r="B2048" s="16" t="s">
        <v>8535</v>
      </c>
      <c r="C2048" s="20" t="s">
        <v>8536</v>
      </c>
      <c r="D2048" s="21"/>
      <c r="E2048" s="22" t="s">
        <v>8537</v>
      </c>
      <c r="H2048" s="23" t="s">
        <v>8538</v>
      </c>
      <c r="I2048" s="21"/>
      <c r="J2048" s="25"/>
      <c r="K2048" s="26" t="s">
        <v>44</v>
      </c>
      <c r="L2048" s="16"/>
      <c r="M2048" s="21"/>
    </row>
    <row r="2049">
      <c r="A2049" s="28">
        <v>46232.0</v>
      </c>
      <c r="B2049" s="16" t="s">
        <v>8539</v>
      </c>
      <c r="C2049" s="20" t="s">
        <v>8540</v>
      </c>
      <c r="D2049" s="21"/>
      <c r="E2049" s="22" t="s">
        <v>8541</v>
      </c>
      <c r="H2049" s="23" t="s">
        <v>57</v>
      </c>
      <c r="I2049" s="21"/>
      <c r="J2049" s="25"/>
      <c r="K2049" s="26" t="s">
        <v>44</v>
      </c>
      <c r="L2049" s="16"/>
      <c r="M2049" s="21"/>
    </row>
    <row r="2050">
      <c r="A2050" s="28">
        <v>46232.0</v>
      </c>
      <c r="B2050" s="16" t="s">
        <v>8542</v>
      </c>
      <c r="C2050" s="20" t="s">
        <v>8543</v>
      </c>
      <c r="D2050" s="21"/>
      <c r="E2050" s="22" t="s">
        <v>8544</v>
      </c>
      <c r="H2050" s="23" t="s">
        <v>8545</v>
      </c>
      <c r="I2050" s="21"/>
      <c r="J2050" s="25"/>
      <c r="K2050" s="26" t="s">
        <v>44</v>
      </c>
      <c r="L2050" s="16"/>
      <c r="M2050" s="21"/>
    </row>
    <row r="2051">
      <c r="A2051" s="28">
        <v>46232.0</v>
      </c>
      <c r="B2051" s="16" t="s">
        <v>8546</v>
      </c>
      <c r="C2051" s="20" t="s">
        <v>8547</v>
      </c>
      <c r="D2051" s="21"/>
      <c r="E2051" s="22" t="s">
        <v>8548</v>
      </c>
      <c r="H2051" s="23" t="s">
        <v>2842</v>
      </c>
      <c r="I2051" s="21"/>
      <c r="J2051" s="25"/>
      <c r="K2051" s="26" t="s">
        <v>44</v>
      </c>
      <c r="L2051" s="16"/>
      <c r="M2051" s="21"/>
    </row>
    <row r="2052">
      <c r="A2052" s="28">
        <v>46232.0</v>
      </c>
      <c r="B2052" s="16" t="s">
        <v>8549</v>
      </c>
      <c r="C2052" s="20" t="s">
        <v>8550</v>
      </c>
      <c r="D2052" s="21"/>
      <c r="E2052" s="22" t="s">
        <v>8551</v>
      </c>
      <c r="H2052" s="23" t="s">
        <v>1619</v>
      </c>
      <c r="I2052" s="21"/>
      <c r="J2052" s="25"/>
      <c r="K2052" s="26" t="s">
        <v>44</v>
      </c>
      <c r="L2052" s="16"/>
      <c r="M2052" s="21"/>
    </row>
    <row r="2053">
      <c r="A2053" s="28">
        <v>46232.0</v>
      </c>
      <c r="B2053" s="16" t="s">
        <v>8552</v>
      </c>
      <c r="C2053" s="20" t="s">
        <v>8553</v>
      </c>
      <c r="D2053" s="21"/>
      <c r="E2053" s="22" t="s">
        <v>8554</v>
      </c>
      <c r="H2053" s="23" t="s">
        <v>1060</v>
      </c>
      <c r="I2053" s="21"/>
      <c r="J2053" s="25"/>
      <c r="K2053" s="26" t="s">
        <v>44</v>
      </c>
      <c r="L2053" s="16"/>
      <c r="M2053" s="21"/>
    </row>
    <row r="2054">
      <c r="A2054" s="28">
        <v>46232.0</v>
      </c>
      <c r="B2054" s="16" t="s">
        <v>8555</v>
      </c>
      <c r="C2054" s="20" t="s">
        <v>8556</v>
      </c>
      <c r="D2054" s="21"/>
      <c r="E2054" s="22" t="s">
        <v>8557</v>
      </c>
      <c r="H2054" s="23" t="s">
        <v>8301</v>
      </c>
      <c r="I2054" s="21"/>
      <c r="J2054" s="25"/>
      <c r="K2054" s="26" t="s">
        <v>44</v>
      </c>
      <c r="L2054" s="16"/>
      <c r="M2054" s="21"/>
    </row>
    <row r="2055">
      <c r="A2055" s="28">
        <v>46232.0</v>
      </c>
      <c r="B2055" s="16" t="s">
        <v>8558</v>
      </c>
      <c r="C2055" s="20" t="s">
        <v>8559</v>
      </c>
      <c r="D2055" s="21"/>
      <c r="E2055" s="22" t="s">
        <v>8560</v>
      </c>
      <c r="H2055" s="23" t="s">
        <v>1016</v>
      </c>
      <c r="I2055" s="21"/>
      <c r="J2055" s="25"/>
      <c r="K2055" s="26" t="s">
        <v>44</v>
      </c>
      <c r="L2055" s="16"/>
      <c r="M2055" s="21"/>
    </row>
    <row r="2056">
      <c r="A2056" s="28">
        <v>46232.0</v>
      </c>
      <c r="B2056" s="16" t="s">
        <v>8561</v>
      </c>
      <c r="C2056" s="20" t="s">
        <v>8562</v>
      </c>
      <c r="D2056" s="21"/>
      <c r="E2056" s="22" t="s">
        <v>8563</v>
      </c>
      <c r="H2056" s="23" t="s">
        <v>5341</v>
      </c>
      <c r="I2056" s="21"/>
      <c r="J2056" s="25"/>
      <c r="K2056" s="26" t="s">
        <v>44</v>
      </c>
      <c r="L2056" s="16"/>
      <c r="M2056" s="21"/>
    </row>
    <row r="2057">
      <c r="A2057" s="28">
        <v>46232.0</v>
      </c>
      <c r="B2057" s="16" t="s">
        <v>8564</v>
      </c>
      <c r="C2057" s="20" t="s">
        <v>8565</v>
      </c>
      <c r="D2057" s="21"/>
      <c r="E2057" s="22" t="s">
        <v>8566</v>
      </c>
      <c r="H2057" s="23" t="s">
        <v>713</v>
      </c>
      <c r="I2057" s="21"/>
      <c r="J2057" s="25"/>
      <c r="K2057" s="26" t="s">
        <v>44</v>
      </c>
      <c r="L2057" s="16"/>
      <c r="M2057" s="21"/>
    </row>
    <row r="2058">
      <c r="A2058" s="28">
        <v>46232.0</v>
      </c>
      <c r="B2058" s="16" t="s">
        <v>8567</v>
      </c>
      <c r="C2058" s="20" t="s">
        <v>8568</v>
      </c>
      <c r="D2058" s="21"/>
      <c r="E2058" s="22" t="s">
        <v>8569</v>
      </c>
      <c r="H2058" s="23" t="s">
        <v>57</v>
      </c>
      <c r="I2058" s="21"/>
      <c r="J2058" s="25"/>
      <c r="K2058" s="26" t="s">
        <v>44</v>
      </c>
      <c r="L2058" s="16"/>
      <c r="M2058" s="21"/>
    </row>
    <row r="2059">
      <c r="A2059" s="28">
        <v>46232.0</v>
      </c>
      <c r="B2059" s="16" t="s">
        <v>8570</v>
      </c>
      <c r="C2059" s="20" t="s">
        <v>8571</v>
      </c>
      <c r="D2059" s="21"/>
      <c r="E2059" s="22" t="s">
        <v>8572</v>
      </c>
      <c r="H2059" s="23" t="s">
        <v>800</v>
      </c>
      <c r="I2059" s="21"/>
      <c r="J2059" s="25"/>
      <c r="K2059" s="26" t="s">
        <v>44</v>
      </c>
      <c r="L2059" s="16"/>
      <c r="M2059" s="21"/>
    </row>
    <row r="2060">
      <c r="A2060" s="28">
        <v>46232.0</v>
      </c>
      <c r="B2060" s="16" t="s">
        <v>8573</v>
      </c>
      <c r="C2060" s="20" t="s">
        <v>8574</v>
      </c>
      <c r="D2060" s="21"/>
      <c r="E2060" s="22" t="s">
        <v>8575</v>
      </c>
      <c r="H2060" s="23" t="s">
        <v>8576</v>
      </c>
      <c r="I2060" s="21"/>
      <c r="J2060" s="25"/>
      <c r="K2060" s="26" t="s">
        <v>44</v>
      </c>
      <c r="L2060" s="16"/>
      <c r="M2060" s="21"/>
    </row>
    <row r="2061">
      <c r="A2061" s="28">
        <v>46232.0</v>
      </c>
      <c r="B2061" s="16" t="s">
        <v>8577</v>
      </c>
      <c r="C2061" s="20" t="s">
        <v>8578</v>
      </c>
      <c r="D2061" s="21"/>
      <c r="E2061" s="22" t="s">
        <v>8579</v>
      </c>
      <c r="H2061" s="23" t="s">
        <v>800</v>
      </c>
      <c r="I2061" s="21"/>
      <c r="J2061" s="25"/>
      <c r="K2061" s="26" t="s">
        <v>44</v>
      </c>
      <c r="L2061" s="16"/>
      <c r="M2061" s="21"/>
    </row>
    <row r="2062">
      <c r="A2062" s="28">
        <v>46232.0</v>
      </c>
      <c r="B2062" s="16" t="s">
        <v>8580</v>
      </c>
      <c r="C2062" s="20" t="s">
        <v>8581</v>
      </c>
      <c r="D2062" s="21"/>
      <c r="E2062" s="22" t="s">
        <v>8582</v>
      </c>
      <c r="H2062" s="23" t="s">
        <v>1819</v>
      </c>
      <c r="I2062" s="21"/>
      <c r="J2062" s="25"/>
      <c r="K2062" s="26" t="s">
        <v>44</v>
      </c>
      <c r="L2062" s="16"/>
      <c r="M2062" s="21"/>
    </row>
    <row r="2063">
      <c r="A2063" s="28">
        <v>46232.0</v>
      </c>
      <c r="B2063" s="16" t="s">
        <v>8583</v>
      </c>
      <c r="C2063" s="20" t="s">
        <v>8584</v>
      </c>
      <c r="D2063" s="21"/>
      <c r="E2063" s="22" t="s">
        <v>8585</v>
      </c>
      <c r="H2063" s="23" t="s">
        <v>2650</v>
      </c>
      <c r="I2063" s="21"/>
      <c r="J2063" s="25"/>
      <c r="K2063" s="26" t="s">
        <v>44</v>
      </c>
      <c r="L2063" s="16"/>
      <c r="M2063" s="21"/>
    </row>
    <row r="2064">
      <c r="A2064" s="28">
        <v>46232.0</v>
      </c>
      <c r="B2064" s="16" t="s">
        <v>8586</v>
      </c>
      <c r="C2064" s="20" t="s">
        <v>8587</v>
      </c>
      <c r="D2064" s="21"/>
      <c r="E2064" s="22" t="s">
        <v>8588</v>
      </c>
      <c r="H2064" s="23" t="s">
        <v>8589</v>
      </c>
      <c r="I2064" s="21"/>
      <c r="J2064" s="25"/>
      <c r="K2064" s="26" t="s">
        <v>44</v>
      </c>
      <c r="L2064" s="16"/>
      <c r="M2064" s="21"/>
    </row>
    <row r="2065">
      <c r="A2065" s="28">
        <v>46232.0</v>
      </c>
      <c r="B2065" s="16" t="s">
        <v>8590</v>
      </c>
      <c r="C2065" s="20" t="s">
        <v>8591</v>
      </c>
      <c r="D2065" s="21"/>
      <c r="E2065" s="22" t="s">
        <v>8592</v>
      </c>
      <c r="H2065" s="23" t="s">
        <v>404</v>
      </c>
      <c r="I2065" s="21"/>
      <c r="J2065" s="25"/>
      <c r="K2065" s="26" t="s">
        <v>44</v>
      </c>
      <c r="L2065" s="16"/>
      <c r="M2065" s="21"/>
    </row>
    <row r="2066">
      <c r="A2066" s="28">
        <v>46232.0</v>
      </c>
      <c r="B2066" s="16" t="s">
        <v>8593</v>
      </c>
      <c r="C2066" s="20" t="s">
        <v>8594</v>
      </c>
      <c r="D2066" s="21"/>
      <c r="E2066" s="22" t="s">
        <v>8595</v>
      </c>
      <c r="H2066" s="23" t="s">
        <v>2268</v>
      </c>
      <c r="I2066" s="21"/>
      <c r="J2066" s="25"/>
      <c r="K2066" s="26" t="s">
        <v>44</v>
      </c>
      <c r="L2066" s="16"/>
      <c r="M2066" s="21"/>
    </row>
    <row r="2067">
      <c r="A2067" s="28">
        <v>46232.0</v>
      </c>
      <c r="B2067" s="16" t="s">
        <v>8596</v>
      </c>
      <c r="C2067" s="20" t="s">
        <v>8597</v>
      </c>
      <c r="D2067" s="21"/>
      <c r="E2067" s="22" t="s">
        <v>8598</v>
      </c>
      <c r="H2067" s="23" t="s">
        <v>8599</v>
      </c>
      <c r="I2067" s="21"/>
      <c r="J2067" s="25"/>
      <c r="K2067" s="26" t="s">
        <v>44</v>
      </c>
      <c r="L2067" s="16"/>
      <c r="M2067" s="21"/>
    </row>
    <row r="2068">
      <c r="A2068" s="28">
        <v>46232.0</v>
      </c>
      <c r="B2068" s="16" t="s">
        <v>8600</v>
      </c>
      <c r="C2068" s="20" t="s">
        <v>8601</v>
      </c>
      <c r="D2068" s="21"/>
      <c r="E2068" s="22" t="s">
        <v>8602</v>
      </c>
      <c r="H2068" s="23" t="s">
        <v>4167</v>
      </c>
      <c r="I2068" s="21"/>
      <c r="J2068" s="25"/>
      <c r="K2068" s="26" t="s">
        <v>44</v>
      </c>
      <c r="L2068" s="16"/>
      <c r="M2068" s="21"/>
    </row>
    <row r="2069">
      <c r="A2069" s="28">
        <v>46232.0</v>
      </c>
      <c r="B2069" s="16" t="s">
        <v>8603</v>
      </c>
      <c r="C2069" s="20" t="s">
        <v>8604</v>
      </c>
      <c r="D2069" s="21"/>
      <c r="E2069" s="22" t="s">
        <v>8605</v>
      </c>
      <c r="H2069" s="23" t="s">
        <v>8606</v>
      </c>
      <c r="I2069" s="21"/>
      <c r="J2069" s="25"/>
      <c r="K2069" s="26" t="s">
        <v>44</v>
      </c>
      <c r="L2069" s="16"/>
      <c r="M2069" s="21"/>
    </row>
    <row r="2070">
      <c r="A2070" s="28">
        <v>46232.0</v>
      </c>
      <c r="B2070" s="16" t="s">
        <v>8607</v>
      </c>
      <c r="C2070" s="20" t="s">
        <v>8608</v>
      </c>
      <c r="D2070" s="21"/>
      <c r="E2070" s="22" t="s">
        <v>8609</v>
      </c>
      <c r="H2070" s="23" t="s">
        <v>8538</v>
      </c>
      <c r="I2070" s="21"/>
      <c r="J2070" s="25"/>
      <c r="K2070" s="26" t="s">
        <v>44</v>
      </c>
      <c r="L2070" s="16"/>
      <c r="M2070" s="21"/>
    </row>
    <row r="2071">
      <c r="A2071" s="28">
        <v>46232.0</v>
      </c>
      <c r="B2071" s="16" t="s">
        <v>8610</v>
      </c>
      <c r="C2071" s="20" t="s">
        <v>8611</v>
      </c>
      <c r="D2071" s="21"/>
      <c r="E2071" s="22" t="s">
        <v>8612</v>
      </c>
      <c r="H2071" s="23" t="s">
        <v>751</v>
      </c>
      <c r="I2071" s="21"/>
      <c r="J2071" s="25"/>
      <c r="K2071" s="26" t="s">
        <v>44</v>
      </c>
      <c r="L2071" s="16"/>
      <c r="M2071" s="21"/>
    </row>
    <row r="2072">
      <c r="A2072" s="28">
        <v>46232.0</v>
      </c>
      <c r="B2072" s="16" t="s">
        <v>8613</v>
      </c>
      <c r="C2072" s="20" t="s">
        <v>8614</v>
      </c>
      <c r="D2072" s="21"/>
      <c r="E2072" s="22" t="s">
        <v>8615</v>
      </c>
      <c r="H2072" s="23" t="s">
        <v>8616</v>
      </c>
      <c r="I2072" s="21"/>
      <c r="J2072" s="25"/>
      <c r="K2072" s="26" t="s">
        <v>44</v>
      </c>
      <c r="L2072" s="16"/>
      <c r="M2072" s="21"/>
    </row>
    <row r="2073">
      <c r="A2073" s="28">
        <v>46232.0</v>
      </c>
      <c r="B2073" s="16" t="s">
        <v>8617</v>
      </c>
      <c r="C2073" s="20" t="s">
        <v>8618</v>
      </c>
      <c r="D2073" s="21"/>
      <c r="E2073" s="22" t="s">
        <v>8619</v>
      </c>
      <c r="H2073" s="23" t="s">
        <v>57</v>
      </c>
      <c r="I2073" s="21"/>
      <c r="J2073" s="25"/>
      <c r="K2073" s="26" t="s">
        <v>44</v>
      </c>
      <c r="L2073" s="16"/>
      <c r="M2073" s="21"/>
    </row>
    <row r="2074">
      <c r="A2074" s="28">
        <v>46232.0</v>
      </c>
      <c r="B2074" s="16" t="s">
        <v>8620</v>
      </c>
      <c r="C2074" s="20" t="s">
        <v>8621</v>
      </c>
      <c r="D2074" s="21"/>
      <c r="E2074" s="22" t="s">
        <v>8622</v>
      </c>
      <c r="H2074" s="23" t="s">
        <v>1963</v>
      </c>
      <c r="I2074" s="21"/>
      <c r="J2074" s="25"/>
      <c r="K2074" s="26" t="s">
        <v>44</v>
      </c>
      <c r="L2074" s="16"/>
      <c r="M2074" s="21"/>
    </row>
    <row r="2075">
      <c r="A2075" s="28">
        <v>46232.0</v>
      </c>
      <c r="B2075" s="16" t="s">
        <v>8623</v>
      </c>
      <c r="C2075" s="20" t="s">
        <v>8624</v>
      </c>
      <c r="D2075" s="21"/>
      <c r="E2075" s="22" t="s">
        <v>8625</v>
      </c>
      <c r="H2075" s="23" t="s">
        <v>8626</v>
      </c>
      <c r="I2075" s="21"/>
      <c r="J2075" s="25"/>
      <c r="K2075" s="26" t="s">
        <v>44</v>
      </c>
      <c r="L2075" s="16"/>
      <c r="M2075" s="21"/>
    </row>
    <row r="2076">
      <c r="A2076" s="28">
        <v>46232.0</v>
      </c>
      <c r="B2076" s="16" t="s">
        <v>8627</v>
      </c>
      <c r="C2076" s="20" t="s">
        <v>8628</v>
      </c>
      <c r="D2076" s="21"/>
      <c r="E2076" s="22" t="s">
        <v>8629</v>
      </c>
      <c r="H2076" s="23" t="s">
        <v>8630</v>
      </c>
      <c r="I2076" s="21"/>
      <c r="J2076" s="25"/>
      <c r="K2076" s="26" t="s">
        <v>44</v>
      </c>
      <c r="L2076" s="16"/>
      <c r="M2076" s="21"/>
    </row>
    <row r="2077">
      <c r="A2077" s="28">
        <v>46232.0</v>
      </c>
      <c r="B2077" s="16" t="s">
        <v>8631</v>
      </c>
      <c r="C2077" s="20" t="s">
        <v>8632</v>
      </c>
      <c r="D2077" s="21"/>
      <c r="E2077" s="22" t="s">
        <v>8633</v>
      </c>
      <c r="H2077" s="23" t="s">
        <v>4798</v>
      </c>
      <c r="I2077" s="21"/>
      <c r="J2077" s="25"/>
      <c r="K2077" s="26" t="s">
        <v>44</v>
      </c>
      <c r="L2077" s="16"/>
      <c r="M2077" s="21"/>
    </row>
    <row r="2078">
      <c r="A2078" s="28">
        <v>46232.0</v>
      </c>
      <c r="B2078" s="16" t="s">
        <v>8634</v>
      </c>
      <c r="C2078" s="20" t="s">
        <v>8635</v>
      </c>
      <c r="D2078" s="21"/>
      <c r="E2078" s="22" t="s">
        <v>8636</v>
      </c>
      <c r="H2078" s="23" t="s">
        <v>1016</v>
      </c>
      <c r="I2078" s="21"/>
      <c r="J2078" s="25"/>
      <c r="K2078" s="26" t="s">
        <v>44</v>
      </c>
      <c r="L2078" s="16"/>
      <c r="M2078" s="21"/>
    </row>
    <row r="2079">
      <c r="A2079" s="28">
        <v>46232.0</v>
      </c>
      <c r="B2079" s="16" t="s">
        <v>8637</v>
      </c>
      <c r="C2079" s="20" t="s">
        <v>8638</v>
      </c>
      <c r="D2079" s="21"/>
      <c r="E2079" s="22" t="s">
        <v>8639</v>
      </c>
      <c r="H2079" s="23" t="s">
        <v>8640</v>
      </c>
      <c r="I2079" s="21"/>
      <c r="J2079" s="25"/>
      <c r="K2079" s="26" t="s">
        <v>44</v>
      </c>
      <c r="L2079" s="16"/>
      <c r="M2079" s="21"/>
    </row>
    <row r="2080">
      <c r="A2080" s="28">
        <v>46232.0</v>
      </c>
      <c r="B2080" s="16" t="s">
        <v>8641</v>
      </c>
      <c r="C2080" s="20" t="s">
        <v>8642</v>
      </c>
      <c r="D2080" s="21"/>
      <c r="E2080" s="22" t="s">
        <v>8643</v>
      </c>
      <c r="H2080" s="23" t="s">
        <v>1992</v>
      </c>
      <c r="I2080" s="21"/>
      <c r="J2080" s="25"/>
      <c r="K2080" s="26" t="s">
        <v>44</v>
      </c>
      <c r="L2080" s="16"/>
      <c r="M2080" s="21"/>
    </row>
    <row r="2081">
      <c r="A2081" s="28">
        <v>46232.0</v>
      </c>
      <c r="B2081" s="16" t="s">
        <v>8644</v>
      </c>
      <c r="C2081" s="20" t="s">
        <v>8645</v>
      </c>
      <c r="D2081" s="21"/>
      <c r="E2081" s="22" t="s">
        <v>8646</v>
      </c>
      <c r="H2081" s="23" t="s">
        <v>111</v>
      </c>
      <c r="I2081" s="21"/>
      <c r="J2081" s="25"/>
      <c r="K2081" s="26" t="s">
        <v>44</v>
      </c>
      <c r="L2081" s="16"/>
      <c r="M2081" s="21"/>
    </row>
    <row r="2082">
      <c r="A2082" s="28">
        <v>46232.0</v>
      </c>
      <c r="B2082" s="16" t="s">
        <v>8647</v>
      </c>
      <c r="C2082" s="46" t="s">
        <v>8648</v>
      </c>
      <c r="D2082" s="21"/>
      <c r="E2082" s="22" t="s">
        <v>8649</v>
      </c>
      <c r="H2082" s="23" t="s">
        <v>2007</v>
      </c>
      <c r="I2082" s="21"/>
      <c r="J2082" s="25"/>
      <c r="K2082" s="26" t="s">
        <v>44</v>
      </c>
      <c r="L2082" s="16"/>
      <c r="M2082" s="21"/>
    </row>
    <row r="2083">
      <c r="A2083" s="28">
        <v>46232.0</v>
      </c>
      <c r="B2083" s="16" t="s">
        <v>8650</v>
      </c>
      <c r="C2083" s="20" t="s">
        <v>8651</v>
      </c>
      <c r="D2083" s="21"/>
      <c r="E2083" s="22" t="s">
        <v>8652</v>
      </c>
      <c r="H2083" s="23" t="s">
        <v>8653</v>
      </c>
      <c r="I2083" s="21"/>
      <c r="J2083" s="25"/>
      <c r="K2083" s="26" t="s">
        <v>44</v>
      </c>
      <c r="L2083" s="16"/>
      <c r="M2083" s="21"/>
    </row>
    <row r="2084">
      <c r="A2084" s="28">
        <v>46232.0</v>
      </c>
      <c r="B2084" s="16" t="s">
        <v>8654</v>
      </c>
      <c r="C2084" s="20" t="s">
        <v>8655</v>
      </c>
      <c r="D2084" s="21"/>
      <c r="E2084" s="22" t="s">
        <v>8656</v>
      </c>
      <c r="H2084" s="23" t="s">
        <v>8657</v>
      </c>
      <c r="I2084" s="21"/>
      <c r="J2084" s="25"/>
      <c r="K2084" s="26" t="s">
        <v>44</v>
      </c>
      <c r="L2084" s="16"/>
      <c r="M2084" s="21"/>
    </row>
    <row r="2085">
      <c r="A2085" s="28">
        <v>46232.0</v>
      </c>
      <c r="B2085" s="16" t="s">
        <v>8658</v>
      </c>
      <c r="C2085" s="20" t="s">
        <v>8659</v>
      </c>
      <c r="D2085" s="21"/>
      <c r="E2085" s="22" t="s">
        <v>8660</v>
      </c>
      <c r="H2085" s="23" t="s">
        <v>1016</v>
      </c>
      <c r="I2085" s="21"/>
      <c r="J2085" s="25"/>
      <c r="K2085" s="26" t="s">
        <v>44</v>
      </c>
      <c r="L2085" s="16"/>
      <c r="M2085" s="21"/>
    </row>
    <row r="2086">
      <c r="A2086" s="28">
        <v>46232.0</v>
      </c>
      <c r="B2086" s="16" t="s">
        <v>8661</v>
      </c>
      <c r="C2086" s="20" t="s">
        <v>8662</v>
      </c>
      <c r="D2086" s="21"/>
      <c r="E2086" s="22" t="s">
        <v>8663</v>
      </c>
      <c r="H2086" s="23" t="s">
        <v>1727</v>
      </c>
      <c r="I2086" s="21"/>
      <c r="J2086" s="25"/>
      <c r="K2086" s="26" t="s">
        <v>44</v>
      </c>
      <c r="L2086" s="16"/>
      <c r="M2086" s="21"/>
    </row>
    <row r="2087">
      <c r="A2087" s="28">
        <v>46232.0</v>
      </c>
      <c r="B2087" s="16" t="s">
        <v>8664</v>
      </c>
      <c r="C2087" s="20" t="s">
        <v>8665</v>
      </c>
      <c r="D2087" s="21"/>
      <c r="E2087" s="22" t="s">
        <v>8666</v>
      </c>
      <c r="H2087" s="23" t="s">
        <v>8667</v>
      </c>
      <c r="I2087" s="21"/>
      <c r="J2087" s="25"/>
      <c r="K2087" s="26" t="s">
        <v>44</v>
      </c>
      <c r="L2087" s="16"/>
      <c r="M2087" s="21"/>
    </row>
    <row r="2088">
      <c r="A2088" s="28">
        <v>46232.0</v>
      </c>
      <c r="B2088" s="16" t="s">
        <v>8668</v>
      </c>
      <c r="C2088" s="20" t="s">
        <v>8669</v>
      </c>
      <c r="D2088" s="21"/>
      <c r="E2088" s="22" t="s">
        <v>8670</v>
      </c>
      <c r="H2088" s="23" t="s">
        <v>2349</v>
      </c>
      <c r="I2088" s="21"/>
      <c r="J2088" s="25"/>
      <c r="K2088" s="26" t="s">
        <v>44</v>
      </c>
      <c r="L2088" s="16"/>
      <c r="M2088" s="21"/>
    </row>
    <row r="2089">
      <c r="A2089" s="28">
        <v>46232.0</v>
      </c>
      <c r="B2089" s="16" t="s">
        <v>8671</v>
      </c>
      <c r="C2089" s="20" t="s">
        <v>8672</v>
      </c>
      <c r="D2089" s="21"/>
      <c r="E2089" s="22" t="s">
        <v>8673</v>
      </c>
      <c r="H2089" s="23" t="s">
        <v>8674</v>
      </c>
      <c r="I2089" s="21"/>
      <c r="J2089" s="25"/>
      <c r="K2089" s="26" t="s">
        <v>44</v>
      </c>
      <c r="L2089" s="16"/>
      <c r="M2089" s="21"/>
    </row>
    <row r="2090">
      <c r="A2090" s="28">
        <v>46232.0</v>
      </c>
      <c r="B2090" s="16" t="s">
        <v>8675</v>
      </c>
      <c r="C2090" s="20" t="s">
        <v>8676</v>
      </c>
      <c r="D2090" s="21"/>
      <c r="E2090" s="22" t="s">
        <v>8677</v>
      </c>
      <c r="H2090" s="23" t="s">
        <v>1898</v>
      </c>
      <c r="I2090" s="21"/>
      <c r="J2090" s="25"/>
      <c r="K2090" s="26" t="s">
        <v>44</v>
      </c>
      <c r="L2090" s="16"/>
      <c r="M2090" s="21"/>
    </row>
    <row r="2091">
      <c r="A2091" s="28">
        <v>46232.0</v>
      </c>
      <c r="B2091" s="16" t="s">
        <v>8678</v>
      </c>
      <c r="C2091" s="20" t="s">
        <v>8679</v>
      </c>
      <c r="D2091" s="21"/>
      <c r="E2091" s="22" t="s">
        <v>8680</v>
      </c>
      <c r="H2091" s="23" t="s">
        <v>57</v>
      </c>
      <c r="I2091" s="21"/>
      <c r="J2091" s="25"/>
      <c r="K2091" s="26" t="s">
        <v>44</v>
      </c>
      <c r="L2091" s="16"/>
      <c r="M2091" s="21"/>
    </row>
    <row r="2092">
      <c r="A2092" s="28">
        <v>46232.0</v>
      </c>
      <c r="B2092" s="16" t="s">
        <v>8681</v>
      </c>
      <c r="C2092" s="20" t="s">
        <v>8682</v>
      </c>
      <c r="D2092" s="21"/>
      <c r="E2092" s="22" t="s">
        <v>8683</v>
      </c>
      <c r="H2092" s="23" t="s">
        <v>69</v>
      </c>
      <c r="I2092" s="21"/>
      <c r="J2092" s="25"/>
      <c r="K2092" s="26" t="s">
        <v>44</v>
      </c>
      <c r="L2092" s="16"/>
      <c r="M2092" s="21"/>
    </row>
    <row r="2093">
      <c r="A2093" s="28">
        <v>46232.0</v>
      </c>
      <c r="B2093" s="16" t="s">
        <v>8684</v>
      </c>
      <c r="C2093" s="20" t="s">
        <v>8685</v>
      </c>
      <c r="D2093" s="21"/>
      <c r="E2093" s="22" t="s">
        <v>8686</v>
      </c>
      <c r="H2093" s="23" t="s">
        <v>856</v>
      </c>
      <c r="I2093" s="21"/>
      <c r="J2093" s="25"/>
      <c r="K2093" s="26" t="s">
        <v>44</v>
      </c>
      <c r="L2093" s="16"/>
      <c r="M2093" s="21"/>
    </row>
    <row r="2094">
      <c r="A2094" s="28">
        <v>46232.0</v>
      </c>
      <c r="B2094" s="16" t="s">
        <v>8687</v>
      </c>
      <c r="C2094" s="20" t="s">
        <v>8688</v>
      </c>
      <c r="D2094" s="21"/>
      <c r="E2094" s="22" t="s">
        <v>8689</v>
      </c>
      <c r="H2094" s="23" t="s">
        <v>583</v>
      </c>
      <c r="I2094" s="21"/>
      <c r="J2094" s="25"/>
      <c r="K2094" s="26" t="s">
        <v>44</v>
      </c>
      <c r="L2094" s="16"/>
      <c r="M2094" s="21"/>
    </row>
    <row r="2095">
      <c r="A2095" s="28">
        <v>46232.0</v>
      </c>
      <c r="B2095" s="16" t="s">
        <v>8690</v>
      </c>
      <c r="C2095" s="20" t="s">
        <v>8691</v>
      </c>
      <c r="D2095" s="21"/>
      <c r="E2095" s="22" t="s">
        <v>8692</v>
      </c>
      <c r="H2095" s="23" t="s">
        <v>2078</v>
      </c>
      <c r="I2095" s="21"/>
      <c r="J2095" s="25"/>
      <c r="K2095" s="26" t="s">
        <v>44</v>
      </c>
      <c r="L2095" s="16"/>
      <c r="M2095" s="21"/>
    </row>
    <row r="2096">
      <c r="A2096" s="28">
        <v>46232.0</v>
      </c>
      <c r="B2096" s="16" t="s">
        <v>8693</v>
      </c>
      <c r="C2096" s="20" t="s">
        <v>8694</v>
      </c>
      <c r="D2096" s="21"/>
      <c r="E2096" s="22" t="s">
        <v>8695</v>
      </c>
      <c r="H2096" s="23" t="s">
        <v>48</v>
      </c>
      <c r="I2096" s="21"/>
      <c r="J2096" s="25"/>
      <c r="K2096" s="26" t="s">
        <v>44</v>
      </c>
      <c r="L2096" s="16"/>
      <c r="M2096" s="21"/>
    </row>
    <row r="2097">
      <c r="A2097" s="28">
        <v>46232.0</v>
      </c>
      <c r="B2097" s="16" t="s">
        <v>8696</v>
      </c>
      <c r="C2097" s="20" t="s">
        <v>8697</v>
      </c>
      <c r="D2097" s="21"/>
      <c r="E2097" s="22" t="s">
        <v>8698</v>
      </c>
      <c r="H2097" s="23" t="s">
        <v>1433</v>
      </c>
      <c r="I2097" s="21"/>
      <c r="J2097" s="25"/>
      <c r="K2097" s="26" t="s">
        <v>44</v>
      </c>
      <c r="L2097" s="16"/>
      <c r="M2097" s="21"/>
    </row>
    <row r="2098">
      <c r="A2098" s="28">
        <v>46232.0</v>
      </c>
      <c r="B2098" s="16" t="s">
        <v>8699</v>
      </c>
      <c r="C2098" s="20" t="s">
        <v>8700</v>
      </c>
      <c r="D2098" s="21"/>
      <c r="E2098" s="22" t="s">
        <v>8701</v>
      </c>
      <c r="H2098" s="23" t="s">
        <v>8702</v>
      </c>
      <c r="I2098" s="21"/>
      <c r="J2098" s="25"/>
      <c r="K2098" s="26" t="s">
        <v>44</v>
      </c>
      <c r="L2098" s="16"/>
      <c r="M2098" s="21"/>
    </row>
    <row r="2099">
      <c r="A2099" s="28">
        <v>46232.0</v>
      </c>
      <c r="B2099" s="16" t="s">
        <v>8703</v>
      </c>
      <c r="C2099" s="20" t="s">
        <v>8704</v>
      </c>
      <c r="D2099" s="21"/>
      <c r="E2099" s="22" t="s">
        <v>8705</v>
      </c>
      <c r="H2099" s="23" t="s">
        <v>111</v>
      </c>
      <c r="I2099" s="21"/>
      <c r="J2099" s="25"/>
      <c r="K2099" s="26" t="s">
        <v>44</v>
      </c>
      <c r="L2099" s="16"/>
      <c r="M2099" s="21"/>
    </row>
    <row r="2100">
      <c r="A2100" s="28">
        <v>46232.0</v>
      </c>
      <c r="B2100" s="16" t="s">
        <v>8706</v>
      </c>
      <c r="C2100" s="20" t="s">
        <v>8707</v>
      </c>
      <c r="D2100" s="21"/>
      <c r="E2100" s="22" t="s">
        <v>8708</v>
      </c>
      <c r="H2100" s="23" t="s">
        <v>111</v>
      </c>
      <c r="I2100" s="21"/>
      <c r="J2100" s="25"/>
      <c r="K2100" s="26" t="s">
        <v>44</v>
      </c>
      <c r="L2100" s="16"/>
      <c r="M2100" s="21"/>
    </row>
    <row r="2101">
      <c r="A2101" s="28">
        <v>46232.0</v>
      </c>
      <c r="B2101" s="16" t="s">
        <v>8709</v>
      </c>
      <c r="C2101" s="20" t="s">
        <v>8710</v>
      </c>
      <c r="D2101" s="21"/>
      <c r="E2101" s="22" t="s">
        <v>8711</v>
      </c>
      <c r="H2101" s="23" t="s">
        <v>8712</v>
      </c>
      <c r="I2101" s="21"/>
      <c r="J2101" s="25"/>
      <c r="K2101" s="26" t="s">
        <v>44</v>
      </c>
      <c r="L2101" s="16"/>
      <c r="M2101" s="21"/>
    </row>
    <row r="2102">
      <c r="A2102" s="28">
        <v>46232.0</v>
      </c>
      <c r="B2102" s="16" t="s">
        <v>8713</v>
      </c>
      <c r="C2102" s="20" t="s">
        <v>8714</v>
      </c>
      <c r="D2102" s="21"/>
      <c r="E2102" s="22" t="s">
        <v>8715</v>
      </c>
      <c r="H2102" s="23" t="s">
        <v>487</v>
      </c>
      <c r="I2102" s="21"/>
      <c r="J2102" s="25"/>
      <c r="K2102" s="26" t="s">
        <v>44</v>
      </c>
      <c r="L2102" s="16"/>
      <c r="M2102" s="21"/>
    </row>
    <row r="2103">
      <c r="A2103" s="28">
        <v>46232.0</v>
      </c>
      <c r="B2103" s="16" t="s">
        <v>8716</v>
      </c>
      <c r="C2103" s="20" t="s">
        <v>8717</v>
      </c>
      <c r="D2103" s="21"/>
      <c r="E2103" s="22" t="s">
        <v>8718</v>
      </c>
      <c r="H2103" s="23" t="s">
        <v>5527</v>
      </c>
      <c r="I2103" s="21"/>
      <c r="J2103" s="25"/>
      <c r="K2103" s="26" t="s">
        <v>44</v>
      </c>
      <c r="L2103" s="16"/>
      <c r="M2103" s="21"/>
    </row>
    <row r="2104">
      <c r="A2104" s="28">
        <v>46232.0</v>
      </c>
      <c r="B2104" s="16" t="s">
        <v>8719</v>
      </c>
      <c r="C2104" s="20" t="s">
        <v>8720</v>
      </c>
      <c r="D2104" s="21"/>
      <c r="E2104" s="22" t="s">
        <v>8721</v>
      </c>
      <c r="H2104" s="23" t="s">
        <v>2268</v>
      </c>
      <c r="I2104" s="21"/>
      <c r="J2104" s="25"/>
      <c r="K2104" s="26" t="s">
        <v>44</v>
      </c>
      <c r="L2104" s="16"/>
      <c r="M2104" s="21"/>
    </row>
    <row r="2105">
      <c r="A2105" s="28">
        <v>46232.0</v>
      </c>
      <c r="B2105" s="16" t="s">
        <v>8722</v>
      </c>
      <c r="C2105" s="20" t="s">
        <v>8723</v>
      </c>
      <c r="D2105" s="21"/>
      <c r="E2105" s="22" t="s">
        <v>8724</v>
      </c>
      <c r="H2105" s="23" t="s">
        <v>8616</v>
      </c>
      <c r="I2105" s="21"/>
      <c r="J2105" s="25"/>
      <c r="K2105" s="26" t="s">
        <v>44</v>
      </c>
      <c r="L2105" s="16"/>
      <c r="M2105" s="21"/>
    </row>
    <row r="2106">
      <c r="A2106" s="28">
        <v>46232.0</v>
      </c>
      <c r="B2106" s="16" t="s">
        <v>8725</v>
      </c>
      <c r="C2106" s="20" t="s">
        <v>8726</v>
      </c>
      <c r="D2106" s="21"/>
      <c r="E2106" s="22" t="s">
        <v>8727</v>
      </c>
      <c r="H2106" s="23" t="s">
        <v>487</v>
      </c>
      <c r="I2106" s="21"/>
      <c r="J2106" s="25"/>
      <c r="K2106" s="26" t="s">
        <v>44</v>
      </c>
      <c r="L2106" s="16"/>
      <c r="M2106" s="21"/>
    </row>
    <row r="2107">
      <c r="A2107" s="28">
        <v>46232.0</v>
      </c>
      <c r="B2107" s="16" t="s">
        <v>8728</v>
      </c>
      <c r="C2107" s="20" t="s">
        <v>8729</v>
      </c>
      <c r="D2107" s="21"/>
      <c r="E2107" s="22" t="s">
        <v>8730</v>
      </c>
      <c r="H2107" s="23" t="s">
        <v>1530</v>
      </c>
      <c r="I2107" s="21"/>
      <c r="J2107" s="25"/>
      <c r="K2107" s="26" t="s">
        <v>44</v>
      </c>
      <c r="L2107" s="16"/>
      <c r="M2107" s="21"/>
    </row>
    <row r="2108">
      <c r="A2108" s="28">
        <v>46232.0</v>
      </c>
      <c r="B2108" s="16" t="s">
        <v>8731</v>
      </c>
      <c r="C2108" s="20" t="s">
        <v>8732</v>
      </c>
      <c r="D2108" s="21"/>
      <c r="E2108" s="22" t="s">
        <v>8733</v>
      </c>
      <c r="H2108" s="23" t="s">
        <v>48</v>
      </c>
      <c r="I2108" s="21"/>
      <c r="J2108" s="25"/>
      <c r="K2108" s="26" t="s">
        <v>44</v>
      </c>
      <c r="L2108" s="16"/>
      <c r="M2108" s="21"/>
    </row>
    <row r="2109">
      <c r="A2109" s="28">
        <v>46232.0</v>
      </c>
      <c r="B2109" s="16" t="s">
        <v>8734</v>
      </c>
      <c r="C2109" s="20" t="s">
        <v>8735</v>
      </c>
      <c r="D2109" s="21"/>
      <c r="E2109" s="22" t="s">
        <v>8736</v>
      </c>
      <c r="H2109" s="23" t="s">
        <v>1137</v>
      </c>
      <c r="I2109" s="21"/>
      <c r="J2109" s="25"/>
      <c r="K2109" s="26" t="s">
        <v>44</v>
      </c>
      <c r="L2109" s="16"/>
      <c r="M2109" s="21"/>
    </row>
    <row r="2110">
      <c r="A2110" s="28">
        <v>46232.0</v>
      </c>
      <c r="B2110" s="16" t="s">
        <v>8737</v>
      </c>
      <c r="C2110" s="20" t="s">
        <v>8738</v>
      </c>
      <c r="D2110" s="21"/>
      <c r="E2110" s="22" t="s">
        <v>8739</v>
      </c>
      <c r="H2110" s="23" t="s">
        <v>8740</v>
      </c>
      <c r="I2110" s="21"/>
      <c r="J2110" s="25"/>
      <c r="K2110" s="26" t="s">
        <v>44</v>
      </c>
      <c r="L2110" s="16"/>
      <c r="M2110" s="21"/>
    </row>
    <row r="2111">
      <c r="A2111" s="28">
        <v>46232.0</v>
      </c>
      <c r="B2111" s="16" t="s">
        <v>8741</v>
      </c>
      <c r="C2111" s="20" t="s">
        <v>8742</v>
      </c>
      <c r="D2111" s="21"/>
      <c r="E2111" s="22" t="s">
        <v>8743</v>
      </c>
      <c r="H2111" s="23" t="s">
        <v>1992</v>
      </c>
      <c r="I2111" s="21"/>
      <c r="J2111" s="25"/>
      <c r="K2111" s="26" t="s">
        <v>44</v>
      </c>
      <c r="L2111" s="16"/>
      <c r="M2111" s="21"/>
    </row>
    <row r="2112">
      <c r="A2112" s="28">
        <v>46232.0</v>
      </c>
      <c r="B2112" s="16" t="s">
        <v>8744</v>
      </c>
      <c r="C2112" s="20" t="s">
        <v>8745</v>
      </c>
      <c r="D2112" s="21"/>
      <c r="E2112" s="22" t="s">
        <v>8746</v>
      </c>
      <c r="H2112" s="23" t="s">
        <v>8747</v>
      </c>
      <c r="I2112" s="21"/>
      <c r="J2112" s="25"/>
      <c r="K2112" s="26" t="s">
        <v>44</v>
      </c>
      <c r="L2112" s="16"/>
      <c r="M2112" s="21"/>
    </row>
    <row r="2113">
      <c r="A2113" s="28">
        <v>46232.0</v>
      </c>
      <c r="B2113" s="16" t="s">
        <v>8748</v>
      </c>
      <c r="C2113" s="20" t="s">
        <v>8749</v>
      </c>
      <c r="D2113" s="21"/>
      <c r="E2113" s="22" t="s">
        <v>8750</v>
      </c>
      <c r="H2113" s="23" t="s">
        <v>1963</v>
      </c>
      <c r="I2113" s="21"/>
      <c r="J2113" s="25"/>
      <c r="K2113" s="26" t="s">
        <v>44</v>
      </c>
      <c r="L2113" s="16"/>
      <c r="M2113" s="21"/>
    </row>
    <row r="2114">
      <c r="A2114" s="28">
        <v>46232.0</v>
      </c>
      <c r="B2114" s="16" t="s">
        <v>8751</v>
      </c>
      <c r="C2114" s="20" t="s">
        <v>8752</v>
      </c>
      <c r="D2114" s="21"/>
      <c r="E2114" s="22" t="s">
        <v>8753</v>
      </c>
      <c r="H2114" s="23" t="s">
        <v>904</v>
      </c>
      <c r="I2114" s="21"/>
      <c r="J2114" s="25"/>
      <c r="K2114" s="26" t="s">
        <v>44</v>
      </c>
      <c r="L2114" s="16"/>
      <c r="M2114" s="21"/>
    </row>
    <row r="2115">
      <c r="A2115" s="28">
        <v>46232.0</v>
      </c>
      <c r="B2115" s="16" t="s">
        <v>8754</v>
      </c>
      <c r="C2115" s="20" t="s">
        <v>8755</v>
      </c>
      <c r="D2115" s="21"/>
      <c r="E2115" s="22" t="s">
        <v>8756</v>
      </c>
      <c r="H2115" s="23" t="s">
        <v>8757</v>
      </c>
      <c r="I2115" s="21"/>
      <c r="J2115" s="25"/>
      <c r="K2115" s="26" t="s">
        <v>44</v>
      </c>
      <c r="L2115" s="16"/>
      <c r="M2115" s="21"/>
    </row>
    <row r="2116">
      <c r="A2116" s="28">
        <v>46232.0</v>
      </c>
      <c r="B2116" s="16" t="s">
        <v>8758</v>
      </c>
      <c r="C2116" s="20" t="s">
        <v>8759</v>
      </c>
      <c r="D2116" s="21"/>
      <c r="E2116" s="22" t="s">
        <v>8760</v>
      </c>
      <c r="H2116" s="23" t="s">
        <v>8761</v>
      </c>
      <c r="I2116" s="21"/>
      <c r="J2116" s="25"/>
      <c r="K2116" s="26" t="s">
        <v>44</v>
      </c>
      <c r="L2116" s="16"/>
      <c r="M2116" s="21"/>
    </row>
    <row r="2117">
      <c r="A2117" s="28">
        <v>46232.0</v>
      </c>
      <c r="B2117" s="16" t="s">
        <v>8762</v>
      </c>
      <c r="C2117" s="20" t="s">
        <v>8763</v>
      </c>
      <c r="D2117" s="21"/>
      <c r="E2117" s="22" t="s">
        <v>8764</v>
      </c>
      <c r="H2117" s="23" t="s">
        <v>8765</v>
      </c>
      <c r="I2117" s="21"/>
      <c r="J2117" s="25"/>
      <c r="K2117" s="26" t="s">
        <v>44</v>
      </c>
      <c r="L2117" s="16"/>
      <c r="M2117" s="21"/>
    </row>
    <row r="2118">
      <c r="A2118" s="28">
        <v>46232.0</v>
      </c>
      <c r="B2118" s="16" t="s">
        <v>8766</v>
      </c>
      <c r="C2118" s="20" t="s">
        <v>8767</v>
      </c>
      <c r="D2118" s="21"/>
      <c r="E2118" s="22" t="s">
        <v>8768</v>
      </c>
      <c r="H2118" s="23" t="s">
        <v>6774</v>
      </c>
      <c r="I2118" s="21"/>
      <c r="J2118" s="25"/>
      <c r="K2118" s="26" t="s">
        <v>44</v>
      </c>
      <c r="L2118" s="16"/>
      <c r="M2118" s="21"/>
    </row>
    <row r="2119">
      <c r="A2119" s="28">
        <v>46232.0</v>
      </c>
      <c r="B2119" s="16" t="s">
        <v>8769</v>
      </c>
      <c r="C2119" s="20" t="s">
        <v>8770</v>
      </c>
      <c r="D2119" s="21"/>
      <c r="E2119" s="22" t="s">
        <v>8771</v>
      </c>
      <c r="H2119" s="23" t="s">
        <v>956</v>
      </c>
      <c r="I2119" s="21"/>
      <c r="J2119" s="25"/>
      <c r="K2119" s="26" t="s">
        <v>44</v>
      </c>
      <c r="L2119" s="16"/>
      <c r="M2119" s="21"/>
    </row>
    <row r="2120">
      <c r="A2120" s="28">
        <v>46232.0</v>
      </c>
      <c r="B2120" s="16" t="s">
        <v>8772</v>
      </c>
      <c r="C2120" s="20" t="s">
        <v>8773</v>
      </c>
      <c r="D2120" s="21"/>
      <c r="E2120" s="22" t="s">
        <v>8774</v>
      </c>
      <c r="H2120" s="23" t="s">
        <v>1411</v>
      </c>
      <c r="I2120" s="21"/>
      <c r="J2120" s="25"/>
      <c r="K2120" s="26" t="s">
        <v>44</v>
      </c>
      <c r="L2120" s="16"/>
      <c r="M2120" s="21"/>
    </row>
    <row r="2121">
      <c r="A2121" s="28">
        <v>46232.0</v>
      </c>
      <c r="B2121" s="16" t="s">
        <v>8775</v>
      </c>
      <c r="C2121" s="20" t="s">
        <v>8776</v>
      </c>
      <c r="D2121" s="21"/>
      <c r="E2121" s="22" t="s">
        <v>8777</v>
      </c>
      <c r="H2121" s="23" t="s">
        <v>7694</v>
      </c>
      <c r="I2121" s="21"/>
      <c r="J2121" s="25"/>
      <c r="K2121" s="26" t="s">
        <v>44</v>
      </c>
      <c r="L2121" s="16"/>
      <c r="M2121" s="21"/>
    </row>
    <row r="2122">
      <c r="A2122" s="28">
        <v>46232.0</v>
      </c>
      <c r="B2122" s="16" t="s">
        <v>8778</v>
      </c>
      <c r="C2122" s="20" t="s">
        <v>8779</v>
      </c>
      <c r="D2122" s="21"/>
      <c r="E2122" s="22" t="s">
        <v>8780</v>
      </c>
      <c r="H2122" s="23" t="s">
        <v>7694</v>
      </c>
      <c r="I2122" s="21"/>
      <c r="J2122" s="25"/>
      <c r="K2122" s="26" t="s">
        <v>44</v>
      </c>
      <c r="L2122" s="16"/>
      <c r="M2122" s="21"/>
    </row>
    <row r="2123">
      <c r="A2123" s="28">
        <v>46232.0</v>
      </c>
      <c r="B2123" s="16" t="s">
        <v>8781</v>
      </c>
      <c r="C2123" s="20" t="s">
        <v>8782</v>
      </c>
      <c r="D2123" s="21"/>
      <c r="E2123" s="22" t="s">
        <v>8783</v>
      </c>
      <c r="H2123" s="23" t="s">
        <v>111</v>
      </c>
      <c r="I2123" s="21"/>
      <c r="J2123" s="25"/>
      <c r="K2123" s="26" t="s">
        <v>44</v>
      </c>
      <c r="L2123" s="16"/>
      <c r="M2123" s="21"/>
    </row>
    <row r="2124">
      <c r="A2124" s="28">
        <v>46232.0</v>
      </c>
      <c r="B2124" s="16" t="s">
        <v>8784</v>
      </c>
      <c r="C2124" s="20" t="s">
        <v>8785</v>
      </c>
      <c r="D2124" s="21"/>
      <c r="E2124" s="22" t="s">
        <v>8786</v>
      </c>
      <c r="H2124" s="23" t="s">
        <v>8787</v>
      </c>
      <c r="I2124" s="21"/>
      <c r="J2124" s="25"/>
      <c r="K2124" s="26" t="s">
        <v>44</v>
      </c>
      <c r="L2124" s="16"/>
      <c r="M2124" s="21"/>
    </row>
    <row r="2125">
      <c r="A2125" s="28">
        <v>46232.0</v>
      </c>
      <c r="B2125" s="16" t="s">
        <v>8788</v>
      </c>
      <c r="C2125" s="20" t="s">
        <v>8789</v>
      </c>
      <c r="D2125" s="21"/>
      <c r="E2125" s="22" t="s">
        <v>8790</v>
      </c>
      <c r="H2125" s="23" t="s">
        <v>57</v>
      </c>
      <c r="I2125" s="21"/>
      <c r="J2125" s="25"/>
      <c r="K2125" s="26" t="s">
        <v>44</v>
      </c>
      <c r="L2125" s="16"/>
      <c r="M2125" s="21"/>
    </row>
    <row r="2126">
      <c r="A2126" s="28">
        <v>46232.0</v>
      </c>
      <c r="B2126" s="16" t="s">
        <v>8791</v>
      </c>
      <c r="C2126" s="20" t="s">
        <v>8792</v>
      </c>
      <c r="D2126" s="21"/>
      <c r="E2126" s="22" t="s">
        <v>8793</v>
      </c>
      <c r="H2126" s="23" t="s">
        <v>148</v>
      </c>
      <c r="I2126" s="21"/>
      <c r="J2126" s="25"/>
      <c r="K2126" s="26" t="s">
        <v>44</v>
      </c>
      <c r="L2126" s="16"/>
      <c r="M2126" s="21"/>
    </row>
    <row r="2127">
      <c r="A2127" s="28">
        <v>46232.0</v>
      </c>
      <c r="B2127" s="16" t="s">
        <v>8794</v>
      </c>
      <c r="C2127" s="20" t="s">
        <v>8795</v>
      </c>
      <c r="D2127" s="21"/>
      <c r="E2127" s="22" t="s">
        <v>8796</v>
      </c>
      <c r="H2127" s="23" t="s">
        <v>1307</v>
      </c>
      <c r="I2127" s="21"/>
      <c r="J2127" s="25"/>
      <c r="K2127" s="26" t="s">
        <v>44</v>
      </c>
      <c r="L2127" s="16"/>
      <c r="M2127" s="21"/>
    </row>
    <row r="2128">
      <c r="A2128" s="28">
        <v>46232.0</v>
      </c>
      <c r="B2128" s="16" t="s">
        <v>8797</v>
      </c>
      <c r="C2128" s="20" t="s">
        <v>8798</v>
      </c>
      <c r="D2128" s="21"/>
      <c r="E2128" s="22" t="s">
        <v>8799</v>
      </c>
      <c r="H2128" s="23" t="s">
        <v>1776</v>
      </c>
      <c r="I2128" s="21"/>
      <c r="J2128" s="25"/>
      <c r="K2128" s="26" t="s">
        <v>44</v>
      </c>
      <c r="L2128" s="16"/>
      <c r="M2128" s="21"/>
    </row>
    <row r="2129">
      <c r="A2129" s="28">
        <v>46232.0</v>
      </c>
      <c r="B2129" s="16" t="s">
        <v>8800</v>
      </c>
      <c r="C2129" s="46" t="s">
        <v>8801</v>
      </c>
      <c r="D2129" s="21"/>
      <c r="E2129" s="22" t="s">
        <v>8802</v>
      </c>
      <c r="H2129" s="23" t="s">
        <v>4906</v>
      </c>
      <c r="I2129" s="21"/>
      <c r="J2129" s="25"/>
      <c r="K2129" s="26" t="s">
        <v>44</v>
      </c>
      <c r="L2129" s="16"/>
      <c r="M2129" s="21"/>
    </row>
    <row r="2130">
      <c r="A2130" s="28">
        <v>46232.0</v>
      </c>
      <c r="B2130" s="16" t="s">
        <v>8803</v>
      </c>
      <c r="C2130" s="20" t="s">
        <v>8804</v>
      </c>
      <c r="D2130" s="21"/>
      <c r="E2130" s="22" t="s">
        <v>8805</v>
      </c>
      <c r="H2130" s="23" t="s">
        <v>111</v>
      </c>
      <c r="I2130" s="21"/>
      <c r="J2130" s="25"/>
      <c r="K2130" s="26" t="s">
        <v>44</v>
      </c>
      <c r="L2130" s="16"/>
      <c r="M2130" s="21"/>
    </row>
    <row r="2131">
      <c r="A2131" s="28">
        <v>46232.0</v>
      </c>
      <c r="B2131" s="16" t="s">
        <v>8806</v>
      </c>
      <c r="C2131" s="20" t="s">
        <v>8807</v>
      </c>
      <c r="D2131" s="21"/>
      <c r="E2131" s="22" t="s">
        <v>8808</v>
      </c>
      <c r="H2131" s="23" t="s">
        <v>404</v>
      </c>
      <c r="I2131" s="21"/>
      <c r="J2131" s="25"/>
      <c r="K2131" s="26" t="s">
        <v>44</v>
      </c>
      <c r="L2131" s="16"/>
      <c r="M2131" s="21"/>
    </row>
    <row r="2132">
      <c r="A2132" s="28">
        <v>46232.0</v>
      </c>
      <c r="B2132" s="16" t="s">
        <v>8809</v>
      </c>
      <c r="C2132" s="20" t="s">
        <v>8810</v>
      </c>
      <c r="D2132" s="21"/>
      <c r="E2132" s="22" t="s">
        <v>8811</v>
      </c>
      <c r="H2132" s="23" t="s">
        <v>111</v>
      </c>
      <c r="I2132" s="21"/>
      <c r="J2132" s="25"/>
      <c r="K2132" s="26" t="s">
        <v>44</v>
      </c>
      <c r="L2132" s="16"/>
      <c r="M2132" s="21"/>
    </row>
    <row r="2133">
      <c r="A2133" s="28">
        <v>46232.0</v>
      </c>
      <c r="B2133" s="16" t="s">
        <v>8812</v>
      </c>
      <c r="C2133" s="20" t="s">
        <v>8813</v>
      </c>
      <c r="D2133" s="21"/>
      <c r="E2133" s="22" t="s">
        <v>8814</v>
      </c>
      <c r="H2133" s="23" t="s">
        <v>6683</v>
      </c>
      <c r="I2133" s="21"/>
      <c r="J2133" s="25"/>
      <c r="K2133" s="26" t="s">
        <v>44</v>
      </c>
      <c r="L2133" s="16"/>
      <c r="M2133" s="21"/>
    </row>
    <row r="2134">
      <c r="A2134" s="28">
        <v>46232.0</v>
      </c>
      <c r="B2134" s="16" t="s">
        <v>8815</v>
      </c>
      <c r="C2134" s="20" t="s">
        <v>8816</v>
      </c>
      <c r="D2134" s="21"/>
      <c r="E2134" s="22" t="s">
        <v>8817</v>
      </c>
      <c r="H2134" s="23" t="s">
        <v>8818</v>
      </c>
      <c r="I2134" s="21"/>
      <c r="J2134" s="25"/>
      <c r="K2134" s="26" t="s">
        <v>44</v>
      </c>
      <c r="L2134" s="16"/>
      <c r="M2134" s="21"/>
    </row>
    <row r="2135">
      <c r="A2135" s="28">
        <v>46232.0</v>
      </c>
      <c r="B2135" s="16" t="s">
        <v>8819</v>
      </c>
      <c r="C2135" s="20" t="s">
        <v>8820</v>
      </c>
      <c r="D2135" s="21"/>
      <c r="E2135" s="22" t="s">
        <v>8821</v>
      </c>
      <c r="H2135" s="23" t="s">
        <v>1619</v>
      </c>
      <c r="I2135" s="21"/>
      <c r="J2135" s="25"/>
      <c r="K2135" s="26" t="s">
        <v>44</v>
      </c>
      <c r="L2135" s="16"/>
      <c r="M2135" s="21"/>
    </row>
    <row r="2136">
      <c r="A2136" s="28">
        <v>46232.0</v>
      </c>
      <c r="B2136" s="16" t="s">
        <v>8822</v>
      </c>
      <c r="C2136" s="20" t="s">
        <v>8823</v>
      </c>
      <c r="D2136" s="21"/>
      <c r="E2136" s="22" t="s">
        <v>8824</v>
      </c>
      <c r="H2136" s="23" t="s">
        <v>8825</v>
      </c>
      <c r="I2136" s="21"/>
      <c r="J2136" s="25"/>
      <c r="K2136" s="26" t="s">
        <v>44</v>
      </c>
      <c r="L2136" s="16"/>
      <c r="M2136" s="21"/>
    </row>
    <row r="2137">
      <c r="A2137" s="28">
        <v>46232.0</v>
      </c>
      <c r="B2137" s="16" t="s">
        <v>8826</v>
      </c>
      <c r="C2137" s="20" t="s">
        <v>8827</v>
      </c>
      <c r="D2137" s="21"/>
      <c r="E2137" s="22" t="s">
        <v>8828</v>
      </c>
      <c r="H2137" s="23" t="s">
        <v>8829</v>
      </c>
      <c r="I2137" s="21"/>
      <c r="J2137" s="25"/>
      <c r="K2137" s="26" t="s">
        <v>44</v>
      </c>
      <c r="L2137" s="16"/>
      <c r="M2137" s="21"/>
    </row>
    <row r="2138">
      <c r="A2138" s="28">
        <v>46232.0</v>
      </c>
      <c r="B2138" s="16" t="s">
        <v>8830</v>
      </c>
      <c r="C2138" s="20" t="s">
        <v>8831</v>
      </c>
      <c r="D2138" s="21"/>
      <c r="E2138" s="22" t="s">
        <v>8832</v>
      </c>
      <c r="H2138" s="23" t="s">
        <v>1643</v>
      </c>
      <c r="I2138" s="21"/>
      <c r="J2138" s="25"/>
      <c r="K2138" s="26" t="s">
        <v>44</v>
      </c>
      <c r="L2138" s="16"/>
      <c r="M2138" s="21"/>
    </row>
    <row r="2139">
      <c r="A2139" s="28">
        <v>46232.0</v>
      </c>
      <c r="B2139" s="16" t="s">
        <v>8833</v>
      </c>
      <c r="C2139" s="20" t="s">
        <v>8834</v>
      </c>
      <c r="D2139" s="21"/>
      <c r="E2139" s="22" t="s">
        <v>8835</v>
      </c>
      <c r="H2139" s="23" t="s">
        <v>8836</v>
      </c>
      <c r="I2139" s="21"/>
      <c r="J2139" s="25"/>
      <c r="K2139" s="26" t="s">
        <v>44</v>
      </c>
      <c r="L2139" s="16"/>
      <c r="M2139" s="21"/>
    </row>
    <row r="2140">
      <c r="A2140" s="28">
        <v>46232.0</v>
      </c>
      <c r="B2140" s="16" t="s">
        <v>8837</v>
      </c>
      <c r="C2140" s="46" t="s">
        <v>8838</v>
      </c>
      <c r="D2140" s="21"/>
      <c r="E2140" s="22" t="s">
        <v>8839</v>
      </c>
      <c r="H2140" s="23" t="s">
        <v>8840</v>
      </c>
      <c r="I2140" s="21"/>
      <c r="J2140" s="25"/>
      <c r="K2140" s="26" t="s">
        <v>44</v>
      </c>
      <c r="L2140" s="16"/>
      <c r="M2140" s="21"/>
    </row>
    <row r="2141">
      <c r="A2141" s="28">
        <v>46232.0</v>
      </c>
      <c r="B2141" s="16" t="s">
        <v>8841</v>
      </c>
      <c r="C2141" s="20" t="s">
        <v>8842</v>
      </c>
      <c r="D2141" s="21"/>
      <c r="E2141" s="22" t="s">
        <v>8843</v>
      </c>
      <c r="H2141" s="23" t="s">
        <v>48</v>
      </c>
      <c r="I2141" s="21"/>
      <c r="J2141" s="25"/>
      <c r="K2141" s="26" t="s">
        <v>44</v>
      </c>
      <c r="L2141" s="16"/>
      <c r="M2141" s="21"/>
    </row>
    <row r="2142">
      <c r="A2142" s="28">
        <v>46232.0</v>
      </c>
      <c r="B2142" s="16" t="s">
        <v>8844</v>
      </c>
      <c r="C2142" s="20" t="s">
        <v>8845</v>
      </c>
      <c r="D2142" s="21"/>
      <c r="E2142" s="22" t="s">
        <v>8846</v>
      </c>
      <c r="H2142" s="23" t="s">
        <v>8847</v>
      </c>
      <c r="I2142" s="21"/>
      <c r="J2142" s="25"/>
      <c r="K2142" s="26" t="s">
        <v>44</v>
      </c>
      <c r="L2142" s="16"/>
      <c r="M2142" s="21"/>
    </row>
    <row r="2143">
      <c r="A2143" s="28">
        <v>46232.0</v>
      </c>
      <c r="B2143" s="16" t="s">
        <v>8848</v>
      </c>
      <c r="C2143" s="20" t="s">
        <v>8849</v>
      </c>
      <c r="D2143" s="21"/>
      <c r="E2143" s="22" t="s">
        <v>8850</v>
      </c>
      <c r="H2143" s="23" t="s">
        <v>1871</v>
      </c>
      <c r="I2143" s="21"/>
      <c r="J2143" s="25"/>
      <c r="K2143" s="26" t="s">
        <v>44</v>
      </c>
      <c r="L2143" s="16"/>
      <c r="M2143" s="21"/>
    </row>
    <row r="2144">
      <c r="A2144" s="28">
        <v>46232.0</v>
      </c>
      <c r="B2144" s="16" t="s">
        <v>8851</v>
      </c>
      <c r="C2144" s="20" t="s">
        <v>8852</v>
      </c>
      <c r="D2144" s="21"/>
      <c r="E2144" s="22" t="s">
        <v>8853</v>
      </c>
      <c r="H2144" s="23" t="s">
        <v>8854</v>
      </c>
      <c r="I2144" s="21"/>
      <c r="J2144" s="25"/>
      <c r="K2144" s="26" t="s">
        <v>44</v>
      </c>
      <c r="L2144" s="16"/>
      <c r="M2144" s="21"/>
    </row>
    <row r="2145">
      <c r="A2145" s="28">
        <v>46232.0</v>
      </c>
      <c r="B2145" s="16" t="s">
        <v>8855</v>
      </c>
      <c r="C2145" s="20" t="s">
        <v>8856</v>
      </c>
      <c r="D2145" s="21"/>
      <c r="E2145" s="22" t="s">
        <v>8857</v>
      </c>
      <c r="H2145" s="23" t="s">
        <v>8858</v>
      </c>
      <c r="I2145" s="21"/>
      <c r="J2145" s="25"/>
      <c r="K2145" s="26" t="s">
        <v>44</v>
      </c>
      <c r="L2145" s="16"/>
      <c r="M2145" s="21"/>
    </row>
    <row r="2146">
      <c r="A2146" s="28">
        <v>46232.0</v>
      </c>
      <c r="B2146" s="16" t="s">
        <v>8859</v>
      </c>
      <c r="C2146" s="20" t="s">
        <v>8860</v>
      </c>
      <c r="D2146" s="21"/>
      <c r="E2146" s="22" t="s">
        <v>8861</v>
      </c>
      <c r="H2146" s="23" t="s">
        <v>1266</v>
      </c>
      <c r="I2146" s="21"/>
      <c r="J2146" s="25"/>
      <c r="K2146" s="26" t="s">
        <v>44</v>
      </c>
      <c r="L2146" s="16"/>
      <c r="M2146" s="21"/>
    </row>
    <row r="2147">
      <c r="A2147" s="28">
        <v>46232.0</v>
      </c>
      <c r="B2147" s="16" t="s">
        <v>8862</v>
      </c>
      <c r="C2147" s="20" t="s">
        <v>8863</v>
      </c>
      <c r="D2147" s="21"/>
      <c r="E2147" s="22" t="s">
        <v>8864</v>
      </c>
      <c r="H2147" s="23" t="s">
        <v>713</v>
      </c>
      <c r="I2147" s="21"/>
      <c r="J2147" s="25"/>
      <c r="K2147" s="26" t="s">
        <v>44</v>
      </c>
      <c r="L2147" s="16"/>
      <c r="M2147" s="21"/>
    </row>
    <row r="2148">
      <c r="A2148" s="28">
        <v>46232.0</v>
      </c>
      <c r="B2148" s="16" t="s">
        <v>8865</v>
      </c>
      <c r="C2148" s="46" t="s">
        <v>8866</v>
      </c>
      <c r="D2148" s="21"/>
      <c r="E2148" s="22" t="s">
        <v>8867</v>
      </c>
      <c r="H2148" s="23" t="s">
        <v>751</v>
      </c>
      <c r="I2148" s="21"/>
      <c r="J2148" s="25"/>
      <c r="K2148" s="26" t="s">
        <v>44</v>
      </c>
      <c r="L2148" s="16"/>
      <c r="M2148" s="21"/>
    </row>
    <row r="2149">
      <c r="A2149" s="28">
        <v>46232.0</v>
      </c>
      <c r="B2149" s="16" t="s">
        <v>8868</v>
      </c>
      <c r="C2149" s="20" t="s">
        <v>8869</v>
      </c>
      <c r="D2149" s="21"/>
      <c r="E2149" s="22" t="s">
        <v>8870</v>
      </c>
      <c r="H2149" s="23" t="s">
        <v>111</v>
      </c>
      <c r="I2149" s="21"/>
      <c r="J2149" s="25"/>
      <c r="K2149" s="26" t="s">
        <v>44</v>
      </c>
      <c r="L2149" s="16"/>
      <c r="M2149" s="21"/>
    </row>
    <row r="2150">
      <c r="A2150" s="28">
        <v>46232.0</v>
      </c>
      <c r="B2150" s="16" t="s">
        <v>8871</v>
      </c>
      <c r="C2150" s="20" t="s">
        <v>8872</v>
      </c>
      <c r="D2150" s="21"/>
      <c r="E2150" s="22" t="s">
        <v>8873</v>
      </c>
      <c r="H2150" s="23" t="s">
        <v>1356</v>
      </c>
      <c r="I2150" s="21"/>
      <c r="J2150" s="25"/>
      <c r="K2150" s="26" t="s">
        <v>44</v>
      </c>
      <c r="L2150" s="16"/>
      <c r="M2150" s="21"/>
    </row>
    <row r="2151">
      <c r="A2151" s="28">
        <v>46232.0</v>
      </c>
      <c r="B2151" s="16" t="s">
        <v>8874</v>
      </c>
      <c r="C2151" s="20" t="s">
        <v>8875</v>
      </c>
      <c r="D2151" s="21"/>
      <c r="E2151" s="22" t="s">
        <v>8876</v>
      </c>
      <c r="H2151" s="23" t="s">
        <v>1422</v>
      </c>
      <c r="I2151" s="21"/>
      <c r="J2151" s="25"/>
      <c r="K2151" s="26" t="s">
        <v>44</v>
      </c>
      <c r="L2151" s="16"/>
      <c r="M2151" s="21"/>
    </row>
    <row r="2152">
      <c r="A2152" s="28">
        <v>46232.0</v>
      </c>
      <c r="B2152" s="16" t="s">
        <v>8877</v>
      </c>
      <c r="C2152" s="20" t="s">
        <v>8878</v>
      </c>
      <c r="D2152" s="21"/>
      <c r="E2152" s="22" t="s">
        <v>8879</v>
      </c>
      <c r="H2152" s="23" t="s">
        <v>299</v>
      </c>
      <c r="I2152" s="21"/>
      <c r="J2152" s="25"/>
      <c r="K2152" s="26" t="s">
        <v>44</v>
      </c>
      <c r="L2152" s="16"/>
      <c r="M2152" s="21"/>
    </row>
    <row r="2153">
      <c r="A2153" s="28">
        <v>46232.0</v>
      </c>
      <c r="B2153" s="16" t="s">
        <v>8880</v>
      </c>
      <c r="C2153" s="20" t="s">
        <v>8881</v>
      </c>
      <c r="D2153" s="21"/>
      <c r="E2153" s="22" t="s">
        <v>8882</v>
      </c>
      <c r="H2153" s="23" t="s">
        <v>8883</v>
      </c>
      <c r="I2153" s="21"/>
      <c r="J2153" s="25"/>
      <c r="K2153" s="26" t="s">
        <v>44</v>
      </c>
      <c r="L2153" s="16"/>
      <c r="M2153" s="21"/>
    </row>
    <row r="2154">
      <c r="A2154" s="28">
        <v>46232.0</v>
      </c>
      <c r="B2154" s="16" t="s">
        <v>8884</v>
      </c>
      <c r="C2154" s="20" t="s">
        <v>8885</v>
      </c>
      <c r="D2154" s="21"/>
      <c r="E2154" s="22" t="s">
        <v>8886</v>
      </c>
      <c r="H2154" s="23" t="s">
        <v>1708</v>
      </c>
      <c r="I2154" s="21"/>
      <c r="J2154" s="25"/>
      <c r="K2154" s="26" t="s">
        <v>44</v>
      </c>
      <c r="L2154" s="16"/>
      <c r="M2154" s="21"/>
    </row>
    <row r="2155">
      <c r="A2155" s="28">
        <v>46232.0</v>
      </c>
      <c r="B2155" s="16" t="s">
        <v>8887</v>
      </c>
      <c r="C2155" s="20" t="s">
        <v>8888</v>
      </c>
      <c r="D2155" s="21"/>
      <c r="E2155" s="22" t="s">
        <v>8889</v>
      </c>
      <c r="H2155" s="23" t="s">
        <v>48</v>
      </c>
      <c r="I2155" s="21"/>
      <c r="J2155" s="25"/>
      <c r="K2155" s="26" t="s">
        <v>44</v>
      </c>
      <c r="L2155" s="16"/>
      <c r="M2155" s="21"/>
    </row>
    <row r="2156">
      <c r="A2156" s="28">
        <v>46232.0</v>
      </c>
      <c r="B2156" s="16" t="s">
        <v>8890</v>
      </c>
      <c r="C2156" s="20" t="s">
        <v>8891</v>
      </c>
      <c r="D2156" s="21"/>
      <c r="E2156" s="22" t="s">
        <v>8892</v>
      </c>
      <c r="H2156" s="23" t="s">
        <v>8893</v>
      </c>
      <c r="I2156" s="21"/>
      <c r="J2156" s="25"/>
      <c r="K2156" s="26" t="s">
        <v>44</v>
      </c>
      <c r="L2156" s="16"/>
      <c r="M2156" s="21"/>
    </row>
    <row r="2157">
      <c r="A2157" s="28">
        <v>46232.0</v>
      </c>
      <c r="B2157" s="16" t="s">
        <v>8894</v>
      </c>
      <c r="C2157" s="20" t="s">
        <v>8895</v>
      </c>
      <c r="D2157" s="21"/>
      <c r="E2157" s="22" t="s">
        <v>8896</v>
      </c>
      <c r="H2157" s="23" t="s">
        <v>2842</v>
      </c>
      <c r="I2157" s="21"/>
      <c r="J2157" s="25"/>
      <c r="K2157" s="26" t="s">
        <v>44</v>
      </c>
      <c r="L2157" s="16"/>
      <c r="M2157" s="21"/>
    </row>
    <row r="2158">
      <c r="A2158" s="28">
        <v>46232.0</v>
      </c>
      <c r="B2158" s="16" t="s">
        <v>8897</v>
      </c>
      <c r="C2158" s="20" t="s">
        <v>8898</v>
      </c>
      <c r="D2158" s="21"/>
      <c r="E2158" s="22" t="s">
        <v>8899</v>
      </c>
      <c r="H2158" s="23" t="s">
        <v>800</v>
      </c>
      <c r="I2158" s="21"/>
      <c r="J2158" s="25"/>
      <c r="K2158" s="26" t="s">
        <v>44</v>
      </c>
      <c r="L2158" s="16"/>
      <c r="M2158" s="21"/>
    </row>
    <row r="2159">
      <c r="A2159" s="28">
        <v>46232.0</v>
      </c>
      <c r="B2159" s="16" t="s">
        <v>8900</v>
      </c>
      <c r="C2159" s="20" t="s">
        <v>8901</v>
      </c>
      <c r="D2159" s="21"/>
      <c r="E2159" s="22" t="s">
        <v>8902</v>
      </c>
      <c r="H2159" s="23" t="s">
        <v>463</v>
      </c>
      <c r="I2159" s="21"/>
      <c r="J2159" s="25"/>
      <c r="K2159" s="26" t="s">
        <v>44</v>
      </c>
      <c r="L2159" s="16"/>
      <c r="M2159" s="21"/>
    </row>
    <row r="2160">
      <c r="A2160" s="28">
        <v>46232.0</v>
      </c>
      <c r="B2160" s="16" t="s">
        <v>8903</v>
      </c>
      <c r="C2160" s="20" t="s">
        <v>8904</v>
      </c>
      <c r="D2160" s="21"/>
      <c r="E2160" s="22" t="s">
        <v>8905</v>
      </c>
      <c r="H2160" s="23" t="s">
        <v>8906</v>
      </c>
      <c r="I2160" s="21"/>
      <c r="J2160" s="25"/>
      <c r="K2160" s="26" t="s">
        <v>44</v>
      </c>
      <c r="L2160" s="16"/>
      <c r="M2160" s="21"/>
    </row>
    <row r="2161">
      <c r="A2161" s="28">
        <v>46232.0</v>
      </c>
      <c r="B2161" s="16" t="s">
        <v>8907</v>
      </c>
      <c r="C2161" s="20" t="s">
        <v>8908</v>
      </c>
      <c r="D2161" s="21"/>
      <c r="E2161" s="22" t="s">
        <v>8909</v>
      </c>
      <c r="H2161" s="23" t="s">
        <v>2850</v>
      </c>
      <c r="I2161" s="21"/>
      <c r="J2161" s="25"/>
      <c r="K2161" s="26" t="s">
        <v>44</v>
      </c>
      <c r="L2161" s="16"/>
      <c r="M2161" s="21"/>
    </row>
    <row r="2162">
      <c r="A2162" s="28">
        <v>46232.0</v>
      </c>
      <c r="B2162" s="16" t="s">
        <v>8910</v>
      </c>
      <c r="C2162" s="20" t="s">
        <v>8911</v>
      </c>
      <c r="D2162" s="21"/>
      <c r="E2162" s="22" t="s">
        <v>8912</v>
      </c>
      <c r="H2162" s="23" t="s">
        <v>8913</v>
      </c>
      <c r="I2162" s="21"/>
      <c r="J2162" s="25"/>
      <c r="K2162" s="26" t="s">
        <v>44</v>
      </c>
      <c r="L2162" s="16"/>
      <c r="M2162" s="21"/>
    </row>
    <row r="2163">
      <c r="A2163" s="28">
        <v>46232.0</v>
      </c>
      <c r="B2163" s="16" t="s">
        <v>8914</v>
      </c>
      <c r="C2163" s="20" t="s">
        <v>8915</v>
      </c>
      <c r="D2163" s="21"/>
      <c r="E2163" s="22" t="s">
        <v>8916</v>
      </c>
      <c r="H2163" s="23" t="s">
        <v>65</v>
      </c>
      <c r="I2163" s="21"/>
      <c r="J2163" s="25"/>
      <c r="K2163" s="26" t="s">
        <v>44</v>
      </c>
      <c r="L2163" s="16"/>
      <c r="M2163" s="21"/>
    </row>
    <row r="2164">
      <c r="A2164" s="28">
        <v>46232.0</v>
      </c>
      <c r="B2164" s="16" t="s">
        <v>8917</v>
      </c>
      <c r="C2164" s="20" t="s">
        <v>8918</v>
      </c>
      <c r="D2164" s="21"/>
      <c r="E2164" s="22" t="s">
        <v>8919</v>
      </c>
      <c r="H2164" s="23" t="s">
        <v>8920</v>
      </c>
      <c r="I2164" s="21"/>
      <c r="J2164" s="25"/>
      <c r="K2164" s="26" t="s">
        <v>44</v>
      </c>
      <c r="L2164" s="16"/>
      <c r="M2164" s="21"/>
    </row>
    <row r="2165">
      <c r="A2165" s="28">
        <v>46232.0</v>
      </c>
      <c r="B2165" s="16" t="s">
        <v>8921</v>
      </c>
      <c r="C2165" s="20" t="s">
        <v>8922</v>
      </c>
      <c r="D2165" s="21"/>
      <c r="E2165" s="22" t="s">
        <v>8923</v>
      </c>
      <c r="H2165" s="23" t="s">
        <v>148</v>
      </c>
      <c r="I2165" s="21"/>
      <c r="J2165" s="25"/>
      <c r="K2165" s="26" t="s">
        <v>44</v>
      </c>
      <c r="L2165" s="16"/>
      <c r="M2165" s="21"/>
    </row>
    <row r="2166">
      <c r="A2166" s="28">
        <v>46232.0</v>
      </c>
      <c r="B2166" s="16" t="s">
        <v>8924</v>
      </c>
      <c r="C2166" s="20" t="s">
        <v>8925</v>
      </c>
      <c r="D2166" s="21"/>
      <c r="E2166" s="22" t="s">
        <v>8926</v>
      </c>
      <c r="H2166" s="23" t="s">
        <v>1619</v>
      </c>
      <c r="I2166" s="21"/>
      <c r="J2166" s="25"/>
      <c r="K2166" s="26" t="s">
        <v>44</v>
      </c>
      <c r="L2166" s="16"/>
      <c r="M2166" s="21"/>
    </row>
    <row r="2167">
      <c r="A2167" s="28">
        <v>46232.0</v>
      </c>
      <c r="B2167" s="16" t="s">
        <v>8927</v>
      </c>
      <c r="C2167" s="20" t="s">
        <v>8928</v>
      </c>
      <c r="D2167" s="21"/>
      <c r="E2167" s="22" t="s">
        <v>8929</v>
      </c>
      <c r="H2167" s="23" t="s">
        <v>127</v>
      </c>
      <c r="I2167" s="21"/>
      <c r="J2167" s="25"/>
      <c r="K2167" s="26" t="s">
        <v>44</v>
      </c>
      <c r="L2167" s="16"/>
      <c r="M2167" s="21"/>
    </row>
    <row r="2168">
      <c r="A2168" s="28">
        <v>46232.0</v>
      </c>
      <c r="B2168" s="16" t="s">
        <v>8930</v>
      </c>
      <c r="C2168" s="20" t="s">
        <v>8931</v>
      </c>
      <c r="D2168" s="21"/>
      <c r="E2168" s="22" t="s">
        <v>8932</v>
      </c>
      <c r="H2168" s="23" t="s">
        <v>69</v>
      </c>
      <c r="I2168" s="21"/>
      <c r="J2168" s="25"/>
      <c r="K2168" s="26" t="s">
        <v>44</v>
      </c>
      <c r="L2168" s="16"/>
      <c r="M2168" s="21"/>
    </row>
    <row r="2169">
      <c r="A2169" s="28">
        <v>46232.0</v>
      </c>
      <c r="B2169" s="16" t="s">
        <v>8933</v>
      </c>
      <c r="C2169" s="20" t="s">
        <v>8934</v>
      </c>
      <c r="D2169" s="21"/>
      <c r="E2169" s="22" t="s">
        <v>8935</v>
      </c>
      <c r="H2169" s="23" t="s">
        <v>1398</v>
      </c>
      <c r="I2169" s="21"/>
      <c r="J2169" s="25"/>
      <c r="K2169" s="26" t="s">
        <v>44</v>
      </c>
      <c r="L2169" s="16"/>
      <c r="M2169" s="21"/>
    </row>
    <row r="2170">
      <c r="A2170" s="28">
        <v>46232.0</v>
      </c>
      <c r="B2170" s="16" t="s">
        <v>8936</v>
      </c>
      <c r="C2170" s="20" t="s">
        <v>8937</v>
      </c>
      <c r="D2170" s="21"/>
      <c r="E2170" s="22" t="s">
        <v>8938</v>
      </c>
      <c r="H2170" s="23" t="s">
        <v>622</v>
      </c>
      <c r="I2170" s="21"/>
      <c r="J2170" s="25"/>
      <c r="K2170" s="26" t="s">
        <v>44</v>
      </c>
      <c r="L2170" s="16"/>
      <c r="M2170" s="21"/>
    </row>
    <row r="2171">
      <c r="A2171" s="28">
        <v>46232.0</v>
      </c>
      <c r="B2171" s="16" t="s">
        <v>8939</v>
      </c>
      <c r="C2171" s="20" t="s">
        <v>8940</v>
      </c>
      <c r="D2171" s="21"/>
      <c r="E2171" s="22" t="s">
        <v>8941</v>
      </c>
      <c r="H2171" s="23" t="s">
        <v>148</v>
      </c>
      <c r="I2171" s="21"/>
      <c r="J2171" s="25"/>
      <c r="K2171" s="26" t="s">
        <v>44</v>
      </c>
      <c r="L2171" s="16"/>
      <c r="M2171" s="21"/>
    </row>
    <row r="2172">
      <c r="A2172" s="28">
        <v>46232.0</v>
      </c>
      <c r="B2172" s="16" t="s">
        <v>8942</v>
      </c>
      <c r="C2172" s="20" t="s">
        <v>8943</v>
      </c>
      <c r="D2172" s="21"/>
      <c r="E2172" s="22" t="s">
        <v>8944</v>
      </c>
      <c r="H2172" s="23" t="s">
        <v>8945</v>
      </c>
      <c r="I2172" s="21"/>
      <c r="J2172" s="25"/>
      <c r="K2172" s="26" t="s">
        <v>44</v>
      </c>
      <c r="L2172" s="16"/>
      <c r="M2172" s="21"/>
    </row>
    <row r="2173">
      <c r="A2173" s="28">
        <v>46232.0</v>
      </c>
      <c r="B2173" s="16" t="s">
        <v>8946</v>
      </c>
      <c r="C2173" s="20" t="s">
        <v>8947</v>
      </c>
      <c r="D2173" s="21"/>
      <c r="E2173" s="22" t="s">
        <v>8948</v>
      </c>
      <c r="H2173" s="23" t="s">
        <v>2606</v>
      </c>
      <c r="I2173" s="21"/>
      <c r="J2173" s="25"/>
      <c r="K2173" s="26" t="s">
        <v>44</v>
      </c>
      <c r="L2173" s="16"/>
      <c r="M2173" s="21"/>
    </row>
    <row r="2174">
      <c r="A2174" s="28">
        <v>46232.0</v>
      </c>
      <c r="B2174" s="16" t="s">
        <v>8949</v>
      </c>
      <c r="C2174" s="20" t="s">
        <v>8950</v>
      </c>
      <c r="D2174" s="21"/>
      <c r="E2174" s="22" t="s">
        <v>8951</v>
      </c>
      <c r="H2174" s="23" t="s">
        <v>8952</v>
      </c>
      <c r="I2174" s="21"/>
      <c r="J2174" s="25"/>
      <c r="K2174" s="26" t="s">
        <v>44</v>
      </c>
      <c r="L2174" s="16"/>
      <c r="M2174" s="21"/>
    </row>
    <row r="2175">
      <c r="A2175" s="28">
        <v>46232.0</v>
      </c>
      <c r="B2175" s="16" t="s">
        <v>8953</v>
      </c>
      <c r="C2175" s="46" t="s">
        <v>8954</v>
      </c>
      <c r="D2175" s="21"/>
      <c r="E2175" s="22" t="s">
        <v>8955</v>
      </c>
      <c r="H2175" s="23" t="s">
        <v>84</v>
      </c>
      <c r="I2175" s="21"/>
      <c r="J2175" s="25"/>
      <c r="K2175" s="26" t="s">
        <v>44</v>
      </c>
      <c r="L2175" s="16"/>
      <c r="M2175" s="21"/>
    </row>
    <row r="2176">
      <c r="A2176" s="28">
        <v>46232.0</v>
      </c>
      <c r="B2176" s="16" t="s">
        <v>8956</v>
      </c>
      <c r="C2176" s="20" t="s">
        <v>8957</v>
      </c>
      <c r="D2176" s="21"/>
      <c r="E2176" s="22" t="s">
        <v>8958</v>
      </c>
      <c r="H2176" s="23" t="s">
        <v>370</v>
      </c>
      <c r="I2176" s="21"/>
      <c r="J2176" s="25"/>
      <c r="K2176" s="26" t="s">
        <v>44</v>
      </c>
      <c r="L2176" s="16"/>
      <c r="M2176" s="21"/>
    </row>
    <row r="2177">
      <c r="A2177" s="28">
        <v>46232.0</v>
      </c>
      <c r="B2177" s="16" t="s">
        <v>8959</v>
      </c>
      <c r="C2177" s="20" t="s">
        <v>8960</v>
      </c>
      <c r="D2177" s="21"/>
      <c r="E2177" s="22" t="s">
        <v>8961</v>
      </c>
      <c r="H2177" s="23" t="s">
        <v>1141</v>
      </c>
      <c r="I2177" s="21"/>
      <c r="J2177" s="25"/>
      <c r="K2177" s="26" t="s">
        <v>44</v>
      </c>
      <c r="L2177" s="16"/>
      <c r="M2177" s="21"/>
    </row>
    <row r="2178">
      <c r="A2178" s="28">
        <v>46232.0</v>
      </c>
      <c r="B2178" s="16" t="s">
        <v>8962</v>
      </c>
      <c r="C2178" s="20" t="s">
        <v>8963</v>
      </c>
      <c r="D2178" s="21"/>
      <c r="E2178" s="22" t="s">
        <v>8964</v>
      </c>
      <c r="H2178" s="23" t="s">
        <v>48</v>
      </c>
      <c r="I2178" s="21"/>
      <c r="J2178" s="25"/>
      <c r="K2178" s="26" t="s">
        <v>44</v>
      </c>
      <c r="L2178" s="16"/>
      <c r="M2178" s="21"/>
    </row>
    <row r="2179">
      <c r="A2179" s="28">
        <v>46232.0</v>
      </c>
      <c r="B2179" s="16" t="s">
        <v>8965</v>
      </c>
      <c r="C2179" s="20" t="s">
        <v>8966</v>
      </c>
      <c r="D2179" s="21"/>
      <c r="E2179" s="22" t="s">
        <v>8967</v>
      </c>
      <c r="H2179" s="23" t="s">
        <v>487</v>
      </c>
      <c r="I2179" s="21"/>
      <c r="J2179" s="25"/>
      <c r="K2179" s="26" t="s">
        <v>44</v>
      </c>
      <c r="L2179" s="16"/>
      <c r="M2179" s="21"/>
    </row>
    <row r="2180">
      <c r="A2180" s="28">
        <v>46232.0</v>
      </c>
      <c r="B2180" s="16" t="s">
        <v>8968</v>
      </c>
      <c r="C2180" s="20" t="s">
        <v>8969</v>
      </c>
      <c r="D2180" s="21"/>
      <c r="E2180" s="22" t="s">
        <v>8970</v>
      </c>
      <c r="H2180" s="23" t="s">
        <v>487</v>
      </c>
      <c r="I2180" s="21"/>
      <c r="J2180" s="25"/>
      <c r="K2180" s="26" t="s">
        <v>44</v>
      </c>
      <c r="L2180" s="16"/>
      <c r="M2180" s="21"/>
    </row>
    <row r="2181">
      <c r="A2181" s="28">
        <v>46232.0</v>
      </c>
      <c r="B2181" s="16" t="s">
        <v>8971</v>
      </c>
      <c r="C2181" s="20" t="s">
        <v>8972</v>
      </c>
      <c r="D2181" s="21"/>
      <c r="E2181" s="22" t="s">
        <v>8973</v>
      </c>
      <c r="H2181" s="23" t="s">
        <v>5368</v>
      </c>
      <c r="I2181" s="21"/>
      <c r="J2181" s="25"/>
      <c r="K2181" s="26" t="s">
        <v>44</v>
      </c>
      <c r="L2181" s="16"/>
      <c r="M2181" s="21"/>
    </row>
    <row r="2182">
      <c r="A2182" s="28">
        <v>46232.0</v>
      </c>
      <c r="B2182" s="16" t="s">
        <v>8974</v>
      </c>
      <c r="C2182" s="20" t="s">
        <v>8975</v>
      </c>
      <c r="D2182" s="21"/>
      <c r="E2182" s="22" t="s">
        <v>8976</v>
      </c>
      <c r="H2182" s="23" t="s">
        <v>57</v>
      </c>
      <c r="I2182" s="21"/>
      <c r="J2182" s="25"/>
      <c r="K2182" s="26" t="s">
        <v>44</v>
      </c>
      <c r="L2182" s="16"/>
      <c r="M2182" s="21"/>
    </row>
    <row r="2183">
      <c r="A2183" s="28">
        <v>46232.0</v>
      </c>
      <c r="B2183" s="16" t="s">
        <v>8977</v>
      </c>
      <c r="C2183" s="20" t="s">
        <v>8978</v>
      </c>
      <c r="D2183" s="21"/>
      <c r="E2183" s="22" t="s">
        <v>8979</v>
      </c>
      <c r="H2183" s="23" t="s">
        <v>8980</v>
      </c>
      <c r="I2183" s="21"/>
      <c r="J2183" s="25"/>
      <c r="K2183" s="26" t="s">
        <v>44</v>
      </c>
      <c r="L2183" s="16"/>
      <c r="M2183" s="21"/>
    </row>
    <row r="2184">
      <c r="A2184" s="28">
        <v>46232.0</v>
      </c>
      <c r="B2184" s="16" t="s">
        <v>8981</v>
      </c>
      <c r="C2184" s="20" t="s">
        <v>8982</v>
      </c>
      <c r="D2184" s="21"/>
      <c r="E2184" s="22" t="s">
        <v>8983</v>
      </c>
      <c r="H2184" s="23" t="s">
        <v>57</v>
      </c>
      <c r="I2184" s="21"/>
      <c r="J2184" s="25"/>
      <c r="K2184" s="26" t="s">
        <v>44</v>
      </c>
      <c r="L2184" s="16"/>
      <c r="M2184" s="21"/>
    </row>
    <row r="2185">
      <c r="A2185" s="28">
        <v>46232.0</v>
      </c>
      <c r="B2185" s="16" t="s">
        <v>8984</v>
      </c>
      <c r="C2185" s="20" t="s">
        <v>8985</v>
      </c>
      <c r="D2185" s="21"/>
      <c r="E2185" s="22" t="s">
        <v>8986</v>
      </c>
      <c r="H2185" s="23" t="s">
        <v>1727</v>
      </c>
      <c r="I2185" s="21"/>
      <c r="J2185" s="25"/>
      <c r="K2185" s="26" t="s">
        <v>44</v>
      </c>
      <c r="L2185" s="16"/>
      <c r="M2185" s="21"/>
    </row>
    <row r="2186">
      <c r="A2186" s="28">
        <v>46232.0</v>
      </c>
      <c r="B2186" s="16" t="s">
        <v>8987</v>
      </c>
      <c r="C2186" s="20" t="s">
        <v>8988</v>
      </c>
      <c r="D2186" s="21"/>
      <c r="E2186" s="22" t="s">
        <v>8989</v>
      </c>
      <c r="H2186" s="23" t="s">
        <v>8847</v>
      </c>
      <c r="I2186" s="21"/>
      <c r="J2186" s="25"/>
      <c r="K2186" s="26" t="s">
        <v>44</v>
      </c>
      <c r="L2186" s="16"/>
      <c r="M2186" s="21"/>
    </row>
    <row r="2187">
      <c r="A2187" s="28">
        <v>46232.0</v>
      </c>
      <c r="B2187" s="16" t="s">
        <v>8990</v>
      </c>
      <c r="C2187" s="20" t="s">
        <v>8991</v>
      </c>
      <c r="D2187" s="21"/>
      <c r="E2187" s="22" t="s">
        <v>8992</v>
      </c>
      <c r="H2187" s="23" t="s">
        <v>8993</v>
      </c>
      <c r="I2187" s="21"/>
      <c r="J2187" s="25"/>
      <c r="K2187" s="26" t="s">
        <v>44</v>
      </c>
      <c r="L2187" s="16"/>
      <c r="M2187" s="21"/>
    </row>
    <row r="2188">
      <c r="A2188" s="28">
        <v>46232.0</v>
      </c>
      <c r="B2188" s="16" t="s">
        <v>8994</v>
      </c>
      <c r="C2188" s="20" t="s">
        <v>8995</v>
      </c>
      <c r="D2188" s="21"/>
      <c r="E2188" s="22" t="s">
        <v>8996</v>
      </c>
      <c r="H2188" s="23" t="s">
        <v>800</v>
      </c>
      <c r="I2188" s="21"/>
      <c r="J2188" s="25"/>
      <c r="K2188" s="26" t="s">
        <v>44</v>
      </c>
      <c r="L2188" s="16"/>
      <c r="M2188" s="21"/>
    </row>
    <row r="2189">
      <c r="A2189" s="28">
        <v>46232.0</v>
      </c>
      <c r="B2189" s="16" t="s">
        <v>8997</v>
      </c>
      <c r="C2189" s="20" t="s">
        <v>8998</v>
      </c>
      <c r="D2189" s="21"/>
      <c r="E2189" s="22" t="s">
        <v>8999</v>
      </c>
      <c r="H2189" s="23" t="s">
        <v>2283</v>
      </c>
      <c r="I2189" s="21"/>
      <c r="J2189" s="25"/>
      <c r="K2189" s="26" t="s">
        <v>44</v>
      </c>
      <c r="L2189" s="16"/>
      <c r="M2189" s="21"/>
    </row>
    <row r="2190">
      <c r="A2190" s="28">
        <v>46232.0</v>
      </c>
      <c r="B2190" s="16" t="s">
        <v>9000</v>
      </c>
      <c r="C2190" s="20" t="s">
        <v>9001</v>
      </c>
      <c r="D2190" s="21"/>
      <c r="E2190" s="22" t="s">
        <v>9002</v>
      </c>
      <c r="H2190" s="23" t="s">
        <v>57</v>
      </c>
      <c r="I2190" s="21"/>
      <c r="J2190" s="25"/>
      <c r="K2190" s="26" t="s">
        <v>44</v>
      </c>
      <c r="L2190" s="16"/>
      <c r="M2190" s="21"/>
    </row>
    <row r="2191">
      <c r="A2191" s="28">
        <v>46232.0</v>
      </c>
      <c r="B2191" s="16" t="s">
        <v>9003</v>
      </c>
      <c r="C2191" s="20" t="s">
        <v>9004</v>
      </c>
      <c r="D2191" s="21"/>
      <c r="E2191" s="22" t="s">
        <v>9005</v>
      </c>
      <c r="H2191" s="23" t="s">
        <v>487</v>
      </c>
      <c r="I2191" s="21"/>
      <c r="J2191" s="25"/>
      <c r="K2191" s="26" t="s">
        <v>44</v>
      </c>
      <c r="L2191" s="16"/>
      <c r="M2191" s="21"/>
    </row>
    <row r="2192">
      <c r="A2192" s="28">
        <v>46232.0</v>
      </c>
      <c r="B2192" s="16" t="s">
        <v>9006</v>
      </c>
      <c r="C2192" s="20" t="s">
        <v>9007</v>
      </c>
      <c r="D2192" s="21"/>
      <c r="E2192" s="22" t="s">
        <v>9008</v>
      </c>
      <c r="H2192" s="23" t="s">
        <v>1557</v>
      </c>
      <c r="I2192" s="21"/>
      <c r="J2192" s="25"/>
      <c r="K2192" s="26" t="s">
        <v>44</v>
      </c>
      <c r="L2192" s="16"/>
      <c r="M2192" s="21"/>
    </row>
    <row r="2193">
      <c r="A2193" s="28">
        <v>46232.0</v>
      </c>
      <c r="B2193" s="16" t="s">
        <v>9009</v>
      </c>
      <c r="C2193" s="20" t="s">
        <v>9010</v>
      </c>
      <c r="D2193" s="21"/>
      <c r="E2193" s="22" t="s">
        <v>9011</v>
      </c>
      <c r="H2193" s="23" t="s">
        <v>8757</v>
      </c>
      <c r="I2193" s="21"/>
      <c r="J2193" s="25"/>
      <c r="K2193" s="26" t="s">
        <v>44</v>
      </c>
      <c r="L2193" s="16"/>
      <c r="M2193" s="21"/>
    </row>
    <row r="2194">
      <c r="A2194" s="28">
        <v>46232.0</v>
      </c>
      <c r="B2194" s="16" t="s">
        <v>9012</v>
      </c>
      <c r="C2194" s="20" t="s">
        <v>9013</v>
      </c>
      <c r="D2194" s="21"/>
      <c r="E2194" s="22" t="s">
        <v>9014</v>
      </c>
      <c r="H2194" s="23" t="s">
        <v>65</v>
      </c>
      <c r="I2194" s="21"/>
      <c r="J2194" s="25"/>
      <c r="K2194" s="26" t="s">
        <v>44</v>
      </c>
      <c r="L2194" s="16"/>
      <c r="M2194" s="21"/>
    </row>
    <row r="2195">
      <c r="A2195" s="28">
        <v>46232.0</v>
      </c>
      <c r="B2195" s="16" t="s">
        <v>9015</v>
      </c>
      <c r="C2195" s="20" t="s">
        <v>9016</v>
      </c>
      <c r="D2195" s="21"/>
      <c r="E2195" s="22" t="s">
        <v>9017</v>
      </c>
      <c r="H2195" s="23" t="s">
        <v>48</v>
      </c>
      <c r="I2195" s="21"/>
      <c r="J2195" s="25"/>
      <c r="K2195" s="26" t="s">
        <v>44</v>
      </c>
      <c r="L2195" s="16"/>
      <c r="M2195" s="21"/>
    </row>
    <row r="2196">
      <c r="A2196" s="28">
        <v>46232.0</v>
      </c>
      <c r="B2196" s="16" t="s">
        <v>9018</v>
      </c>
      <c r="C2196" s="20" t="s">
        <v>9019</v>
      </c>
      <c r="D2196" s="21"/>
      <c r="E2196" s="22" t="s">
        <v>9020</v>
      </c>
      <c r="H2196" s="23" t="s">
        <v>3595</v>
      </c>
      <c r="I2196" s="21"/>
      <c r="J2196" s="25"/>
      <c r="K2196" s="26" t="s">
        <v>44</v>
      </c>
      <c r="L2196" s="16"/>
      <c r="M2196" s="21"/>
    </row>
    <row r="2197">
      <c r="A2197" s="28">
        <v>46232.0</v>
      </c>
      <c r="B2197" s="16" t="s">
        <v>9021</v>
      </c>
      <c r="C2197" s="20" t="s">
        <v>9022</v>
      </c>
      <c r="D2197" s="21"/>
      <c r="E2197" s="22" t="s">
        <v>9023</v>
      </c>
      <c r="H2197" s="23" t="s">
        <v>5513</v>
      </c>
      <c r="I2197" s="21"/>
      <c r="J2197" s="25"/>
      <c r="K2197" s="26" t="s">
        <v>44</v>
      </c>
      <c r="L2197" s="16"/>
      <c r="M2197" s="21"/>
    </row>
    <row r="2198">
      <c r="A2198" s="28">
        <v>46232.0</v>
      </c>
      <c r="B2198" s="16" t="s">
        <v>9024</v>
      </c>
      <c r="C2198" s="20" t="s">
        <v>9025</v>
      </c>
      <c r="D2198" s="21"/>
      <c r="E2198" s="22" t="s">
        <v>9026</v>
      </c>
      <c r="H2198" s="23" t="s">
        <v>57</v>
      </c>
      <c r="I2198" s="21"/>
      <c r="J2198" s="25"/>
      <c r="K2198" s="26" t="s">
        <v>44</v>
      </c>
      <c r="L2198" s="16"/>
      <c r="M2198" s="21"/>
    </row>
    <row r="2199">
      <c r="A2199" s="28">
        <v>46232.0</v>
      </c>
      <c r="B2199" s="16" t="s">
        <v>9027</v>
      </c>
      <c r="C2199" s="20" t="s">
        <v>9028</v>
      </c>
      <c r="D2199" s="21"/>
      <c r="E2199" s="22" t="s">
        <v>9029</v>
      </c>
      <c r="H2199" s="23" t="s">
        <v>6028</v>
      </c>
      <c r="I2199" s="21"/>
      <c r="J2199" s="25"/>
      <c r="K2199" s="26" t="s">
        <v>44</v>
      </c>
      <c r="L2199" s="16"/>
      <c r="M2199" s="21"/>
    </row>
    <row r="2200">
      <c r="A2200" s="28">
        <v>46232.0</v>
      </c>
      <c r="B2200" s="16" t="s">
        <v>9030</v>
      </c>
      <c r="C2200" s="20" t="s">
        <v>9031</v>
      </c>
      <c r="D2200" s="21"/>
      <c r="E2200" s="22" t="s">
        <v>9032</v>
      </c>
      <c r="H2200" s="23" t="s">
        <v>487</v>
      </c>
      <c r="I2200" s="21"/>
      <c r="J2200" s="25"/>
      <c r="K2200" s="26" t="s">
        <v>44</v>
      </c>
      <c r="L2200" s="16"/>
      <c r="M2200" s="21"/>
    </row>
    <row r="2201">
      <c r="A2201" s="28">
        <v>46232.0</v>
      </c>
      <c r="B2201" s="16" t="s">
        <v>9033</v>
      </c>
      <c r="C2201" s="20" t="s">
        <v>9034</v>
      </c>
      <c r="D2201" s="21"/>
      <c r="E2201" s="22" t="s">
        <v>9035</v>
      </c>
      <c r="H2201" s="23" t="s">
        <v>2637</v>
      </c>
      <c r="I2201" s="21"/>
      <c r="J2201" s="25"/>
      <c r="K2201" s="26" t="s">
        <v>44</v>
      </c>
      <c r="L2201" s="16"/>
      <c r="M2201" s="21"/>
    </row>
    <row r="2202">
      <c r="A2202" s="28">
        <v>46232.0</v>
      </c>
      <c r="B2202" s="16" t="s">
        <v>9036</v>
      </c>
      <c r="C2202" s="20" t="s">
        <v>9037</v>
      </c>
      <c r="D2202" s="21"/>
      <c r="E2202" s="22" t="s">
        <v>9038</v>
      </c>
      <c r="H2202" s="23" t="s">
        <v>48</v>
      </c>
      <c r="I2202" s="21"/>
      <c r="J2202" s="25"/>
      <c r="K2202" s="26" t="s">
        <v>44</v>
      </c>
      <c r="L2202" s="16"/>
      <c r="M2202" s="21"/>
    </row>
    <row r="2203">
      <c r="A2203" s="28">
        <v>46232.0</v>
      </c>
      <c r="B2203" s="16" t="s">
        <v>9039</v>
      </c>
      <c r="C2203" s="20" t="s">
        <v>9040</v>
      </c>
      <c r="D2203" s="21"/>
      <c r="E2203" s="22" t="s">
        <v>9041</v>
      </c>
      <c r="H2203" s="23" t="s">
        <v>8883</v>
      </c>
      <c r="I2203" s="21"/>
      <c r="J2203" s="25"/>
      <c r="K2203" s="26" t="s">
        <v>44</v>
      </c>
      <c r="L2203" s="16"/>
      <c r="M2203" s="21"/>
    </row>
    <row r="2204">
      <c r="A2204" s="28">
        <v>46232.0</v>
      </c>
      <c r="B2204" s="16" t="s">
        <v>9042</v>
      </c>
      <c r="C2204" s="20" t="s">
        <v>9043</v>
      </c>
      <c r="D2204" s="21"/>
      <c r="E2204" s="22" t="s">
        <v>9044</v>
      </c>
      <c r="H2204" s="23" t="s">
        <v>2268</v>
      </c>
      <c r="I2204" s="21"/>
      <c r="J2204" s="25"/>
      <c r="K2204" s="26" t="s">
        <v>44</v>
      </c>
      <c r="L2204" s="16"/>
      <c r="M2204" s="21"/>
    </row>
    <row r="2205">
      <c r="A2205" s="28">
        <v>46232.0</v>
      </c>
      <c r="B2205" s="16" t="s">
        <v>9045</v>
      </c>
      <c r="C2205" s="20" t="s">
        <v>9046</v>
      </c>
      <c r="D2205" s="21"/>
      <c r="E2205" s="22" t="s">
        <v>9047</v>
      </c>
      <c r="H2205" s="23" t="s">
        <v>80</v>
      </c>
      <c r="I2205" s="21"/>
      <c r="J2205" s="25"/>
      <c r="K2205" s="26" t="s">
        <v>44</v>
      </c>
      <c r="L2205" s="16"/>
      <c r="M2205" s="21"/>
    </row>
    <row r="2206">
      <c r="A2206" s="28">
        <v>46232.0</v>
      </c>
      <c r="B2206" s="16" t="s">
        <v>9048</v>
      </c>
      <c r="C2206" s="20" t="s">
        <v>9049</v>
      </c>
      <c r="D2206" s="21"/>
      <c r="E2206" s="22" t="s">
        <v>9050</v>
      </c>
      <c r="H2206" s="23" t="s">
        <v>5132</v>
      </c>
      <c r="I2206" s="21"/>
      <c r="J2206" s="25"/>
      <c r="K2206" s="26" t="s">
        <v>44</v>
      </c>
      <c r="L2206" s="16"/>
      <c r="M2206" s="21"/>
    </row>
    <row r="2207">
      <c r="A2207" s="28">
        <v>46232.0</v>
      </c>
      <c r="B2207" s="16" t="s">
        <v>9051</v>
      </c>
      <c r="C2207" s="20" t="s">
        <v>9052</v>
      </c>
      <c r="D2207" s="21"/>
      <c r="E2207" s="22" t="s">
        <v>9053</v>
      </c>
      <c r="H2207" s="23" t="s">
        <v>69</v>
      </c>
      <c r="I2207" s="21"/>
      <c r="J2207" s="25"/>
      <c r="K2207" s="26" t="s">
        <v>44</v>
      </c>
      <c r="L2207" s="16"/>
      <c r="M2207" s="21"/>
    </row>
    <row r="2208">
      <c r="A2208" s="28">
        <v>46232.0</v>
      </c>
      <c r="B2208" s="16" t="s">
        <v>9054</v>
      </c>
      <c r="C2208" s="20" t="s">
        <v>9055</v>
      </c>
      <c r="D2208" s="21"/>
      <c r="E2208" s="22" t="s">
        <v>9056</v>
      </c>
      <c r="H2208" s="23" t="s">
        <v>1141</v>
      </c>
      <c r="I2208" s="21"/>
      <c r="J2208" s="25"/>
      <c r="K2208" s="26" t="s">
        <v>44</v>
      </c>
      <c r="L2208" s="16"/>
      <c r="M2208" s="21"/>
    </row>
    <row r="2209">
      <c r="A2209" s="28">
        <v>46232.0</v>
      </c>
      <c r="B2209" s="16" t="s">
        <v>9057</v>
      </c>
      <c r="C2209" s="20" t="s">
        <v>9058</v>
      </c>
      <c r="D2209" s="21"/>
      <c r="E2209" s="22" t="s">
        <v>9059</v>
      </c>
      <c r="H2209" s="23" t="s">
        <v>9060</v>
      </c>
      <c r="I2209" s="21"/>
      <c r="J2209" s="25"/>
      <c r="K2209" s="26" t="s">
        <v>44</v>
      </c>
      <c r="L2209" s="16"/>
      <c r="M2209" s="21"/>
    </row>
    <row r="2210">
      <c r="A2210" s="28">
        <v>46232.0</v>
      </c>
      <c r="B2210" s="16" t="s">
        <v>9061</v>
      </c>
      <c r="C2210" s="20" t="s">
        <v>9062</v>
      </c>
      <c r="D2210" s="21"/>
      <c r="E2210" s="22" t="s">
        <v>9063</v>
      </c>
      <c r="H2210" s="23" t="s">
        <v>4681</v>
      </c>
      <c r="I2210" s="21"/>
      <c r="J2210" s="25"/>
      <c r="K2210" s="26" t="s">
        <v>44</v>
      </c>
      <c r="L2210" s="16"/>
      <c r="M2210" s="21"/>
    </row>
    <row r="2211">
      <c r="A2211" s="28">
        <v>46232.0</v>
      </c>
      <c r="B2211" s="16" t="s">
        <v>9064</v>
      </c>
      <c r="C2211" s="20" t="s">
        <v>9065</v>
      </c>
      <c r="D2211" s="21"/>
      <c r="E2211" s="22" t="s">
        <v>9066</v>
      </c>
      <c r="H2211" s="23" t="s">
        <v>751</v>
      </c>
      <c r="I2211" s="21"/>
      <c r="J2211" s="25"/>
      <c r="K2211" s="26" t="s">
        <v>44</v>
      </c>
      <c r="L2211" s="16"/>
      <c r="M2211" s="21"/>
    </row>
    <row r="2212">
      <c r="A2212" s="28">
        <v>46232.0</v>
      </c>
      <c r="B2212" s="16" t="s">
        <v>9067</v>
      </c>
      <c r="C2212" s="20" t="s">
        <v>9068</v>
      </c>
      <c r="D2212" s="21"/>
      <c r="E2212" s="22" t="s">
        <v>9069</v>
      </c>
      <c r="H2212" s="23" t="s">
        <v>4889</v>
      </c>
      <c r="I2212" s="21"/>
      <c r="J2212" s="25"/>
      <c r="K2212" s="26" t="s">
        <v>44</v>
      </c>
      <c r="L2212" s="16"/>
      <c r="M2212" s="21"/>
    </row>
    <row r="2213">
      <c r="A2213" s="28">
        <v>46232.0</v>
      </c>
      <c r="B2213" s="16" t="s">
        <v>9070</v>
      </c>
      <c r="C2213" s="20" t="s">
        <v>9071</v>
      </c>
      <c r="D2213" s="21"/>
      <c r="E2213" s="22" t="s">
        <v>9072</v>
      </c>
      <c r="H2213" s="23" t="s">
        <v>960</v>
      </c>
      <c r="I2213" s="21"/>
      <c r="J2213" s="25"/>
      <c r="K2213" s="26" t="s">
        <v>44</v>
      </c>
      <c r="L2213" s="16"/>
      <c r="M2213" s="21"/>
    </row>
    <row r="2214">
      <c r="A2214" s="28">
        <v>46232.0</v>
      </c>
      <c r="B2214" s="16" t="s">
        <v>9073</v>
      </c>
      <c r="C2214" s="20" t="s">
        <v>9074</v>
      </c>
      <c r="D2214" s="21"/>
      <c r="E2214" s="22" t="s">
        <v>9075</v>
      </c>
      <c r="H2214" s="23" t="s">
        <v>47</v>
      </c>
      <c r="I2214" s="21"/>
      <c r="J2214" s="25"/>
      <c r="K2214" s="26" t="s">
        <v>44</v>
      </c>
      <c r="L2214" s="16"/>
      <c r="M2214" s="21"/>
    </row>
    <row r="2215">
      <c r="A2215" s="28">
        <v>46232.0</v>
      </c>
      <c r="B2215" s="16" t="s">
        <v>9076</v>
      </c>
      <c r="C2215" s="20" t="s">
        <v>9077</v>
      </c>
      <c r="D2215" s="21"/>
      <c r="E2215" s="22" t="s">
        <v>9078</v>
      </c>
      <c r="H2215" s="23" t="s">
        <v>751</v>
      </c>
      <c r="I2215" s="21"/>
      <c r="J2215" s="25"/>
      <c r="K2215" s="26" t="s">
        <v>44</v>
      </c>
      <c r="L2215" s="16"/>
      <c r="M2215" s="21"/>
    </row>
    <row r="2216">
      <c r="A2216" s="28">
        <v>46232.0</v>
      </c>
      <c r="B2216" s="16" t="s">
        <v>9079</v>
      </c>
      <c r="C2216" s="20" t="s">
        <v>9080</v>
      </c>
      <c r="D2216" s="21"/>
      <c r="E2216" s="22" t="s">
        <v>9081</v>
      </c>
      <c r="H2216" s="23" t="s">
        <v>1016</v>
      </c>
      <c r="I2216" s="21"/>
      <c r="J2216" s="25"/>
      <c r="K2216" s="26" t="s">
        <v>44</v>
      </c>
      <c r="L2216" s="16"/>
      <c r="M2216" s="21"/>
    </row>
    <row r="2217">
      <c r="A2217" s="28">
        <v>46232.0</v>
      </c>
      <c r="B2217" s="16" t="s">
        <v>9082</v>
      </c>
      <c r="C2217" s="20" t="s">
        <v>9083</v>
      </c>
      <c r="D2217" s="21"/>
      <c r="E2217" s="22" t="s">
        <v>9084</v>
      </c>
      <c r="H2217" s="23" t="s">
        <v>80</v>
      </c>
      <c r="I2217" s="21"/>
      <c r="J2217" s="25"/>
      <c r="K2217" s="26" t="s">
        <v>44</v>
      </c>
      <c r="L2217" s="16"/>
      <c r="M2217" s="21"/>
    </row>
    <row r="2218">
      <c r="A2218" s="28">
        <v>46232.0</v>
      </c>
      <c r="B2218" s="16" t="s">
        <v>9085</v>
      </c>
      <c r="C2218" s="20" t="s">
        <v>9086</v>
      </c>
      <c r="D2218" s="21"/>
      <c r="E2218" s="22" t="s">
        <v>9087</v>
      </c>
      <c r="H2218" s="23" t="s">
        <v>69</v>
      </c>
      <c r="I2218" s="21"/>
      <c r="J2218" s="25"/>
      <c r="K2218" s="26" t="s">
        <v>44</v>
      </c>
      <c r="L2218" s="16"/>
      <c r="M2218" s="21"/>
    </row>
    <row r="2219">
      <c r="A2219" s="28">
        <v>46232.0</v>
      </c>
      <c r="B2219" s="16" t="s">
        <v>9088</v>
      </c>
      <c r="C2219" s="20" t="s">
        <v>9089</v>
      </c>
      <c r="D2219" s="21"/>
      <c r="E2219" s="22" t="s">
        <v>9090</v>
      </c>
      <c r="H2219" s="23" t="s">
        <v>9091</v>
      </c>
      <c r="I2219" s="21"/>
      <c r="J2219" s="25"/>
      <c r="K2219" s="26" t="s">
        <v>44</v>
      </c>
      <c r="L2219" s="16"/>
      <c r="M2219" s="21"/>
    </row>
    <row r="2220">
      <c r="A2220" s="28">
        <v>46232.0</v>
      </c>
      <c r="B2220" s="16" t="s">
        <v>9092</v>
      </c>
      <c r="C2220" s="20" t="s">
        <v>9093</v>
      </c>
      <c r="D2220" s="21"/>
      <c r="E2220" s="22" t="s">
        <v>9094</v>
      </c>
      <c r="H2220" s="23" t="s">
        <v>8653</v>
      </c>
      <c r="I2220" s="21"/>
      <c r="J2220" s="25"/>
      <c r="K2220" s="26" t="s">
        <v>44</v>
      </c>
      <c r="L2220" s="16"/>
      <c r="M2220" s="21"/>
    </row>
    <row r="2221">
      <c r="A2221" s="28">
        <v>46232.0</v>
      </c>
      <c r="B2221" s="16" t="s">
        <v>9095</v>
      </c>
      <c r="C2221" s="20" t="s">
        <v>9096</v>
      </c>
      <c r="D2221" s="21"/>
      <c r="E2221" s="22" t="s">
        <v>9097</v>
      </c>
      <c r="H2221" s="23" t="s">
        <v>1016</v>
      </c>
      <c r="I2221" s="21"/>
      <c r="J2221" s="25"/>
      <c r="K2221" s="26" t="s">
        <v>44</v>
      </c>
      <c r="L2221" s="16"/>
      <c r="M2221" s="21"/>
    </row>
    <row r="2222">
      <c r="A2222" s="28">
        <v>46232.0</v>
      </c>
      <c r="B2222" s="16" t="s">
        <v>9098</v>
      </c>
      <c r="C2222" s="20" t="s">
        <v>9099</v>
      </c>
      <c r="D2222" s="21"/>
      <c r="E2222" s="22" t="s">
        <v>9100</v>
      </c>
      <c r="H2222" s="23" t="s">
        <v>65</v>
      </c>
      <c r="I2222" s="21"/>
      <c r="J2222" s="25"/>
      <c r="K2222" s="26" t="s">
        <v>44</v>
      </c>
      <c r="L2222" s="16"/>
      <c r="M2222" s="21"/>
    </row>
    <row r="2223">
      <c r="A2223" s="28">
        <v>46232.0</v>
      </c>
      <c r="B2223" s="16" t="s">
        <v>9101</v>
      </c>
      <c r="C2223" s="20" t="s">
        <v>9102</v>
      </c>
      <c r="D2223" s="21"/>
      <c r="E2223" s="22" t="s">
        <v>9103</v>
      </c>
      <c r="H2223" s="23" t="s">
        <v>9104</v>
      </c>
      <c r="I2223" s="21"/>
      <c r="J2223" s="25"/>
      <c r="K2223" s="26" t="s">
        <v>44</v>
      </c>
      <c r="L2223" s="16"/>
      <c r="M2223" s="21"/>
    </row>
    <row r="2224">
      <c r="A2224" s="28">
        <v>46232.0</v>
      </c>
      <c r="B2224" s="16" t="s">
        <v>9105</v>
      </c>
      <c r="C2224" s="20" t="s">
        <v>9106</v>
      </c>
      <c r="D2224" s="21"/>
      <c r="E2224" s="22" t="s">
        <v>9107</v>
      </c>
      <c r="H2224" s="23" t="s">
        <v>2113</v>
      </c>
      <c r="I2224" s="21"/>
      <c r="J2224" s="25"/>
      <c r="K2224" s="26" t="s">
        <v>44</v>
      </c>
      <c r="L2224" s="16"/>
      <c r="M2224" s="21"/>
    </row>
    <row r="2225">
      <c r="A2225" s="28">
        <v>46232.0</v>
      </c>
      <c r="B2225" s="16" t="s">
        <v>9108</v>
      </c>
      <c r="C2225" s="20" t="s">
        <v>9109</v>
      </c>
      <c r="D2225" s="21"/>
      <c r="E2225" s="22" t="s">
        <v>9110</v>
      </c>
      <c r="H2225" s="23" t="s">
        <v>1619</v>
      </c>
      <c r="I2225" s="21"/>
      <c r="J2225" s="25"/>
      <c r="K2225" s="26" t="s">
        <v>44</v>
      </c>
      <c r="L2225" s="16"/>
      <c r="M2225" s="21"/>
    </row>
    <row r="2226">
      <c r="A2226" s="28">
        <v>46232.0</v>
      </c>
      <c r="B2226" s="16" t="s">
        <v>9111</v>
      </c>
      <c r="C2226" s="20" t="s">
        <v>9112</v>
      </c>
      <c r="D2226" s="21"/>
      <c r="E2226" s="22" t="s">
        <v>9113</v>
      </c>
      <c r="H2226" s="23" t="s">
        <v>5502</v>
      </c>
      <c r="I2226" s="21"/>
      <c r="J2226" s="25"/>
      <c r="K2226" s="26" t="s">
        <v>44</v>
      </c>
      <c r="L2226" s="16"/>
      <c r="M2226" s="21"/>
    </row>
    <row r="2227">
      <c r="A2227" s="28">
        <v>46232.0</v>
      </c>
      <c r="B2227" s="16" t="s">
        <v>9114</v>
      </c>
      <c r="C2227" s="20" t="s">
        <v>9115</v>
      </c>
      <c r="D2227" s="21"/>
      <c r="E2227" s="22" t="s">
        <v>9116</v>
      </c>
      <c r="H2227" s="23" t="s">
        <v>5502</v>
      </c>
      <c r="I2227" s="21"/>
      <c r="J2227" s="25"/>
      <c r="K2227" s="26" t="s">
        <v>44</v>
      </c>
      <c r="L2227" s="16"/>
      <c r="M2227" s="21"/>
    </row>
    <row r="2228">
      <c r="A2228" s="28">
        <v>46232.0</v>
      </c>
      <c r="B2228" s="16" t="s">
        <v>9117</v>
      </c>
      <c r="C2228" s="20" t="s">
        <v>9118</v>
      </c>
      <c r="D2228" s="21"/>
      <c r="E2228" s="22" t="s">
        <v>9119</v>
      </c>
      <c r="H2228" s="23" t="s">
        <v>48</v>
      </c>
      <c r="I2228" s="21"/>
      <c r="J2228" s="25"/>
      <c r="K2228" s="26" t="s">
        <v>44</v>
      </c>
      <c r="L2228" s="16"/>
      <c r="M2228" s="21"/>
    </row>
    <row r="2229">
      <c r="A2229" s="28">
        <v>46232.0</v>
      </c>
      <c r="B2229" s="16" t="s">
        <v>9120</v>
      </c>
      <c r="C2229" s="20" t="s">
        <v>9121</v>
      </c>
      <c r="D2229" s="21"/>
      <c r="E2229" s="22" t="s">
        <v>9122</v>
      </c>
      <c r="H2229" s="23" t="s">
        <v>1239</v>
      </c>
      <c r="I2229" s="21"/>
      <c r="J2229" s="25"/>
      <c r="K2229" s="26" t="s">
        <v>44</v>
      </c>
      <c r="L2229" s="16"/>
      <c r="M2229" s="21"/>
    </row>
    <row r="2230">
      <c r="A2230" s="28">
        <v>46232.0</v>
      </c>
      <c r="B2230" s="16" t="s">
        <v>9123</v>
      </c>
      <c r="C2230" s="20" t="s">
        <v>9124</v>
      </c>
      <c r="D2230" s="21"/>
      <c r="E2230" s="22" t="s">
        <v>9125</v>
      </c>
      <c r="H2230" s="23" t="s">
        <v>9126</v>
      </c>
      <c r="I2230" s="21"/>
      <c r="J2230" s="25"/>
      <c r="K2230" s="26" t="s">
        <v>44</v>
      </c>
      <c r="L2230" s="16"/>
      <c r="M2230" s="21"/>
    </row>
    <row r="2231">
      <c r="A2231" s="28">
        <v>46232.0</v>
      </c>
      <c r="B2231" s="16" t="s">
        <v>9127</v>
      </c>
      <c r="C2231" s="20" t="s">
        <v>9128</v>
      </c>
      <c r="D2231" s="21"/>
      <c r="E2231" s="22" t="s">
        <v>9129</v>
      </c>
      <c r="H2231" s="23" t="s">
        <v>1738</v>
      </c>
      <c r="I2231" s="21"/>
      <c r="J2231" s="25"/>
      <c r="K2231" s="26" t="s">
        <v>44</v>
      </c>
      <c r="L2231" s="16"/>
      <c r="M2231" s="21"/>
    </row>
    <row r="2232">
      <c r="A2232" s="28">
        <v>46232.0</v>
      </c>
      <c r="B2232" s="16" t="s">
        <v>9130</v>
      </c>
      <c r="C2232" s="20" t="s">
        <v>9131</v>
      </c>
      <c r="D2232" s="21"/>
      <c r="E2232" s="22" t="s">
        <v>9132</v>
      </c>
      <c r="H2232" s="23" t="s">
        <v>800</v>
      </c>
      <c r="I2232" s="21"/>
      <c r="J2232" s="25"/>
      <c r="K2232" s="26" t="s">
        <v>44</v>
      </c>
      <c r="L2232" s="16"/>
      <c r="M2232" s="21"/>
    </row>
    <row r="2233">
      <c r="A2233" s="28">
        <v>46232.0</v>
      </c>
      <c r="B2233" s="16" t="s">
        <v>9133</v>
      </c>
      <c r="C2233" s="20" t="s">
        <v>9134</v>
      </c>
      <c r="D2233" s="21"/>
      <c r="E2233" s="22" t="s">
        <v>9135</v>
      </c>
      <c r="H2233" s="23" t="s">
        <v>57</v>
      </c>
      <c r="I2233" s="21"/>
      <c r="J2233" s="25"/>
      <c r="K2233" s="26" t="s">
        <v>44</v>
      </c>
      <c r="L2233" s="16"/>
      <c r="M2233" s="21"/>
    </row>
    <row r="2234">
      <c r="A2234" s="28">
        <v>46232.0</v>
      </c>
      <c r="B2234" s="16" t="s">
        <v>9136</v>
      </c>
      <c r="C2234" s="20" t="s">
        <v>9137</v>
      </c>
      <c r="D2234" s="21"/>
      <c r="E2234" s="22" t="s">
        <v>9138</v>
      </c>
      <c r="H2234" s="23" t="s">
        <v>856</v>
      </c>
      <c r="I2234" s="21"/>
      <c r="J2234" s="25"/>
      <c r="K2234" s="26" t="s">
        <v>44</v>
      </c>
      <c r="L2234" s="16"/>
      <c r="M2234" s="21"/>
    </row>
    <row r="2235">
      <c r="A2235" s="28">
        <v>46232.0</v>
      </c>
      <c r="B2235" s="16" t="s">
        <v>9139</v>
      </c>
      <c r="C2235" s="20" t="s">
        <v>9140</v>
      </c>
      <c r="D2235" s="21"/>
      <c r="E2235" s="22" t="s">
        <v>9141</v>
      </c>
      <c r="H2235" s="23" t="s">
        <v>48</v>
      </c>
      <c r="I2235" s="21"/>
      <c r="J2235" s="25"/>
      <c r="K2235" s="26" t="s">
        <v>44</v>
      </c>
      <c r="L2235" s="16"/>
      <c r="M2235" s="21"/>
    </row>
    <row r="2236">
      <c r="A2236" s="28">
        <v>46232.0</v>
      </c>
      <c r="B2236" s="16" t="s">
        <v>9142</v>
      </c>
      <c r="C2236" s="20" t="s">
        <v>9143</v>
      </c>
      <c r="D2236" s="21"/>
      <c r="E2236" s="22" t="s">
        <v>9144</v>
      </c>
      <c r="H2236" s="23" t="s">
        <v>9145</v>
      </c>
      <c r="I2236" s="21"/>
      <c r="J2236" s="25"/>
      <c r="K2236" s="26" t="s">
        <v>44</v>
      </c>
      <c r="L2236" s="16"/>
      <c r="M2236" s="21"/>
    </row>
    <row r="2237">
      <c r="A2237" s="28">
        <v>46232.0</v>
      </c>
      <c r="B2237" s="16" t="s">
        <v>9146</v>
      </c>
      <c r="C2237" s="20" t="s">
        <v>9147</v>
      </c>
      <c r="D2237" s="21"/>
      <c r="E2237" s="22" t="s">
        <v>9148</v>
      </c>
      <c r="H2237" s="23" t="s">
        <v>856</v>
      </c>
      <c r="I2237" s="21"/>
      <c r="J2237" s="25"/>
      <c r="K2237" s="26" t="s">
        <v>44</v>
      </c>
      <c r="L2237" s="16"/>
      <c r="M2237" s="21"/>
    </row>
    <row r="2238">
      <c r="A2238" s="28">
        <v>46232.0</v>
      </c>
      <c r="B2238" s="16" t="s">
        <v>9149</v>
      </c>
      <c r="C2238" s="20" t="s">
        <v>9150</v>
      </c>
      <c r="D2238" s="21"/>
      <c r="E2238" s="22" t="s">
        <v>9151</v>
      </c>
      <c r="H2238" s="23" t="s">
        <v>9152</v>
      </c>
      <c r="I2238" s="21"/>
      <c r="J2238" s="25"/>
      <c r="K2238" s="26" t="s">
        <v>44</v>
      </c>
      <c r="L2238" s="16"/>
      <c r="M2238" s="21"/>
    </row>
    <row r="2239">
      <c r="A2239" s="28">
        <v>46232.0</v>
      </c>
      <c r="B2239" s="16" t="s">
        <v>9153</v>
      </c>
      <c r="C2239" s="20" t="s">
        <v>9154</v>
      </c>
      <c r="D2239" s="21"/>
      <c r="E2239" s="22" t="s">
        <v>9155</v>
      </c>
      <c r="H2239" s="23" t="s">
        <v>9156</v>
      </c>
      <c r="I2239" s="21"/>
      <c r="J2239" s="25"/>
      <c r="K2239" s="26" t="s">
        <v>44</v>
      </c>
      <c r="L2239" s="16"/>
      <c r="M2239" s="21"/>
    </row>
    <row r="2240">
      <c r="A2240" s="28">
        <v>46232.0</v>
      </c>
      <c r="B2240" s="16" t="s">
        <v>9157</v>
      </c>
      <c r="C2240" s="20" t="s">
        <v>9158</v>
      </c>
      <c r="D2240" s="21"/>
      <c r="E2240" s="22" t="s">
        <v>9159</v>
      </c>
      <c r="H2240" s="23" t="s">
        <v>5527</v>
      </c>
      <c r="I2240" s="21"/>
      <c r="J2240" s="25"/>
      <c r="K2240" s="26" t="s">
        <v>44</v>
      </c>
      <c r="L2240" s="16"/>
      <c r="M2240" s="21"/>
    </row>
    <row r="2241">
      <c r="A2241" s="28">
        <v>46232.0</v>
      </c>
      <c r="B2241" s="16" t="s">
        <v>9160</v>
      </c>
      <c r="C2241" s="20" t="s">
        <v>9161</v>
      </c>
      <c r="D2241" s="21"/>
      <c r="E2241" s="22" t="s">
        <v>9162</v>
      </c>
      <c r="H2241" s="23" t="s">
        <v>9163</v>
      </c>
      <c r="I2241" s="21"/>
      <c r="J2241" s="25"/>
      <c r="K2241" s="26" t="s">
        <v>44</v>
      </c>
      <c r="L2241" s="16"/>
      <c r="M2241" s="21"/>
    </row>
    <row r="2242">
      <c r="A2242" s="28">
        <v>46232.0</v>
      </c>
      <c r="B2242" s="16" t="s">
        <v>9164</v>
      </c>
      <c r="C2242" s="20" t="s">
        <v>9165</v>
      </c>
      <c r="D2242" s="21"/>
      <c r="E2242" s="22" t="s">
        <v>9166</v>
      </c>
      <c r="H2242" s="23" t="s">
        <v>9167</v>
      </c>
      <c r="I2242" s="21"/>
      <c r="J2242" s="25"/>
      <c r="K2242" s="26" t="s">
        <v>44</v>
      </c>
      <c r="L2242" s="16"/>
      <c r="M2242" s="21"/>
    </row>
    <row r="2243">
      <c r="A2243" s="28">
        <v>46232.0</v>
      </c>
      <c r="B2243" s="16" t="s">
        <v>9168</v>
      </c>
      <c r="C2243" s="20" t="s">
        <v>9169</v>
      </c>
      <c r="D2243" s="21"/>
      <c r="E2243" s="22" t="s">
        <v>9170</v>
      </c>
      <c r="H2243" s="23" t="s">
        <v>8993</v>
      </c>
      <c r="I2243" s="21"/>
      <c r="J2243" s="25"/>
      <c r="K2243" s="26" t="s">
        <v>44</v>
      </c>
      <c r="L2243" s="16"/>
      <c r="M2243" s="21"/>
    </row>
    <row r="2244">
      <c r="A2244" s="28">
        <v>46232.0</v>
      </c>
      <c r="B2244" s="16" t="s">
        <v>9171</v>
      </c>
      <c r="C2244" s="20" t="s">
        <v>9172</v>
      </c>
      <c r="D2244" s="21"/>
      <c r="E2244" s="22" t="s">
        <v>9173</v>
      </c>
      <c r="H2244" s="23" t="s">
        <v>8836</v>
      </c>
      <c r="I2244" s="21"/>
      <c r="J2244" s="25"/>
      <c r="K2244" s="26" t="s">
        <v>44</v>
      </c>
      <c r="L2244" s="16"/>
      <c r="M2244" s="21"/>
    </row>
    <row r="2245">
      <c r="A2245" s="28">
        <v>46232.0</v>
      </c>
      <c r="B2245" s="16" t="s">
        <v>9174</v>
      </c>
      <c r="C2245" s="20" t="s">
        <v>9175</v>
      </c>
      <c r="D2245" s="21"/>
      <c r="E2245" s="22" t="s">
        <v>9176</v>
      </c>
      <c r="H2245" s="23" t="s">
        <v>622</v>
      </c>
      <c r="I2245" s="21"/>
      <c r="J2245" s="25"/>
      <c r="K2245" s="26" t="s">
        <v>44</v>
      </c>
      <c r="L2245" s="16"/>
      <c r="M2245" s="21"/>
    </row>
    <row r="2246">
      <c r="A2246" s="28">
        <v>46232.0</v>
      </c>
      <c r="B2246" s="16" t="s">
        <v>9177</v>
      </c>
      <c r="C2246" s="20" t="s">
        <v>9178</v>
      </c>
      <c r="D2246" s="21"/>
      <c r="E2246" s="22" t="s">
        <v>9179</v>
      </c>
      <c r="H2246" s="23" t="s">
        <v>1992</v>
      </c>
      <c r="I2246" s="21"/>
      <c r="J2246" s="25"/>
      <c r="K2246" s="26" t="s">
        <v>44</v>
      </c>
      <c r="L2246" s="16"/>
      <c r="M2246" s="21"/>
    </row>
    <row r="2247">
      <c r="A2247" s="28">
        <v>46232.0</v>
      </c>
      <c r="B2247" s="16" t="s">
        <v>9180</v>
      </c>
      <c r="C2247" s="20" t="s">
        <v>9181</v>
      </c>
      <c r="D2247" s="21"/>
      <c r="E2247" s="22" t="s">
        <v>9182</v>
      </c>
      <c r="H2247" s="23" t="s">
        <v>9183</v>
      </c>
      <c r="I2247" s="21"/>
      <c r="J2247" s="25"/>
      <c r="K2247" s="26" t="s">
        <v>44</v>
      </c>
      <c r="L2247" s="16"/>
      <c r="M2247" s="21"/>
    </row>
    <row r="2248">
      <c r="A2248" s="28">
        <v>46232.0</v>
      </c>
      <c r="B2248" s="16" t="s">
        <v>9184</v>
      </c>
      <c r="C2248" s="20" t="s">
        <v>9185</v>
      </c>
      <c r="D2248" s="21"/>
      <c r="E2248" s="22" t="s">
        <v>9186</v>
      </c>
      <c r="H2248" s="23" t="s">
        <v>713</v>
      </c>
      <c r="I2248" s="21"/>
      <c r="J2248" s="25"/>
      <c r="K2248" s="26" t="s">
        <v>44</v>
      </c>
      <c r="L2248" s="16"/>
      <c r="M2248" s="21"/>
    </row>
    <row r="2249">
      <c r="A2249" s="28">
        <v>46232.0</v>
      </c>
      <c r="B2249" s="16" t="s">
        <v>9187</v>
      </c>
      <c r="C2249" s="20" t="s">
        <v>9188</v>
      </c>
      <c r="D2249" s="21"/>
      <c r="E2249" s="22" t="s">
        <v>9189</v>
      </c>
      <c r="H2249" s="23" t="s">
        <v>9190</v>
      </c>
      <c r="I2249" s="21"/>
      <c r="J2249" s="25"/>
      <c r="K2249" s="26" t="s">
        <v>44</v>
      </c>
      <c r="L2249" s="16"/>
      <c r="M2249" s="21"/>
    </row>
    <row r="2250">
      <c r="A2250" s="28">
        <v>46232.0</v>
      </c>
      <c r="B2250" s="16" t="s">
        <v>9191</v>
      </c>
      <c r="C2250" s="20" t="s">
        <v>9192</v>
      </c>
      <c r="D2250" s="21"/>
      <c r="E2250" s="22" t="s">
        <v>9193</v>
      </c>
      <c r="H2250" s="23" t="s">
        <v>9194</v>
      </c>
      <c r="I2250" s="21"/>
      <c r="J2250" s="25"/>
      <c r="K2250" s="26" t="s">
        <v>44</v>
      </c>
      <c r="L2250" s="16"/>
      <c r="M2250" s="21"/>
    </row>
    <row r="2251">
      <c r="A2251" s="28">
        <v>46232.0</v>
      </c>
      <c r="B2251" s="16" t="s">
        <v>9195</v>
      </c>
      <c r="C2251" s="20" t="s">
        <v>9196</v>
      </c>
      <c r="D2251" s="21"/>
      <c r="E2251" s="22" t="s">
        <v>9197</v>
      </c>
      <c r="H2251" s="23" t="s">
        <v>57</v>
      </c>
      <c r="I2251" s="21"/>
      <c r="J2251" s="25"/>
      <c r="K2251" s="26" t="s">
        <v>44</v>
      </c>
      <c r="L2251" s="16"/>
      <c r="M2251" s="21"/>
    </row>
    <row r="2252">
      <c r="A2252" s="28">
        <v>46232.0</v>
      </c>
      <c r="B2252" s="16" t="s">
        <v>9198</v>
      </c>
      <c r="C2252" s="20" t="s">
        <v>9199</v>
      </c>
      <c r="D2252" s="21"/>
      <c r="E2252" s="22" t="s">
        <v>9200</v>
      </c>
      <c r="H2252" s="23" t="s">
        <v>7775</v>
      </c>
      <c r="I2252" s="21"/>
      <c r="J2252" s="25"/>
      <c r="K2252" s="26" t="s">
        <v>44</v>
      </c>
      <c r="L2252" s="16"/>
      <c r="M2252" s="21"/>
    </row>
    <row r="2253">
      <c r="A2253" s="28">
        <v>46232.0</v>
      </c>
      <c r="B2253" s="16" t="s">
        <v>9201</v>
      </c>
      <c r="C2253" s="20" t="s">
        <v>9202</v>
      </c>
      <c r="D2253" s="21"/>
      <c r="E2253" s="22" t="s">
        <v>9203</v>
      </c>
      <c r="H2253" s="23" t="s">
        <v>127</v>
      </c>
      <c r="I2253" s="21"/>
      <c r="J2253" s="25"/>
      <c r="K2253" s="26" t="s">
        <v>44</v>
      </c>
      <c r="L2253" s="16"/>
      <c r="M2253" s="21"/>
    </row>
    <row r="2254">
      <c r="A2254" s="28">
        <v>46232.0</v>
      </c>
      <c r="B2254" s="16" t="s">
        <v>9204</v>
      </c>
      <c r="C2254" s="20" t="s">
        <v>9205</v>
      </c>
      <c r="D2254" s="21"/>
      <c r="E2254" s="22" t="s">
        <v>9206</v>
      </c>
      <c r="H2254" s="23" t="s">
        <v>111</v>
      </c>
      <c r="I2254" s="21"/>
      <c r="J2254" s="25"/>
      <c r="K2254" s="26" t="s">
        <v>44</v>
      </c>
      <c r="L2254" s="16"/>
      <c r="M2254" s="21"/>
    </row>
    <row r="2255">
      <c r="A2255" s="28">
        <v>46232.0</v>
      </c>
      <c r="B2255" s="16" t="s">
        <v>9207</v>
      </c>
      <c r="C2255" s="20" t="s">
        <v>9208</v>
      </c>
      <c r="D2255" s="21"/>
      <c r="E2255" s="22" t="s">
        <v>9209</v>
      </c>
      <c r="H2255" s="23" t="s">
        <v>48</v>
      </c>
      <c r="I2255" s="21"/>
      <c r="J2255" s="25"/>
      <c r="K2255" s="26" t="s">
        <v>44</v>
      </c>
      <c r="L2255" s="16"/>
      <c r="M2255" s="21"/>
    </row>
    <row r="2256">
      <c r="A2256" s="28">
        <v>46232.0</v>
      </c>
      <c r="B2256" s="16" t="s">
        <v>9210</v>
      </c>
      <c r="C2256" s="20" t="s">
        <v>9211</v>
      </c>
      <c r="D2256" s="21"/>
      <c r="E2256" s="22" t="s">
        <v>9212</v>
      </c>
      <c r="H2256" s="23" t="s">
        <v>48</v>
      </c>
      <c r="I2256" s="21"/>
      <c r="J2256" s="25"/>
      <c r="K2256" s="26" t="s">
        <v>44</v>
      </c>
      <c r="L2256" s="16"/>
      <c r="M2256" s="21"/>
    </row>
    <row r="2257">
      <c r="A2257" s="28">
        <v>46232.0</v>
      </c>
      <c r="B2257" s="16" t="s">
        <v>9213</v>
      </c>
      <c r="C2257" s="20" t="s">
        <v>9214</v>
      </c>
      <c r="D2257" s="21"/>
      <c r="E2257" s="22" t="s">
        <v>9215</v>
      </c>
      <c r="H2257" s="23" t="s">
        <v>1992</v>
      </c>
      <c r="I2257" s="21"/>
      <c r="J2257" s="25"/>
      <c r="K2257" s="26" t="s">
        <v>44</v>
      </c>
      <c r="L2257" s="16"/>
      <c r="M2257" s="21"/>
    </row>
    <row r="2258">
      <c r="A2258" s="28">
        <v>46232.0</v>
      </c>
      <c r="B2258" s="16" t="s">
        <v>9216</v>
      </c>
      <c r="C2258" s="20" t="s">
        <v>9217</v>
      </c>
      <c r="D2258" s="21"/>
      <c r="E2258" s="22" t="s">
        <v>9218</v>
      </c>
      <c r="H2258" s="23" t="s">
        <v>4733</v>
      </c>
      <c r="I2258" s="21"/>
      <c r="J2258" s="25"/>
      <c r="K2258" s="26" t="s">
        <v>44</v>
      </c>
      <c r="L2258" s="16"/>
      <c r="M2258" s="21"/>
    </row>
    <row r="2259">
      <c r="A2259" s="28">
        <v>46232.0</v>
      </c>
      <c r="B2259" s="16" t="s">
        <v>9219</v>
      </c>
      <c r="C2259" s="20" t="s">
        <v>9220</v>
      </c>
      <c r="D2259" s="21"/>
      <c r="E2259" s="22" t="s">
        <v>9221</v>
      </c>
      <c r="H2259" s="23" t="s">
        <v>9222</v>
      </c>
      <c r="I2259" s="21"/>
      <c r="J2259" s="25"/>
      <c r="K2259" s="26" t="s">
        <v>44</v>
      </c>
      <c r="L2259" s="16"/>
      <c r="M2259" s="21"/>
    </row>
    <row r="2260">
      <c r="A2260" s="28">
        <v>46232.0</v>
      </c>
      <c r="B2260" s="16" t="s">
        <v>9223</v>
      </c>
      <c r="C2260" s="20" t="s">
        <v>9224</v>
      </c>
      <c r="D2260" s="21"/>
      <c r="E2260" s="22" t="s">
        <v>9225</v>
      </c>
      <c r="H2260" s="23" t="s">
        <v>57</v>
      </c>
      <c r="I2260" s="21"/>
      <c r="J2260" s="25"/>
      <c r="K2260" s="26" t="s">
        <v>44</v>
      </c>
      <c r="L2260" s="16"/>
      <c r="M2260" s="21"/>
    </row>
    <row r="2261">
      <c r="A2261" s="28">
        <v>46232.0</v>
      </c>
      <c r="B2261" s="16" t="s">
        <v>9226</v>
      </c>
      <c r="C2261" s="46" t="s">
        <v>9227</v>
      </c>
      <c r="D2261" s="21"/>
      <c r="E2261" s="22" t="s">
        <v>9228</v>
      </c>
      <c r="H2261" s="23" t="s">
        <v>5527</v>
      </c>
      <c r="I2261" s="21"/>
      <c r="J2261" s="25"/>
      <c r="K2261" s="26" t="s">
        <v>44</v>
      </c>
      <c r="L2261" s="16"/>
      <c r="M2261" s="21"/>
    </row>
    <row r="2262">
      <c r="A2262" s="28">
        <v>46232.0</v>
      </c>
      <c r="B2262" s="16" t="s">
        <v>9229</v>
      </c>
      <c r="C2262" s="20" t="s">
        <v>9230</v>
      </c>
      <c r="D2262" s="21"/>
      <c r="E2262" s="22" t="s">
        <v>9231</v>
      </c>
      <c r="H2262" s="23" t="s">
        <v>5527</v>
      </c>
      <c r="I2262" s="21"/>
      <c r="J2262" s="25"/>
      <c r="K2262" s="26" t="s">
        <v>44</v>
      </c>
      <c r="L2262" s="16"/>
      <c r="M2262" s="21"/>
    </row>
    <row r="2263">
      <c r="A2263" s="28">
        <v>46232.0</v>
      </c>
      <c r="B2263" s="16" t="s">
        <v>9232</v>
      </c>
      <c r="C2263" s="20" t="s">
        <v>9233</v>
      </c>
      <c r="D2263" s="21"/>
      <c r="E2263" s="22" t="s">
        <v>9234</v>
      </c>
      <c r="H2263" s="23" t="s">
        <v>713</v>
      </c>
      <c r="I2263" s="21"/>
      <c r="J2263" s="25"/>
      <c r="K2263" s="26" t="s">
        <v>44</v>
      </c>
      <c r="L2263" s="16"/>
      <c r="M2263" s="21"/>
    </row>
    <row r="2264">
      <c r="A2264" s="28">
        <v>46232.0</v>
      </c>
      <c r="B2264" s="16" t="s">
        <v>9235</v>
      </c>
      <c r="C2264" s="20" t="s">
        <v>9236</v>
      </c>
      <c r="D2264" s="21"/>
      <c r="E2264" s="22" t="s">
        <v>9237</v>
      </c>
      <c r="H2264" s="23" t="s">
        <v>9238</v>
      </c>
      <c r="I2264" s="21"/>
      <c r="J2264" s="25"/>
      <c r="K2264" s="26" t="s">
        <v>44</v>
      </c>
      <c r="L2264" s="16"/>
      <c r="M2264" s="21"/>
    </row>
    <row r="2265">
      <c r="A2265" s="28">
        <v>46232.0</v>
      </c>
      <c r="B2265" s="16" t="s">
        <v>9239</v>
      </c>
      <c r="C2265" s="20" t="s">
        <v>9240</v>
      </c>
      <c r="D2265" s="21"/>
      <c r="E2265" s="22" t="s">
        <v>9241</v>
      </c>
      <c r="H2265" s="23" t="s">
        <v>4826</v>
      </c>
      <c r="I2265" s="21"/>
      <c r="J2265" s="25"/>
      <c r="K2265" s="26" t="s">
        <v>44</v>
      </c>
      <c r="L2265" s="16"/>
      <c r="M2265" s="21"/>
    </row>
    <row r="2266">
      <c r="A2266" s="28">
        <v>46232.0</v>
      </c>
      <c r="B2266" s="16" t="s">
        <v>9242</v>
      </c>
      <c r="C2266" s="20" t="s">
        <v>9243</v>
      </c>
      <c r="D2266" s="21"/>
      <c r="E2266" s="22" t="s">
        <v>9244</v>
      </c>
      <c r="H2266" s="23" t="s">
        <v>1619</v>
      </c>
      <c r="I2266" s="21"/>
      <c r="J2266" s="25"/>
      <c r="K2266" s="26" t="s">
        <v>44</v>
      </c>
      <c r="L2266" s="16"/>
      <c r="M2266" s="21"/>
    </row>
    <row r="2267">
      <c r="A2267" s="28">
        <v>46232.0</v>
      </c>
      <c r="B2267" s="16" t="s">
        <v>9245</v>
      </c>
      <c r="C2267" s="20" t="s">
        <v>9246</v>
      </c>
      <c r="D2267" s="21"/>
      <c r="E2267" s="22" t="s">
        <v>9247</v>
      </c>
      <c r="H2267" s="23" t="s">
        <v>821</v>
      </c>
      <c r="I2267" s="21"/>
      <c r="J2267" s="25"/>
      <c r="K2267" s="26" t="s">
        <v>44</v>
      </c>
      <c r="L2267" s="16"/>
      <c r="M2267" s="21"/>
    </row>
    <row r="2268">
      <c r="A2268" s="28">
        <v>46232.0</v>
      </c>
      <c r="B2268" s="16" t="s">
        <v>9248</v>
      </c>
      <c r="C2268" s="20" t="s">
        <v>9249</v>
      </c>
      <c r="D2268" s="21"/>
      <c r="E2268" s="22" t="s">
        <v>9250</v>
      </c>
      <c r="H2268" s="23" t="s">
        <v>1137</v>
      </c>
      <c r="I2268" s="21"/>
      <c r="J2268" s="25"/>
      <c r="K2268" s="26" t="s">
        <v>44</v>
      </c>
      <c r="L2268" s="16"/>
      <c r="M2268" s="21"/>
    </row>
    <row r="2269">
      <c r="A2269" s="28">
        <v>46232.0</v>
      </c>
      <c r="B2269" s="16" t="s">
        <v>9251</v>
      </c>
      <c r="C2269" s="20" t="s">
        <v>9252</v>
      </c>
      <c r="D2269" s="21"/>
      <c r="E2269" s="22" t="s">
        <v>9253</v>
      </c>
      <c r="H2269" s="23" t="s">
        <v>604</v>
      </c>
      <c r="I2269" s="21"/>
      <c r="J2269" s="25"/>
      <c r="K2269" s="26" t="s">
        <v>44</v>
      </c>
      <c r="L2269" s="16"/>
      <c r="M2269" s="21"/>
    </row>
    <row r="2270">
      <c r="A2270" s="28">
        <v>46232.0</v>
      </c>
      <c r="B2270" s="16" t="s">
        <v>9254</v>
      </c>
      <c r="C2270" s="20" t="s">
        <v>9255</v>
      </c>
      <c r="D2270" s="21"/>
      <c r="E2270" s="22" t="s">
        <v>9256</v>
      </c>
      <c r="H2270" s="23" t="s">
        <v>1619</v>
      </c>
      <c r="I2270" s="21"/>
      <c r="J2270" s="25"/>
      <c r="K2270" s="26" t="s">
        <v>44</v>
      </c>
      <c r="L2270" s="16"/>
      <c r="M2270" s="21"/>
    </row>
    <row r="2271">
      <c r="A2271" s="28">
        <v>46232.0</v>
      </c>
      <c r="B2271" s="16" t="s">
        <v>9257</v>
      </c>
      <c r="C2271" s="20" t="s">
        <v>9258</v>
      </c>
      <c r="D2271" s="21"/>
      <c r="E2271" s="22" t="s">
        <v>9259</v>
      </c>
      <c r="H2271" s="23" t="s">
        <v>9260</v>
      </c>
      <c r="I2271" s="21"/>
      <c r="J2271" s="25"/>
      <c r="K2271" s="26" t="s">
        <v>44</v>
      </c>
      <c r="L2271" s="16"/>
      <c r="M2271" s="21"/>
    </row>
    <row r="2272">
      <c r="A2272" s="28">
        <v>46232.0</v>
      </c>
      <c r="B2272" s="16" t="s">
        <v>9261</v>
      </c>
      <c r="C2272" s="20" t="s">
        <v>9262</v>
      </c>
      <c r="D2272" s="21"/>
      <c r="E2272" s="22" t="s">
        <v>9263</v>
      </c>
      <c r="H2272" s="23" t="s">
        <v>9264</v>
      </c>
      <c r="I2272" s="21"/>
      <c r="J2272" s="25"/>
      <c r="K2272" s="26" t="s">
        <v>44</v>
      </c>
      <c r="L2272" s="16"/>
      <c r="M2272" s="21"/>
    </row>
    <row r="2273">
      <c r="A2273" s="28">
        <v>46232.0</v>
      </c>
      <c r="B2273" s="16" t="s">
        <v>9265</v>
      </c>
      <c r="C2273" s="20" t="s">
        <v>9266</v>
      </c>
      <c r="D2273" s="21"/>
      <c r="E2273" s="22" t="s">
        <v>9267</v>
      </c>
      <c r="H2273" s="23" t="s">
        <v>713</v>
      </c>
      <c r="I2273" s="21"/>
      <c r="J2273" s="25"/>
      <c r="K2273" s="26" t="s">
        <v>44</v>
      </c>
      <c r="L2273" s="16"/>
      <c r="M2273" s="21"/>
    </row>
    <row r="2274">
      <c r="A2274" s="28">
        <v>46232.0</v>
      </c>
      <c r="B2274" s="16" t="s">
        <v>9268</v>
      </c>
      <c r="C2274" s="20" t="s">
        <v>9269</v>
      </c>
      <c r="D2274" s="21"/>
      <c r="E2274" s="22" t="s">
        <v>9270</v>
      </c>
      <c r="H2274" s="23" t="s">
        <v>1153</v>
      </c>
      <c r="I2274" s="21"/>
      <c r="J2274" s="25"/>
      <c r="K2274" s="26" t="s">
        <v>44</v>
      </c>
      <c r="L2274" s="16"/>
      <c r="M2274" s="21"/>
    </row>
    <row r="2275">
      <c r="A2275" s="28">
        <v>46232.0</v>
      </c>
      <c r="B2275" s="16" t="s">
        <v>9271</v>
      </c>
      <c r="C2275" s="20" t="s">
        <v>9272</v>
      </c>
      <c r="D2275" s="21"/>
      <c r="E2275" s="22" t="s">
        <v>9273</v>
      </c>
      <c r="H2275" s="23" t="s">
        <v>1819</v>
      </c>
      <c r="I2275" s="21"/>
      <c r="J2275" s="25"/>
      <c r="K2275" s="26" t="s">
        <v>44</v>
      </c>
      <c r="L2275" s="16"/>
      <c r="M2275" s="21"/>
    </row>
    <row r="2276">
      <c r="A2276" s="28">
        <v>46232.0</v>
      </c>
      <c r="B2276" s="16" t="s">
        <v>9274</v>
      </c>
      <c r="C2276" s="20" t="s">
        <v>9275</v>
      </c>
      <c r="D2276" s="21"/>
      <c r="E2276" s="22" t="s">
        <v>9276</v>
      </c>
      <c r="H2276" s="23" t="s">
        <v>1608</v>
      </c>
      <c r="I2276" s="21"/>
      <c r="J2276" s="25"/>
      <c r="K2276" s="26" t="s">
        <v>44</v>
      </c>
      <c r="L2276" s="16"/>
      <c r="M2276" s="21"/>
    </row>
    <row r="2277">
      <c r="A2277" s="28">
        <v>46232.0</v>
      </c>
      <c r="B2277" s="16" t="s">
        <v>9277</v>
      </c>
      <c r="C2277" s="20" t="s">
        <v>9278</v>
      </c>
      <c r="D2277" s="21"/>
      <c r="E2277" s="22" t="s">
        <v>9279</v>
      </c>
      <c r="H2277" s="23" t="s">
        <v>69</v>
      </c>
      <c r="I2277" s="21"/>
      <c r="J2277" s="25"/>
      <c r="K2277" s="26" t="s">
        <v>44</v>
      </c>
      <c r="L2277" s="16"/>
      <c r="M2277" s="21"/>
    </row>
    <row r="2278">
      <c r="A2278" s="28">
        <v>46232.0</v>
      </c>
      <c r="B2278" s="16" t="s">
        <v>9280</v>
      </c>
      <c r="C2278" s="20" t="s">
        <v>9281</v>
      </c>
      <c r="D2278" s="21"/>
      <c r="E2278" s="22" t="s">
        <v>9282</v>
      </c>
      <c r="H2278" s="23" t="s">
        <v>652</v>
      </c>
      <c r="I2278" s="21"/>
      <c r="J2278" s="25"/>
      <c r="K2278" s="26" t="s">
        <v>44</v>
      </c>
      <c r="L2278" s="16"/>
      <c r="M2278" s="21"/>
    </row>
    <row r="2279">
      <c r="A2279" s="28">
        <v>46232.0</v>
      </c>
      <c r="B2279" s="16" t="s">
        <v>9283</v>
      </c>
      <c r="C2279" s="20" t="s">
        <v>9284</v>
      </c>
      <c r="D2279" s="21"/>
      <c r="E2279" s="22" t="s">
        <v>9285</v>
      </c>
      <c r="H2279" s="23" t="s">
        <v>111</v>
      </c>
      <c r="I2279" s="21"/>
      <c r="J2279" s="25"/>
      <c r="K2279" s="26" t="s">
        <v>44</v>
      </c>
      <c r="L2279" s="16"/>
      <c r="M2279" s="21"/>
    </row>
    <row r="2280">
      <c r="A2280" s="28">
        <v>46232.0</v>
      </c>
      <c r="B2280" s="16" t="s">
        <v>9286</v>
      </c>
      <c r="C2280" s="20" t="s">
        <v>9287</v>
      </c>
      <c r="D2280" s="21"/>
      <c r="E2280" s="22" t="s">
        <v>9288</v>
      </c>
      <c r="H2280" s="23" t="s">
        <v>48</v>
      </c>
      <c r="I2280" s="21"/>
      <c r="J2280" s="25"/>
      <c r="K2280" s="26" t="s">
        <v>44</v>
      </c>
      <c r="L2280" s="16"/>
      <c r="M2280" s="21"/>
    </row>
    <row r="2281">
      <c r="A2281" s="28">
        <v>46232.0</v>
      </c>
      <c r="B2281" s="16" t="s">
        <v>9289</v>
      </c>
      <c r="C2281" s="20" t="s">
        <v>9290</v>
      </c>
      <c r="D2281" s="21"/>
      <c r="E2281" s="22" t="s">
        <v>9291</v>
      </c>
      <c r="H2281" s="23" t="s">
        <v>9292</v>
      </c>
      <c r="I2281" s="21"/>
      <c r="J2281" s="25"/>
      <c r="K2281" s="26" t="s">
        <v>44</v>
      </c>
      <c r="L2281" s="16"/>
      <c r="M2281" s="21"/>
    </row>
    <row r="2282">
      <c r="A2282" s="28">
        <v>46232.0</v>
      </c>
      <c r="B2282" s="16" t="s">
        <v>9293</v>
      </c>
      <c r="C2282" s="20" t="s">
        <v>9294</v>
      </c>
      <c r="D2282" s="21"/>
      <c r="E2282" s="22" t="s">
        <v>9295</v>
      </c>
      <c r="H2282" s="23" t="s">
        <v>1819</v>
      </c>
      <c r="I2282" s="21"/>
      <c r="J2282" s="25"/>
      <c r="K2282" s="26" t="s">
        <v>44</v>
      </c>
      <c r="L2282" s="16"/>
      <c r="M2282" s="21"/>
    </row>
    <row r="2283">
      <c r="A2283" s="28">
        <v>46232.0</v>
      </c>
      <c r="B2283" s="16" t="s">
        <v>9296</v>
      </c>
      <c r="C2283" s="20" t="s">
        <v>9297</v>
      </c>
      <c r="D2283" s="21"/>
      <c r="E2283" s="22" t="s">
        <v>9298</v>
      </c>
      <c r="H2283" s="23" t="s">
        <v>960</v>
      </c>
      <c r="I2283" s="21"/>
      <c r="J2283" s="25"/>
      <c r="K2283" s="26" t="s">
        <v>44</v>
      </c>
      <c r="L2283" s="16"/>
      <c r="M2283" s="21"/>
    </row>
    <row r="2284">
      <c r="A2284" s="28">
        <v>46232.0</v>
      </c>
      <c r="B2284" s="16" t="s">
        <v>9299</v>
      </c>
      <c r="C2284" s="20" t="s">
        <v>9300</v>
      </c>
      <c r="D2284" s="21"/>
      <c r="E2284" s="22" t="s">
        <v>9301</v>
      </c>
      <c r="H2284" s="23" t="s">
        <v>4575</v>
      </c>
      <c r="I2284" s="21"/>
      <c r="J2284" s="25"/>
      <c r="K2284" s="26" t="s">
        <v>44</v>
      </c>
      <c r="L2284" s="16"/>
      <c r="M2284" s="21"/>
    </row>
    <row r="2285">
      <c r="A2285" s="28">
        <v>46232.0</v>
      </c>
      <c r="B2285" s="16" t="s">
        <v>9302</v>
      </c>
      <c r="C2285" s="20" t="s">
        <v>9303</v>
      </c>
      <c r="D2285" s="21"/>
      <c r="E2285" s="22" t="s">
        <v>9304</v>
      </c>
      <c r="H2285" s="23" t="s">
        <v>1898</v>
      </c>
      <c r="I2285" s="21"/>
      <c r="J2285" s="25"/>
      <c r="K2285" s="26" t="s">
        <v>44</v>
      </c>
      <c r="L2285" s="16"/>
      <c r="M2285" s="21"/>
    </row>
    <row r="2286">
      <c r="A2286" s="28">
        <v>46232.0</v>
      </c>
      <c r="B2286" s="16" t="s">
        <v>9305</v>
      </c>
      <c r="C2286" s="20" t="s">
        <v>9306</v>
      </c>
      <c r="D2286" s="21"/>
      <c r="E2286" s="22" t="s">
        <v>9307</v>
      </c>
      <c r="H2286" s="23" t="s">
        <v>2793</v>
      </c>
      <c r="I2286" s="21"/>
      <c r="J2286" s="25"/>
      <c r="K2286" s="26" t="s">
        <v>44</v>
      </c>
      <c r="L2286" s="16"/>
      <c r="M2286" s="21"/>
    </row>
    <row r="2287">
      <c r="A2287" s="28">
        <v>46232.0</v>
      </c>
      <c r="B2287" s="16" t="s">
        <v>9308</v>
      </c>
      <c r="C2287" s="20" t="s">
        <v>9309</v>
      </c>
      <c r="D2287" s="21"/>
      <c r="E2287" s="22" t="s">
        <v>9310</v>
      </c>
      <c r="H2287" s="23" t="s">
        <v>370</v>
      </c>
      <c r="I2287" s="21"/>
      <c r="J2287" s="25"/>
      <c r="K2287" s="26" t="s">
        <v>44</v>
      </c>
      <c r="L2287" s="16"/>
      <c r="M2287" s="21"/>
    </row>
    <row r="2288">
      <c r="A2288" s="28">
        <v>46232.0</v>
      </c>
      <c r="B2288" s="16" t="s">
        <v>9311</v>
      </c>
      <c r="C2288" s="20" t="s">
        <v>9312</v>
      </c>
      <c r="D2288" s="21"/>
      <c r="E2288" s="22" t="s">
        <v>9313</v>
      </c>
      <c r="H2288" s="23" t="s">
        <v>9314</v>
      </c>
      <c r="I2288" s="21"/>
      <c r="J2288" s="25"/>
      <c r="K2288" s="26" t="s">
        <v>44</v>
      </c>
      <c r="L2288" s="16"/>
      <c r="M2288" s="21"/>
    </row>
    <row r="2289">
      <c r="A2289" s="28">
        <v>46232.0</v>
      </c>
      <c r="B2289" s="16" t="s">
        <v>9315</v>
      </c>
      <c r="C2289" s="20" t="s">
        <v>9316</v>
      </c>
      <c r="D2289" s="21"/>
      <c r="E2289" s="22" t="s">
        <v>9317</v>
      </c>
      <c r="H2289" s="23" t="s">
        <v>2637</v>
      </c>
      <c r="I2289" s="21"/>
      <c r="J2289" s="25"/>
      <c r="K2289" s="26" t="s">
        <v>44</v>
      </c>
      <c r="L2289" s="16"/>
      <c r="M2289" s="21"/>
    </row>
    <row r="2290">
      <c r="A2290" s="28">
        <v>46232.0</v>
      </c>
      <c r="B2290" s="16" t="s">
        <v>9318</v>
      </c>
      <c r="C2290" s="20" t="s">
        <v>9319</v>
      </c>
      <c r="D2290" s="21"/>
      <c r="E2290" s="22" t="s">
        <v>9320</v>
      </c>
      <c r="H2290" s="23" t="s">
        <v>487</v>
      </c>
      <c r="I2290" s="21"/>
      <c r="J2290" s="25"/>
      <c r="K2290" s="26" t="s">
        <v>44</v>
      </c>
      <c r="L2290" s="16"/>
      <c r="M2290" s="21"/>
    </row>
    <row r="2291">
      <c r="A2291" s="28">
        <v>46232.0</v>
      </c>
      <c r="B2291" s="16" t="s">
        <v>9321</v>
      </c>
      <c r="C2291" s="20" t="s">
        <v>9322</v>
      </c>
      <c r="D2291" s="21"/>
      <c r="E2291" s="22" t="s">
        <v>9323</v>
      </c>
      <c r="H2291" s="23" t="s">
        <v>299</v>
      </c>
      <c r="I2291" s="21"/>
      <c r="J2291" s="25"/>
      <c r="K2291" s="26" t="s">
        <v>44</v>
      </c>
      <c r="L2291" s="16"/>
      <c r="M2291" s="21"/>
    </row>
    <row r="2292">
      <c r="A2292" s="28">
        <v>46232.0</v>
      </c>
      <c r="B2292" s="16" t="s">
        <v>9324</v>
      </c>
      <c r="C2292" s="20" t="s">
        <v>9325</v>
      </c>
      <c r="D2292" s="21"/>
      <c r="E2292" s="22" t="s">
        <v>9326</v>
      </c>
      <c r="H2292" s="23" t="s">
        <v>1448</v>
      </c>
      <c r="I2292" s="21"/>
      <c r="J2292" s="25"/>
      <c r="K2292" s="26" t="s">
        <v>44</v>
      </c>
      <c r="L2292" s="16"/>
      <c r="M2292" s="21"/>
    </row>
    <row r="2293">
      <c r="A2293" s="28">
        <v>46232.0</v>
      </c>
      <c r="B2293" s="16" t="s">
        <v>9327</v>
      </c>
      <c r="C2293" s="20" t="s">
        <v>9328</v>
      </c>
      <c r="D2293" s="21"/>
      <c r="E2293" s="22" t="s">
        <v>9329</v>
      </c>
      <c r="H2293" s="23" t="s">
        <v>9330</v>
      </c>
      <c r="I2293" s="21"/>
      <c r="J2293" s="25"/>
      <c r="K2293" s="26" t="s">
        <v>44</v>
      </c>
      <c r="L2293" s="16"/>
      <c r="M2293" s="21"/>
    </row>
    <row r="2294">
      <c r="A2294" s="28">
        <v>46232.0</v>
      </c>
      <c r="B2294" s="16" t="s">
        <v>9331</v>
      </c>
      <c r="C2294" s="20" t="s">
        <v>9332</v>
      </c>
      <c r="D2294" s="21"/>
      <c r="E2294" s="22" t="s">
        <v>9333</v>
      </c>
      <c r="H2294" s="23" t="s">
        <v>1503</v>
      </c>
      <c r="I2294" s="21"/>
      <c r="J2294" s="25"/>
      <c r="K2294" s="26" t="s">
        <v>44</v>
      </c>
      <c r="L2294" s="16"/>
      <c r="M2294" s="21"/>
    </row>
    <row r="2295">
      <c r="A2295" s="28">
        <v>46232.0</v>
      </c>
      <c r="B2295" s="16" t="s">
        <v>9334</v>
      </c>
      <c r="C2295" s="20" t="s">
        <v>9335</v>
      </c>
      <c r="D2295" s="21"/>
      <c r="E2295" s="22" t="s">
        <v>9336</v>
      </c>
      <c r="H2295" s="23" t="s">
        <v>1708</v>
      </c>
      <c r="I2295" s="21"/>
      <c r="J2295" s="25"/>
      <c r="K2295" s="26" t="s">
        <v>44</v>
      </c>
      <c r="L2295" s="16"/>
      <c r="M2295" s="21"/>
    </row>
    <row r="2296">
      <c r="A2296" s="28">
        <v>46232.0</v>
      </c>
      <c r="B2296" s="16" t="s">
        <v>9337</v>
      </c>
      <c r="C2296" s="20" t="s">
        <v>9338</v>
      </c>
      <c r="D2296" s="21"/>
      <c r="E2296" s="22" t="s">
        <v>9339</v>
      </c>
      <c r="H2296" s="23" t="s">
        <v>48</v>
      </c>
      <c r="I2296" s="21"/>
      <c r="J2296" s="25"/>
      <c r="K2296" s="26" t="s">
        <v>44</v>
      </c>
      <c r="L2296" s="16"/>
      <c r="M2296" s="21"/>
    </row>
    <row r="2297">
      <c r="A2297" s="28">
        <v>46232.0</v>
      </c>
      <c r="B2297" s="16" t="s">
        <v>9340</v>
      </c>
      <c r="C2297" s="20" t="s">
        <v>9341</v>
      </c>
      <c r="D2297" s="21"/>
      <c r="E2297" s="22" t="s">
        <v>9342</v>
      </c>
      <c r="H2297" s="23" t="s">
        <v>599</v>
      </c>
      <c r="I2297" s="21"/>
      <c r="J2297" s="25"/>
      <c r="K2297" s="26" t="s">
        <v>44</v>
      </c>
      <c r="L2297" s="16"/>
      <c r="M2297" s="21"/>
    </row>
    <row r="2298">
      <c r="A2298" s="28">
        <v>46232.0</v>
      </c>
      <c r="B2298" s="16" t="s">
        <v>9343</v>
      </c>
      <c r="C2298" s="20" t="s">
        <v>9344</v>
      </c>
      <c r="D2298" s="21"/>
      <c r="E2298" s="22" t="s">
        <v>9345</v>
      </c>
      <c r="H2298" s="23" t="s">
        <v>1848</v>
      </c>
      <c r="I2298" s="21"/>
      <c r="J2298" s="25"/>
      <c r="K2298" s="26" t="s">
        <v>44</v>
      </c>
      <c r="L2298" s="16"/>
      <c r="M2298" s="21"/>
    </row>
    <row r="2299">
      <c r="A2299" s="28">
        <v>46232.0</v>
      </c>
      <c r="B2299" s="16" t="s">
        <v>9346</v>
      </c>
      <c r="C2299" s="20" t="s">
        <v>9347</v>
      </c>
      <c r="D2299" s="21"/>
      <c r="E2299" s="22" t="s">
        <v>9348</v>
      </c>
      <c r="H2299" s="23" t="s">
        <v>487</v>
      </c>
      <c r="I2299" s="21"/>
      <c r="J2299" s="25"/>
      <c r="K2299" s="26" t="s">
        <v>44</v>
      </c>
      <c r="L2299" s="16"/>
      <c r="M2299" s="21"/>
    </row>
    <row r="2300">
      <c r="A2300" s="28">
        <v>46232.0</v>
      </c>
      <c r="B2300" s="16" t="s">
        <v>9349</v>
      </c>
      <c r="C2300" s="20" t="s">
        <v>9350</v>
      </c>
      <c r="D2300" s="21"/>
      <c r="E2300" s="22" t="s">
        <v>9351</v>
      </c>
      <c r="H2300" s="23" t="s">
        <v>800</v>
      </c>
      <c r="I2300" s="21"/>
      <c r="J2300" s="25"/>
      <c r="K2300" s="26" t="s">
        <v>44</v>
      </c>
      <c r="L2300" s="16"/>
      <c r="M2300" s="21"/>
    </row>
    <row r="2301">
      <c r="A2301" s="28">
        <v>46232.0</v>
      </c>
      <c r="B2301" s="16" t="s">
        <v>9352</v>
      </c>
      <c r="C2301" s="46" t="s">
        <v>9353</v>
      </c>
      <c r="D2301" s="21"/>
      <c r="E2301" s="22" t="s">
        <v>9354</v>
      </c>
      <c r="H2301" s="23" t="s">
        <v>1871</v>
      </c>
      <c r="I2301" s="21"/>
      <c r="J2301" s="25"/>
      <c r="K2301" s="26" t="s">
        <v>44</v>
      </c>
      <c r="L2301" s="16"/>
      <c r="M2301" s="21"/>
    </row>
    <row r="2302">
      <c r="A2302" s="28">
        <v>46232.0</v>
      </c>
      <c r="B2302" s="16" t="s">
        <v>9355</v>
      </c>
      <c r="C2302" s="20" t="s">
        <v>9356</v>
      </c>
      <c r="D2302" s="21"/>
      <c r="E2302" s="22" t="s">
        <v>9357</v>
      </c>
      <c r="H2302" s="23" t="s">
        <v>9358</v>
      </c>
      <c r="I2302" s="21"/>
      <c r="J2302" s="25"/>
      <c r="K2302" s="26" t="s">
        <v>44</v>
      </c>
      <c r="L2302" s="16"/>
      <c r="M2302" s="21"/>
    </row>
    <row r="2303">
      <c r="A2303" s="28">
        <v>46232.0</v>
      </c>
      <c r="B2303" s="16" t="s">
        <v>9359</v>
      </c>
      <c r="C2303" s="20" t="s">
        <v>9360</v>
      </c>
      <c r="D2303" s="21"/>
      <c r="E2303" s="22" t="s">
        <v>9361</v>
      </c>
      <c r="H2303" s="23" t="s">
        <v>9362</v>
      </c>
      <c r="I2303" s="21"/>
      <c r="J2303" s="25"/>
      <c r="K2303" s="26" t="s">
        <v>44</v>
      </c>
      <c r="L2303" s="16"/>
      <c r="M2303" s="21"/>
    </row>
    <row r="2304">
      <c r="A2304" s="28">
        <v>46232.0</v>
      </c>
      <c r="B2304" s="16" t="s">
        <v>9363</v>
      </c>
      <c r="C2304" s="20" t="s">
        <v>9364</v>
      </c>
      <c r="D2304" s="21"/>
      <c r="E2304" s="22" t="s">
        <v>9365</v>
      </c>
      <c r="H2304" s="23" t="s">
        <v>9366</v>
      </c>
      <c r="I2304" s="21"/>
      <c r="J2304" s="25"/>
      <c r="K2304" s="26" t="s">
        <v>44</v>
      </c>
      <c r="L2304" s="16"/>
      <c r="M2304" s="21"/>
    </row>
    <row r="2305">
      <c r="A2305" s="28">
        <v>46232.0</v>
      </c>
      <c r="B2305" s="16" t="s">
        <v>9367</v>
      </c>
      <c r="C2305" s="20" t="s">
        <v>9368</v>
      </c>
      <c r="D2305" s="21"/>
      <c r="E2305" s="22" t="s">
        <v>9369</v>
      </c>
      <c r="H2305" s="23" t="s">
        <v>7919</v>
      </c>
      <c r="I2305" s="21"/>
      <c r="J2305" s="25"/>
      <c r="K2305" s="26" t="s">
        <v>44</v>
      </c>
      <c r="L2305" s="16"/>
      <c r="M2305" s="21"/>
    </row>
    <row r="2306">
      <c r="A2306" s="28">
        <v>46232.0</v>
      </c>
      <c r="B2306" s="16" t="s">
        <v>9370</v>
      </c>
      <c r="C2306" s="20" t="s">
        <v>9371</v>
      </c>
      <c r="D2306" s="21"/>
      <c r="E2306" s="22" t="s">
        <v>9372</v>
      </c>
      <c r="H2306" s="23" t="s">
        <v>9373</v>
      </c>
      <c r="I2306" s="21"/>
      <c r="J2306" s="25"/>
      <c r="K2306" s="26" t="s">
        <v>44</v>
      </c>
      <c r="L2306" s="16"/>
      <c r="M2306" s="21"/>
    </row>
    <row r="2307">
      <c r="A2307" s="28">
        <v>46232.0</v>
      </c>
      <c r="B2307" s="16" t="s">
        <v>9374</v>
      </c>
      <c r="C2307" s="20" t="s">
        <v>9375</v>
      </c>
      <c r="D2307" s="21"/>
      <c r="E2307" s="22" t="s">
        <v>9376</v>
      </c>
      <c r="H2307" s="23" t="s">
        <v>1200</v>
      </c>
      <c r="I2307" s="21"/>
      <c r="J2307" s="25"/>
      <c r="K2307" s="26" t="s">
        <v>44</v>
      </c>
      <c r="L2307" s="16"/>
      <c r="M2307" s="21"/>
    </row>
    <row r="2308">
      <c r="A2308" s="28">
        <v>46232.0</v>
      </c>
      <c r="B2308" s="16" t="s">
        <v>9377</v>
      </c>
      <c r="C2308" s="20" t="s">
        <v>9378</v>
      </c>
      <c r="D2308" s="21"/>
      <c r="E2308" s="22" t="s">
        <v>9379</v>
      </c>
      <c r="H2308" s="23" t="s">
        <v>9380</v>
      </c>
      <c r="I2308" s="21"/>
      <c r="J2308" s="25"/>
      <c r="K2308" s="26" t="s">
        <v>44</v>
      </c>
      <c r="L2308" s="16"/>
      <c r="M2308" s="21"/>
    </row>
    <row r="2309">
      <c r="A2309" s="28">
        <v>46232.0</v>
      </c>
      <c r="B2309" s="16" t="s">
        <v>9381</v>
      </c>
      <c r="C2309" s="20" t="s">
        <v>9382</v>
      </c>
      <c r="D2309" s="21"/>
      <c r="E2309" s="22" t="s">
        <v>9383</v>
      </c>
      <c r="H2309" s="23" t="s">
        <v>652</v>
      </c>
      <c r="I2309" s="21"/>
      <c r="J2309" s="25"/>
      <c r="K2309" s="26" t="s">
        <v>44</v>
      </c>
      <c r="L2309" s="16"/>
      <c r="M2309" s="21"/>
    </row>
    <row r="2310">
      <c r="A2310" s="28">
        <v>46232.0</v>
      </c>
      <c r="B2310" s="16" t="s">
        <v>9384</v>
      </c>
      <c r="C2310" s="20" t="s">
        <v>9385</v>
      </c>
      <c r="D2310" s="21"/>
      <c r="E2310" s="22" t="s">
        <v>9386</v>
      </c>
      <c r="H2310" s="23" t="s">
        <v>2157</v>
      </c>
      <c r="I2310" s="21"/>
      <c r="J2310" s="25"/>
      <c r="K2310" s="26" t="s">
        <v>44</v>
      </c>
      <c r="L2310" s="16"/>
      <c r="M2310" s="21"/>
    </row>
    <row r="2311">
      <c r="A2311" s="28">
        <v>46232.0</v>
      </c>
      <c r="B2311" s="16" t="s">
        <v>9387</v>
      </c>
      <c r="C2311" s="20" t="s">
        <v>9388</v>
      </c>
      <c r="D2311" s="21"/>
      <c r="E2311" s="22" t="s">
        <v>9389</v>
      </c>
      <c r="H2311" s="23" t="s">
        <v>65</v>
      </c>
      <c r="I2311" s="21"/>
      <c r="J2311" s="25"/>
      <c r="K2311" s="26" t="s">
        <v>44</v>
      </c>
      <c r="L2311" s="16"/>
      <c r="M2311" s="21"/>
    </row>
    <row r="2312">
      <c r="A2312" s="28">
        <v>46232.0</v>
      </c>
      <c r="B2312" s="16" t="s">
        <v>9390</v>
      </c>
      <c r="C2312" s="20" t="s">
        <v>9391</v>
      </c>
      <c r="D2312" s="21"/>
      <c r="E2312" s="22" t="s">
        <v>9392</v>
      </c>
      <c r="H2312" s="23" t="s">
        <v>8589</v>
      </c>
      <c r="I2312" s="21"/>
      <c r="J2312" s="25"/>
      <c r="K2312" s="26" t="s">
        <v>44</v>
      </c>
      <c r="L2312" s="16"/>
      <c r="M2312" s="21"/>
    </row>
    <row r="2313">
      <c r="A2313" s="28">
        <v>46232.0</v>
      </c>
      <c r="B2313" s="16" t="s">
        <v>9393</v>
      </c>
      <c r="C2313" s="20" t="s">
        <v>9394</v>
      </c>
      <c r="D2313" s="21"/>
      <c r="E2313" s="22" t="s">
        <v>9395</v>
      </c>
      <c r="H2313" s="23" t="s">
        <v>9396</v>
      </c>
      <c r="I2313" s="21"/>
      <c r="J2313" s="25"/>
      <c r="K2313" s="26" t="s">
        <v>44</v>
      </c>
      <c r="L2313" s="16"/>
      <c r="M2313" s="21"/>
    </row>
    <row r="2314">
      <c r="A2314" s="28">
        <v>46232.0</v>
      </c>
      <c r="B2314" s="16" t="s">
        <v>9397</v>
      </c>
      <c r="C2314" s="20" t="s">
        <v>9398</v>
      </c>
      <c r="D2314" s="21"/>
      <c r="E2314" s="22" t="s">
        <v>9399</v>
      </c>
      <c r="H2314" s="23" t="s">
        <v>5527</v>
      </c>
      <c r="I2314" s="21"/>
      <c r="J2314" s="25"/>
      <c r="K2314" s="26" t="s">
        <v>44</v>
      </c>
      <c r="L2314" s="16"/>
      <c r="M2314" s="21"/>
    </row>
    <row r="2315">
      <c r="A2315" s="28">
        <v>46232.0</v>
      </c>
      <c r="B2315" s="16" t="s">
        <v>9400</v>
      </c>
      <c r="C2315" s="20" t="s">
        <v>9401</v>
      </c>
      <c r="D2315" s="21"/>
      <c r="E2315" s="22" t="s">
        <v>9402</v>
      </c>
      <c r="H2315" s="23" t="s">
        <v>5457</v>
      </c>
      <c r="I2315" s="21"/>
      <c r="J2315" s="25"/>
      <c r="K2315" s="26" t="s">
        <v>44</v>
      </c>
      <c r="L2315" s="16"/>
      <c r="M2315" s="21"/>
    </row>
    <row r="2316">
      <c r="A2316" s="28">
        <v>46232.0</v>
      </c>
      <c r="B2316" s="16" t="s">
        <v>9403</v>
      </c>
      <c r="C2316" s="20" t="s">
        <v>9404</v>
      </c>
      <c r="D2316" s="21"/>
      <c r="E2316" s="22" t="s">
        <v>9405</v>
      </c>
      <c r="H2316" s="23" t="s">
        <v>1060</v>
      </c>
      <c r="I2316" s="21"/>
      <c r="J2316" s="25"/>
      <c r="K2316" s="26" t="s">
        <v>44</v>
      </c>
      <c r="L2316" s="16"/>
      <c r="M2316" s="21"/>
    </row>
    <row r="2317">
      <c r="A2317" s="28">
        <v>46232.0</v>
      </c>
      <c r="B2317" s="16" t="s">
        <v>9406</v>
      </c>
      <c r="C2317" s="20" t="s">
        <v>9407</v>
      </c>
      <c r="D2317" s="21"/>
      <c r="E2317" s="22" t="s">
        <v>9408</v>
      </c>
      <c r="H2317" s="23" t="s">
        <v>1708</v>
      </c>
      <c r="I2317" s="21"/>
      <c r="J2317" s="25"/>
      <c r="K2317" s="26" t="s">
        <v>44</v>
      </c>
      <c r="L2317" s="16"/>
      <c r="M2317" s="21"/>
    </row>
    <row r="2318">
      <c r="A2318" s="28">
        <v>46232.0</v>
      </c>
      <c r="B2318" s="16" t="s">
        <v>9409</v>
      </c>
      <c r="C2318" s="20" t="s">
        <v>9410</v>
      </c>
      <c r="D2318" s="21"/>
      <c r="E2318" s="22" t="s">
        <v>9411</v>
      </c>
      <c r="H2318" s="23" t="s">
        <v>9412</v>
      </c>
      <c r="I2318" s="21"/>
      <c r="J2318" s="25"/>
      <c r="K2318" s="26" t="s">
        <v>44</v>
      </c>
      <c r="L2318" s="16"/>
      <c r="M2318" s="21"/>
    </row>
    <row r="2319">
      <c r="A2319" s="28">
        <v>46232.0</v>
      </c>
      <c r="B2319" s="16" t="s">
        <v>9413</v>
      </c>
      <c r="C2319" s="20" t="s">
        <v>9414</v>
      </c>
      <c r="D2319" s="21"/>
      <c r="E2319" s="22" t="s">
        <v>9415</v>
      </c>
      <c r="H2319" s="23" t="s">
        <v>622</v>
      </c>
      <c r="I2319" s="21"/>
      <c r="J2319" s="25"/>
      <c r="K2319" s="26" t="s">
        <v>44</v>
      </c>
      <c r="L2319" s="16"/>
      <c r="M2319" s="21"/>
    </row>
    <row r="2320">
      <c r="A2320" s="28">
        <v>46232.0</v>
      </c>
      <c r="B2320" s="16" t="s">
        <v>9416</v>
      </c>
      <c r="C2320" s="20" t="s">
        <v>9417</v>
      </c>
      <c r="D2320" s="21"/>
      <c r="E2320" s="22" t="s">
        <v>9418</v>
      </c>
      <c r="H2320" s="23" t="s">
        <v>896</v>
      </c>
      <c r="I2320" s="21"/>
      <c r="J2320" s="25"/>
      <c r="K2320" s="26" t="s">
        <v>44</v>
      </c>
      <c r="L2320" s="16"/>
      <c r="M2320" s="21"/>
    </row>
    <row r="2321">
      <c r="A2321" s="28">
        <v>46232.0</v>
      </c>
      <c r="B2321" s="16" t="s">
        <v>9419</v>
      </c>
      <c r="C2321" s="20" t="s">
        <v>9420</v>
      </c>
      <c r="D2321" s="21"/>
      <c r="E2321" s="22" t="s">
        <v>9421</v>
      </c>
      <c r="H2321" s="23" t="s">
        <v>57</v>
      </c>
      <c r="I2321" s="21"/>
      <c r="J2321" s="25"/>
      <c r="K2321" s="26" t="s">
        <v>44</v>
      </c>
      <c r="L2321" s="16"/>
      <c r="M2321" s="21"/>
    </row>
    <row r="2322">
      <c r="A2322" s="28">
        <v>46232.0</v>
      </c>
      <c r="B2322" s="16" t="s">
        <v>9422</v>
      </c>
      <c r="C2322" s="20" t="s">
        <v>9423</v>
      </c>
      <c r="D2322" s="21"/>
      <c r="E2322" s="22" t="s">
        <v>9424</v>
      </c>
      <c r="H2322" s="23" t="s">
        <v>536</v>
      </c>
      <c r="I2322" s="21"/>
      <c r="J2322" s="25"/>
      <c r="K2322" s="26" t="s">
        <v>44</v>
      </c>
      <c r="L2322" s="16"/>
      <c r="M2322" s="21"/>
    </row>
    <row r="2323">
      <c r="A2323" s="28">
        <v>46232.0</v>
      </c>
      <c r="B2323" s="16" t="s">
        <v>9425</v>
      </c>
      <c r="C2323" s="20" t="s">
        <v>9426</v>
      </c>
      <c r="D2323" s="21"/>
      <c r="E2323" s="22" t="s">
        <v>9427</v>
      </c>
      <c r="H2323" s="23" t="s">
        <v>9428</v>
      </c>
      <c r="I2323" s="21"/>
      <c r="J2323" s="25"/>
      <c r="K2323" s="26" t="s">
        <v>44</v>
      </c>
      <c r="L2323" s="16"/>
      <c r="M2323" s="21"/>
    </row>
    <row r="2324">
      <c r="A2324" s="28">
        <v>46232.0</v>
      </c>
      <c r="B2324" s="16" t="s">
        <v>9429</v>
      </c>
      <c r="C2324" s="20" t="s">
        <v>9430</v>
      </c>
      <c r="D2324" s="21"/>
      <c r="E2324" s="22" t="s">
        <v>9431</v>
      </c>
      <c r="H2324" s="23" t="s">
        <v>9432</v>
      </c>
      <c r="I2324" s="21"/>
      <c r="J2324" s="25"/>
      <c r="K2324" s="26" t="s">
        <v>44</v>
      </c>
      <c r="L2324" s="16"/>
      <c r="M2324" s="21"/>
    </row>
    <row r="2325">
      <c r="A2325" s="28">
        <v>46232.0</v>
      </c>
      <c r="B2325" s="16" t="s">
        <v>9433</v>
      </c>
      <c r="C2325" s="20" t="s">
        <v>9434</v>
      </c>
      <c r="D2325" s="21"/>
      <c r="E2325" s="22" t="s">
        <v>9435</v>
      </c>
      <c r="H2325" s="23" t="s">
        <v>1595</v>
      </c>
      <c r="I2325" s="21"/>
      <c r="J2325" s="25"/>
      <c r="K2325" s="26" t="s">
        <v>44</v>
      </c>
      <c r="L2325" s="16"/>
      <c r="M2325" s="21"/>
    </row>
    <row r="2326">
      <c r="A2326" s="28">
        <v>46232.0</v>
      </c>
      <c r="B2326" s="16" t="s">
        <v>9436</v>
      </c>
      <c r="C2326" s="20" t="s">
        <v>9437</v>
      </c>
      <c r="D2326" s="21"/>
      <c r="E2326" s="22" t="s">
        <v>9438</v>
      </c>
      <c r="H2326" s="23" t="s">
        <v>9439</v>
      </c>
      <c r="I2326" s="21"/>
      <c r="J2326" s="25"/>
      <c r="K2326" s="26" t="s">
        <v>44</v>
      </c>
      <c r="L2326" s="16"/>
      <c r="M2326" s="21"/>
    </row>
    <row r="2327">
      <c r="A2327" s="28">
        <v>46232.0</v>
      </c>
      <c r="B2327" s="16" t="s">
        <v>9440</v>
      </c>
      <c r="C2327" s="20" t="s">
        <v>9441</v>
      </c>
      <c r="D2327" s="21"/>
      <c r="E2327" s="22" t="s">
        <v>9442</v>
      </c>
      <c r="H2327" s="23" t="s">
        <v>9443</v>
      </c>
      <c r="I2327" s="21"/>
      <c r="J2327" s="25"/>
      <c r="K2327" s="26" t="s">
        <v>44</v>
      </c>
      <c r="L2327" s="16"/>
      <c r="M2327" s="21"/>
    </row>
    <row r="2328">
      <c r="A2328" s="28">
        <v>46232.0</v>
      </c>
      <c r="B2328" s="16" t="s">
        <v>9444</v>
      </c>
      <c r="C2328" s="20" t="s">
        <v>9445</v>
      </c>
      <c r="D2328" s="21"/>
      <c r="E2328" s="22" t="s">
        <v>9446</v>
      </c>
      <c r="H2328" s="23" t="s">
        <v>983</v>
      </c>
      <c r="I2328" s="21"/>
      <c r="J2328" s="25"/>
      <c r="K2328" s="26" t="s">
        <v>44</v>
      </c>
      <c r="L2328" s="16"/>
      <c r="M2328" s="21"/>
    </row>
    <row r="2329">
      <c r="A2329" s="28">
        <v>46232.0</v>
      </c>
      <c r="B2329" s="16" t="s">
        <v>9447</v>
      </c>
      <c r="C2329" s="20" t="s">
        <v>9448</v>
      </c>
      <c r="D2329" s="21"/>
      <c r="E2329" s="22" t="s">
        <v>9449</v>
      </c>
      <c r="H2329" s="23" t="s">
        <v>5502</v>
      </c>
      <c r="I2329" s="21"/>
      <c r="J2329" s="25"/>
      <c r="K2329" s="26" t="s">
        <v>44</v>
      </c>
      <c r="L2329" s="16"/>
      <c r="M2329" s="21"/>
    </row>
    <row r="2330">
      <c r="A2330" s="28">
        <v>46232.0</v>
      </c>
      <c r="B2330" s="16" t="s">
        <v>9450</v>
      </c>
      <c r="C2330" s="20" t="s">
        <v>9451</v>
      </c>
      <c r="D2330" s="21"/>
      <c r="E2330" s="22" t="s">
        <v>9452</v>
      </c>
      <c r="H2330" s="23" t="s">
        <v>9453</v>
      </c>
      <c r="I2330" s="21"/>
      <c r="J2330" s="25"/>
      <c r="K2330" s="26" t="s">
        <v>44</v>
      </c>
      <c r="L2330" s="16"/>
      <c r="M2330" s="21"/>
    </row>
    <row r="2331">
      <c r="A2331" s="28">
        <v>46232.0</v>
      </c>
      <c r="B2331" s="16" t="s">
        <v>9454</v>
      </c>
      <c r="C2331" s="20" t="s">
        <v>9455</v>
      </c>
      <c r="D2331" s="21"/>
      <c r="E2331" s="22" t="s">
        <v>9456</v>
      </c>
      <c r="H2331" s="23" t="s">
        <v>9457</v>
      </c>
      <c r="I2331" s="21"/>
      <c r="J2331" s="25"/>
      <c r="K2331" s="26" t="s">
        <v>44</v>
      </c>
      <c r="L2331" s="16"/>
      <c r="M2331" s="21"/>
    </row>
    <row r="2332">
      <c r="A2332" s="28">
        <v>46232.0</v>
      </c>
      <c r="B2332" s="16" t="s">
        <v>9458</v>
      </c>
      <c r="C2332" s="20" t="s">
        <v>9459</v>
      </c>
      <c r="D2332" s="21"/>
      <c r="E2332" s="22" t="s">
        <v>9460</v>
      </c>
      <c r="H2332" s="23" t="s">
        <v>9461</v>
      </c>
      <c r="I2332" s="21"/>
      <c r="J2332" s="25"/>
      <c r="K2332" s="26" t="s">
        <v>44</v>
      </c>
      <c r="L2332" s="16"/>
      <c r="M2332" s="21"/>
    </row>
    <row r="2333">
      <c r="A2333" s="28">
        <v>46232.0</v>
      </c>
      <c r="B2333" s="16" t="s">
        <v>9462</v>
      </c>
      <c r="C2333" s="20" t="s">
        <v>9463</v>
      </c>
      <c r="D2333" s="21"/>
      <c r="E2333" s="22" t="s">
        <v>9464</v>
      </c>
      <c r="H2333" s="23" t="s">
        <v>622</v>
      </c>
      <c r="I2333" s="21"/>
      <c r="J2333" s="25"/>
      <c r="K2333" s="26" t="s">
        <v>44</v>
      </c>
      <c r="L2333" s="16"/>
      <c r="M2333" s="21"/>
    </row>
    <row r="2334">
      <c r="A2334" s="28">
        <v>46232.0</v>
      </c>
      <c r="B2334" s="16" t="s">
        <v>9465</v>
      </c>
      <c r="C2334" s="20" t="s">
        <v>9466</v>
      </c>
      <c r="D2334" s="21"/>
      <c r="E2334" s="22" t="s">
        <v>9467</v>
      </c>
      <c r="H2334" s="23" t="s">
        <v>9468</v>
      </c>
      <c r="I2334" s="21"/>
      <c r="J2334" s="25"/>
      <c r="K2334" s="26" t="s">
        <v>44</v>
      </c>
      <c r="L2334" s="16"/>
      <c r="M2334" s="21"/>
    </row>
    <row r="2335">
      <c r="A2335" s="28">
        <v>46232.0</v>
      </c>
      <c r="B2335" s="16" t="s">
        <v>9469</v>
      </c>
      <c r="C2335" s="20" t="s">
        <v>9470</v>
      </c>
      <c r="D2335" s="21"/>
      <c r="E2335" s="22" t="s">
        <v>9471</v>
      </c>
      <c r="H2335" s="23" t="s">
        <v>9472</v>
      </c>
      <c r="I2335" s="21"/>
      <c r="J2335" s="25"/>
      <c r="K2335" s="26" t="s">
        <v>44</v>
      </c>
      <c r="L2335" s="16"/>
      <c r="M2335" s="21"/>
    </row>
    <row r="2336">
      <c r="A2336" s="28">
        <v>46232.0</v>
      </c>
      <c r="B2336" s="16" t="s">
        <v>9473</v>
      </c>
      <c r="C2336" s="20" t="s">
        <v>9474</v>
      </c>
      <c r="D2336" s="21"/>
      <c r="E2336" s="22" t="s">
        <v>9475</v>
      </c>
      <c r="H2336" s="23" t="s">
        <v>751</v>
      </c>
      <c r="I2336" s="21"/>
      <c r="J2336" s="25"/>
      <c r="K2336" s="26" t="s">
        <v>44</v>
      </c>
      <c r="L2336" s="16"/>
      <c r="M2336" s="21"/>
    </row>
    <row r="2337">
      <c r="A2337" s="28">
        <v>46232.0</v>
      </c>
      <c r="B2337" s="16" t="s">
        <v>9476</v>
      </c>
      <c r="C2337" s="20" t="s">
        <v>9477</v>
      </c>
      <c r="D2337" s="21"/>
      <c r="E2337" s="22" t="s">
        <v>9478</v>
      </c>
      <c r="H2337" s="23" t="s">
        <v>751</v>
      </c>
      <c r="I2337" s="21"/>
      <c r="J2337" s="25"/>
      <c r="K2337" s="26" t="s">
        <v>44</v>
      </c>
      <c r="L2337" s="16"/>
      <c r="M2337" s="21"/>
    </row>
    <row r="2338">
      <c r="A2338" s="28">
        <v>46232.0</v>
      </c>
      <c r="B2338" s="16" t="s">
        <v>9479</v>
      </c>
      <c r="C2338" s="20" t="s">
        <v>9480</v>
      </c>
      <c r="D2338" s="21"/>
      <c r="E2338" s="22" t="s">
        <v>9481</v>
      </c>
      <c r="H2338" s="23" t="s">
        <v>8214</v>
      </c>
      <c r="I2338" s="21"/>
      <c r="J2338" s="25"/>
      <c r="K2338" s="26" t="s">
        <v>44</v>
      </c>
      <c r="L2338" s="16"/>
      <c r="M2338" s="21"/>
    </row>
    <row r="2339">
      <c r="A2339" s="28">
        <v>46232.0</v>
      </c>
      <c r="B2339" s="16" t="s">
        <v>9482</v>
      </c>
      <c r="C2339" s="20" t="s">
        <v>9483</v>
      </c>
      <c r="D2339" s="21"/>
      <c r="E2339" s="22" t="s">
        <v>9484</v>
      </c>
      <c r="H2339" s="23" t="s">
        <v>1708</v>
      </c>
      <c r="I2339" s="21"/>
      <c r="J2339" s="25"/>
      <c r="K2339" s="26" t="s">
        <v>44</v>
      </c>
      <c r="L2339" s="16"/>
      <c r="M2339" s="21"/>
    </row>
    <row r="2340">
      <c r="A2340" s="28">
        <v>46232.0</v>
      </c>
      <c r="B2340" s="16" t="s">
        <v>9485</v>
      </c>
      <c r="C2340" s="20" t="s">
        <v>9486</v>
      </c>
      <c r="D2340" s="21"/>
      <c r="E2340" s="22" t="s">
        <v>9487</v>
      </c>
      <c r="H2340" s="23" t="s">
        <v>9488</v>
      </c>
      <c r="I2340" s="21"/>
      <c r="J2340" s="25"/>
      <c r="K2340" s="26" t="s">
        <v>44</v>
      </c>
      <c r="L2340" s="16"/>
      <c r="M2340" s="21"/>
    </row>
    <row r="2341">
      <c r="A2341" s="28">
        <v>46232.0</v>
      </c>
      <c r="B2341" s="16" t="s">
        <v>9489</v>
      </c>
      <c r="C2341" s="20" t="s">
        <v>9490</v>
      </c>
      <c r="D2341" s="21"/>
      <c r="E2341" s="22" t="s">
        <v>9491</v>
      </c>
      <c r="H2341" s="23" t="s">
        <v>9492</v>
      </c>
      <c r="I2341" s="21"/>
      <c r="J2341" s="25"/>
      <c r="K2341" s="26" t="s">
        <v>44</v>
      </c>
      <c r="L2341" s="16"/>
      <c r="M2341" s="21"/>
    </row>
    <row r="2342">
      <c r="A2342" s="28">
        <v>46232.0</v>
      </c>
      <c r="B2342" s="16" t="s">
        <v>9493</v>
      </c>
      <c r="C2342" s="20" t="s">
        <v>9494</v>
      </c>
      <c r="D2342" s="21"/>
      <c r="E2342" s="22" t="s">
        <v>9495</v>
      </c>
      <c r="H2342" s="23" t="s">
        <v>6331</v>
      </c>
      <c r="I2342" s="21"/>
      <c r="J2342" s="25"/>
      <c r="K2342" s="26" t="s">
        <v>44</v>
      </c>
      <c r="L2342" s="16"/>
      <c r="M2342" s="21"/>
    </row>
    <row r="2343">
      <c r="A2343" s="28">
        <v>46232.0</v>
      </c>
      <c r="B2343" s="16" t="s">
        <v>9496</v>
      </c>
      <c r="C2343" s="20" t="s">
        <v>9497</v>
      </c>
      <c r="D2343" s="21"/>
      <c r="E2343" s="22" t="s">
        <v>9498</v>
      </c>
      <c r="H2343" s="23" t="s">
        <v>9499</v>
      </c>
      <c r="I2343" s="21"/>
      <c r="J2343" s="25"/>
      <c r="K2343" s="26" t="s">
        <v>44</v>
      </c>
      <c r="L2343" s="16"/>
      <c r="M2343" s="21"/>
    </row>
    <row r="2344">
      <c r="A2344" s="28">
        <v>46232.0</v>
      </c>
      <c r="B2344" s="16" t="s">
        <v>9500</v>
      </c>
      <c r="C2344" s="20" t="s">
        <v>9501</v>
      </c>
      <c r="D2344" s="21"/>
      <c r="E2344" s="22" t="s">
        <v>9502</v>
      </c>
      <c r="H2344" s="23" t="s">
        <v>9503</v>
      </c>
      <c r="I2344" s="21"/>
      <c r="J2344" s="25"/>
      <c r="K2344" s="26" t="s">
        <v>44</v>
      </c>
      <c r="L2344" s="16"/>
      <c r="M2344" s="21"/>
    </row>
    <row r="2345">
      <c r="A2345" s="28">
        <v>46232.0</v>
      </c>
      <c r="B2345" s="16" t="s">
        <v>9504</v>
      </c>
      <c r="C2345" s="20" t="s">
        <v>9505</v>
      </c>
      <c r="D2345" s="21"/>
      <c r="E2345" s="22" t="s">
        <v>9506</v>
      </c>
      <c r="H2345" s="23" t="s">
        <v>9507</v>
      </c>
      <c r="I2345" s="21"/>
      <c r="J2345" s="25"/>
      <c r="K2345" s="26" t="s">
        <v>44</v>
      </c>
      <c r="L2345" s="16"/>
      <c r="M2345" s="21"/>
    </row>
    <row r="2346">
      <c r="A2346" s="28">
        <v>46232.0</v>
      </c>
      <c r="B2346" s="16" t="s">
        <v>9508</v>
      </c>
      <c r="C2346" s="20" t="s">
        <v>9509</v>
      </c>
      <c r="D2346" s="21"/>
      <c r="E2346" s="22" t="s">
        <v>9510</v>
      </c>
      <c r="H2346" s="23" t="s">
        <v>479</v>
      </c>
      <c r="I2346" s="21"/>
      <c r="J2346" s="25"/>
      <c r="K2346" s="26" t="s">
        <v>44</v>
      </c>
      <c r="L2346" s="16"/>
      <c r="M2346" s="21"/>
    </row>
    <row r="2347">
      <c r="A2347" s="28">
        <v>46232.0</v>
      </c>
      <c r="B2347" s="16" t="s">
        <v>9511</v>
      </c>
      <c r="C2347" s="20" t="s">
        <v>9512</v>
      </c>
      <c r="D2347" s="21"/>
      <c r="E2347" s="22" t="s">
        <v>9513</v>
      </c>
      <c r="H2347" s="23" t="s">
        <v>9514</v>
      </c>
      <c r="I2347" s="21"/>
      <c r="J2347" s="25"/>
      <c r="K2347" s="26" t="s">
        <v>44</v>
      </c>
      <c r="L2347" s="16"/>
      <c r="M2347" s="21"/>
    </row>
    <row r="2348">
      <c r="A2348" s="28">
        <v>46232.0</v>
      </c>
      <c r="B2348" s="16" t="s">
        <v>9515</v>
      </c>
      <c r="C2348" s="20" t="s">
        <v>9516</v>
      </c>
      <c r="D2348" s="21"/>
      <c r="E2348" s="22" t="s">
        <v>9517</v>
      </c>
      <c r="H2348" s="23" t="s">
        <v>9518</v>
      </c>
      <c r="I2348" s="21"/>
      <c r="J2348" s="25"/>
      <c r="K2348" s="26" t="s">
        <v>44</v>
      </c>
      <c r="L2348" s="16"/>
      <c r="M2348" s="21"/>
    </row>
    <row r="2349">
      <c r="A2349" s="28">
        <v>46232.0</v>
      </c>
      <c r="B2349" s="16" t="s">
        <v>9519</v>
      </c>
      <c r="C2349" s="20" t="s">
        <v>9520</v>
      </c>
      <c r="D2349" s="21"/>
      <c r="E2349" s="22" t="s">
        <v>9521</v>
      </c>
      <c r="H2349" s="23" t="s">
        <v>487</v>
      </c>
      <c r="I2349" s="21"/>
      <c r="J2349" s="25"/>
      <c r="K2349" s="26" t="s">
        <v>44</v>
      </c>
      <c r="L2349" s="16"/>
      <c r="M2349" s="21"/>
    </row>
    <row r="2350">
      <c r="A2350" s="28">
        <v>46232.0</v>
      </c>
      <c r="B2350" s="16" t="s">
        <v>9522</v>
      </c>
      <c r="C2350" s="20" t="s">
        <v>9523</v>
      </c>
      <c r="D2350" s="21"/>
      <c r="E2350" s="22" t="s">
        <v>9524</v>
      </c>
      <c r="H2350" s="23" t="s">
        <v>1650</v>
      </c>
      <c r="I2350" s="21"/>
      <c r="J2350" s="25"/>
      <c r="K2350" s="26" t="s">
        <v>44</v>
      </c>
      <c r="L2350" s="16"/>
      <c r="M2350" s="21"/>
    </row>
    <row r="2351">
      <c r="A2351" s="28">
        <v>46232.0</v>
      </c>
      <c r="B2351" s="16" t="s">
        <v>9525</v>
      </c>
      <c r="C2351" s="20" t="s">
        <v>9526</v>
      </c>
      <c r="D2351" s="21"/>
      <c r="E2351" s="22" t="s">
        <v>9527</v>
      </c>
      <c r="H2351" s="23" t="s">
        <v>1727</v>
      </c>
      <c r="I2351" s="21"/>
      <c r="J2351" s="25"/>
      <c r="K2351" s="26" t="s">
        <v>44</v>
      </c>
      <c r="L2351" s="16"/>
      <c r="M2351" s="21"/>
    </row>
    <row r="2352">
      <c r="A2352" s="28">
        <v>46232.0</v>
      </c>
      <c r="B2352" s="16" t="s">
        <v>9528</v>
      </c>
      <c r="C2352" s="20" t="s">
        <v>9529</v>
      </c>
      <c r="D2352" s="21"/>
      <c r="E2352" s="22" t="s">
        <v>9530</v>
      </c>
      <c r="H2352" s="23" t="s">
        <v>9531</v>
      </c>
      <c r="I2352" s="21"/>
      <c r="J2352" s="25"/>
      <c r="K2352" s="26" t="s">
        <v>44</v>
      </c>
      <c r="L2352" s="16"/>
      <c r="M2352" s="21"/>
    </row>
    <row r="2353">
      <c r="A2353" s="28">
        <v>46232.0</v>
      </c>
      <c r="B2353" s="16" t="s">
        <v>9532</v>
      </c>
      <c r="C2353" s="20" t="s">
        <v>9533</v>
      </c>
      <c r="D2353" s="21"/>
      <c r="E2353" s="22" t="s">
        <v>9534</v>
      </c>
      <c r="H2353" s="23" t="s">
        <v>9535</v>
      </c>
      <c r="I2353" s="21"/>
      <c r="J2353" s="25"/>
      <c r="K2353" s="26" t="s">
        <v>44</v>
      </c>
      <c r="L2353" s="16"/>
      <c r="M2353" s="21"/>
    </row>
    <row r="2354">
      <c r="A2354" s="28">
        <v>46232.0</v>
      </c>
      <c r="B2354" s="16" t="s">
        <v>9536</v>
      </c>
      <c r="C2354" s="20" t="s">
        <v>9537</v>
      </c>
      <c r="D2354" s="21"/>
      <c r="E2354" s="22" t="s">
        <v>9538</v>
      </c>
      <c r="H2354" s="23" t="s">
        <v>4906</v>
      </c>
      <c r="I2354" s="21"/>
      <c r="J2354" s="25"/>
      <c r="K2354" s="26" t="s">
        <v>44</v>
      </c>
      <c r="L2354" s="16"/>
      <c r="M2354" s="21"/>
    </row>
    <row r="2355">
      <c r="A2355" s="28">
        <v>46232.0</v>
      </c>
      <c r="B2355" s="16" t="s">
        <v>9539</v>
      </c>
      <c r="C2355" s="20" t="s">
        <v>9540</v>
      </c>
      <c r="D2355" s="21"/>
      <c r="E2355" s="22" t="s">
        <v>9541</v>
      </c>
      <c r="H2355" s="23" t="s">
        <v>9542</v>
      </c>
      <c r="I2355" s="21"/>
      <c r="J2355" s="25"/>
      <c r="K2355" s="26" t="s">
        <v>44</v>
      </c>
      <c r="L2355" s="16"/>
      <c r="M2355" s="21"/>
    </row>
    <row r="2356">
      <c r="A2356" s="28">
        <v>46232.0</v>
      </c>
      <c r="B2356" s="16" t="s">
        <v>9543</v>
      </c>
      <c r="C2356" s="20" t="s">
        <v>9544</v>
      </c>
      <c r="D2356" s="21"/>
      <c r="E2356" s="22" t="s">
        <v>9545</v>
      </c>
      <c r="H2356" s="23" t="s">
        <v>8441</v>
      </c>
      <c r="I2356" s="21"/>
      <c r="J2356" s="25"/>
      <c r="K2356" s="26" t="s">
        <v>44</v>
      </c>
      <c r="L2356" s="16"/>
      <c r="M2356" s="21"/>
    </row>
    <row r="2357">
      <c r="A2357" s="28">
        <v>46232.0</v>
      </c>
      <c r="B2357" s="16" t="s">
        <v>9546</v>
      </c>
      <c r="C2357" s="20" t="s">
        <v>9547</v>
      </c>
      <c r="D2357" s="21"/>
      <c r="E2357" s="22" t="s">
        <v>9548</v>
      </c>
      <c r="H2357" s="23" t="s">
        <v>936</v>
      </c>
      <c r="I2357" s="21"/>
      <c r="J2357" s="25"/>
      <c r="K2357" s="26" t="s">
        <v>44</v>
      </c>
      <c r="L2357" s="16"/>
      <c r="M2357" s="21"/>
    </row>
    <row r="2358">
      <c r="A2358" s="28">
        <v>46232.0</v>
      </c>
      <c r="B2358" s="16" t="s">
        <v>9549</v>
      </c>
      <c r="C2358" s="20" t="s">
        <v>9550</v>
      </c>
      <c r="D2358" s="21"/>
      <c r="E2358" s="22" t="s">
        <v>9551</v>
      </c>
      <c r="H2358" s="23" t="s">
        <v>4681</v>
      </c>
      <c r="I2358" s="21"/>
      <c r="J2358" s="25"/>
      <c r="K2358" s="26" t="s">
        <v>44</v>
      </c>
      <c r="L2358" s="16"/>
      <c r="M2358" s="21"/>
    </row>
    <row r="2359">
      <c r="A2359" s="28">
        <v>46232.0</v>
      </c>
      <c r="B2359" s="16" t="s">
        <v>9552</v>
      </c>
      <c r="C2359" s="20" t="s">
        <v>9553</v>
      </c>
      <c r="D2359" s="21"/>
      <c r="E2359" s="22" t="s">
        <v>9554</v>
      </c>
      <c r="H2359" s="23" t="s">
        <v>9555</v>
      </c>
      <c r="I2359" s="21"/>
      <c r="J2359" s="25"/>
      <c r="K2359" s="26" t="s">
        <v>44</v>
      </c>
      <c r="L2359" s="16"/>
      <c r="M2359" s="21"/>
    </row>
    <row r="2360">
      <c r="A2360" s="28">
        <v>46232.0</v>
      </c>
      <c r="B2360" s="16" t="s">
        <v>9556</v>
      </c>
      <c r="C2360" s="20" t="s">
        <v>9557</v>
      </c>
      <c r="D2360" s="21"/>
      <c r="E2360" s="22" t="s">
        <v>9558</v>
      </c>
      <c r="H2360" s="23" t="s">
        <v>9559</v>
      </c>
      <c r="I2360" s="21"/>
      <c r="J2360" s="25"/>
      <c r="K2360" s="26" t="s">
        <v>44</v>
      </c>
      <c r="L2360" s="16"/>
      <c r="M2360" s="21"/>
    </row>
    <row r="2361">
      <c r="A2361" s="28">
        <v>46232.0</v>
      </c>
      <c r="B2361" s="16" t="s">
        <v>9560</v>
      </c>
      <c r="C2361" s="20" t="s">
        <v>9561</v>
      </c>
      <c r="D2361" s="21"/>
      <c r="E2361" s="22" t="s">
        <v>9562</v>
      </c>
      <c r="H2361" s="23" t="s">
        <v>1734</v>
      </c>
      <c r="I2361" s="21"/>
      <c r="J2361" s="25"/>
      <c r="K2361" s="26" t="s">
        <v>44</v>
      </c>
      <c r="L2361" s="16"/>
      <c r="M2361" s="21"/>
    </row>
    <row r="2362">
      <c r="A2362" s="28">
        <v>46232.0</v>
      </c>
      <c r="B2362" s="16" t="s">
        <v>9563</v>
      </c>
      <c r="C2362" s="20" t="s">
        <v>9564</v>
      </c>
      <c r="D2362" s="21"/>
      <c r="E2362" s="22" t="s">
        <v>9565</v>
      </c>
      <c r="H2362" s="23" t="s">
        <v>148</v>
      </c>
      <c r="I2362" s="21"/>
      <c r="J2362" s="25"/>
      <c r="K2362" s="26" t="s">
        <v>44</v>
      </c>
      <c r="L2362" s="16"/>
      <c r="M2362" s="21"/>
    </row>
    <row r="2363">
      <c r="A2363" s="28">
        <v>46232.0</v>
      </c>
      <c r="B2363" s="16" t="s">
        <v>9566</v>
      </c>
      <c r="C2363" s="20" t="s">
        <v>9567</v>
      </c>
      <c r="D2363" s="21"/>
      <c r="E2363" s="22" t="s">
        <v>9568</v>
      </c>
      <c r="H2363" s="23" t="s">
        <v>9569</v>
      </c>
      <c r="I2363" s="21"/>
      <c r="J2363" s="25"/>
      <c r="K2363" s="26" t="s">
        <v>44</v>
      </c>
      <c r="L2363" s="16"/>
      <c r="M2363" s="21"/>
    </row>
    <row r="2364">
      <c r="A2364" s="28">
        <v>46232.0</v>
      </c>
      <c r="B2364" s="16" t="s">
        <v>9570</v>
      </c>
      <c r="C2364" s="20" t="s">
        <v>9571</v>
      </c>
      <c r="D2364" s="21"/>
      <c r="E2364" s="22" t="s">
        <v>9572</v>
      </c>
      <c r="H2364" s="23" t="s">
        <v>9573</v>
      </c>
      <c r="I2364" s="21"/>
      <c r="J2364" s="25"/>
      <c r="K2364" s="26" t="s">
        <v>44</v>
      </c>
      <c r="L2364" s="16"/>
      <c r="M2364" s="21"/>
    </row>
    <row r="2365">
      <c r="A2365" s="28">
        <v>46232.0</v>
      </c>
      <c r="B2365" s="16" t="s">
        <v>9574</v>
      </c>
      <c r="C2365" s="20" t="s">
        <v>9575</v>
      </c>
      <c r="D2365" s="21"/>
      <c r="E2365" s="22" t="s">
        <v>9576</v>
      </c>
      <c r="H2365" s="23" t="s">
        <v>2109</v>
      </c>
      <c r="I2365" s="21"/>
      <c r="J2365" s="25"/>
      <c r="K2365" s="26" t="s">
        <v>44</v>
      </c>
      <c r="L2365" s="16"/>
      <c r="M2365" s="21"/>
    </row>
    <row r="2366">
      <c r="A2366" s="28">
        <v>46232.0</v>
      </c>
      <c r="B2366" s="16" t="s">
        <v>9577</v>
      </c>
      <c r="C2366" s="20" t="s">
        <v>9578</v>
      </c>
      <c r="D2366" s="21"/>
      <c r="E2366" s="22" t="s">
        <v>9579</v>
      </c>
      <c r="H2366" s="23" t="s">
        <v>9580</v>
      </c>
      <c r="I2366" s="21"/>
      <c r="J2366" s="25"/>
      <c r="K2366" s="26" t="s">
        <v>44</v>
      </c>
      <c r="L2366" s="16"/>
      <c r="M2366" s="21"/>
    </row>
    <row r="2367">
      <c r="A2367" s="28">
        <v>46232.0</v>
      </c>
      <c r="B2367" s="16" t="s">
        <v>9581</v>
      </c>
      <c r="C2367" s="20" t="s">
        <v>9582</v>
      </c>
      <c r="D2367" s="21"/>
      <c r="E2367" s="22" t="s">
        <v>9583</v>
      </c>
      <c r="H2367" s="23" t="s">
        <v>9584</v>
      </c>
      <c r="I2367" s="21"/>
      <c r="J2367" s="25"/>
      <c r="K2367" s="26" t="s">
        <v>44</v>
      </c>
      <c r="L2367" s="16"/>
      <c r="M2367" s="21"/>
    </row>
    <row r="2368">
      <c r="A2368" s="28">
        <v>46232.0</v>
      </c>
      <c r="B2368" s="16" t="s">
        <v>9585</v>
      </c>
      <c r="C2368" s="20" t="s">
        <v>9586</v>
      </c>
      <c r="D2368" s="21"/>
      <c r="E2368" s="22" t="s">
        <v>9587</v>
      </c>
      <c r="H2368" s="23" t="s">
        <v>9588</v>
      </c>
      <c r="I2368" s="21"/>
      <c r="J2368" s="25"/>
      <c r="K2368" s="26" t="s">
        <v>44</v>
      </c>
      <c r="L2368" s="16"/>
      <c r="M2368" s="21"/>
    </row>
    <row r="2369">
      <c r="A2369" s="28">
        <v>46232.0</v>
      </c>
      <c r="B2369" s="16" t="s">
        <v>9589</v>
      </c>
      <c r="C2369" s="20" t="s">
        <v>9590</v>
      </c>
      <c r="D2369" s="21"/>
      <c r="E2369" s="22" t="s">
        <v>9591</v>
      </c>
      <c r="H2369" s="23" t="s">
        <v>2007</v>
      </c>
      <c r="I2369" s="21"/>
      <c r="J2369" s="25"/>
      <c r="K2369" s="26" t="s">
        <v>44</v>
      </c>
      <c r="L2369" s="16"/>
      <c r="M2369" s="21"/>
    </row>
    <row r="2370">
      <c r="A2370" s="28">
        <v>46232.0</v>
      </c>
      <c r="B2370" s="16" t="s">
        <v>9592</v>
      </c>
      <c r="C2370" s="20" t="s">
        <v>9593</v>
      </c>
      <c r="D2370" s="21"/>
      <c r="E2370" s="22" t="s">
        <v>9594</v>
      </c>
      <c r="H2370" s="23" t="s">
        <v>6506</v>
      </c>
      <c r="I2370" s="21"/>
      <c r="J2370" s="25"/>
      <c r="K2370" s="26" t="s">
        <v>44</v>
      </c>
      <c r="L2370" s="16"/>
      <c r="M2370" s="21"/>
    </row>
    <row r="2371">
      <c r="A2371" s="28">
        <v>46232.0</v>
      </c>
      <c r="B2371" s="16" t="s">
        <v>9595</v>
      </c>
      <c r="C2371" s="20" t="s">
        <v>9596</v>
      </c>
      <c r="D2371" s="21"/>
      <c r="E2371" s="22" t="s">
        <v>9597</v>
      </c>
      <c r="H2371" s="23" t="s">
        <v>583</v>
      </c>
      <c r="I2371" s="21"/>
      <c r="J2371" s="25"/>
      <c r="K2371" s="26" t="s">
        <v>44</v>
      </c>
      <c r="L2371" s="16"/>
      <c r="M2371" s="21"/>
    </row>
    <row r="2372">
      <c r="A2372" s="28">
        <v>46232.0</v>
      </c>
      <c r="B2372" s="16" t="s">
        <v>9598</v>
      </c>
      <c r="C2372" s="20" t="s">
        <v>9599</v>
      </c>
      <c r="D2372" s="21"/>
      <c r="E2372" s="22" t="s">
        <v>9600</v>
      </c>
      <c r="H2372" s="23" t="s">
        <v>983</v>
      </c>
      <c r="I2372" s="21"/>
      <c r="J2372" s="25"/>
      <c r="K2372" s="26" t="s">
        <v>44</v>
      </c>
      <c r="L2372" s="16"/>
      <c r="M2372" s="21"/>
    </row>
    <row r="2373">
      <c r="A2373" s="28">
        <v>46232.0</v>
      </c>
      <c r="B2373" s="16" t="s">
        <v>9601</v>
      </c>
      <c r="C2373" s="20" t="s">
        <v>9602</v>
      </c>
      <c r="D2373" s="21"/>
      <c r="E2373" s="22" t="s">
        <v>9603</v>
      </c>
      <c r="H2373" s="23" t="s">
        <v>1776</v>
      </c>
      <c r="I2373" s="21"/>
      <c r="J2373" s="25"/>
      <c r="K2373" s="26" t="s">
        <v>44</v>
      </c>
      <c r="L2373" s="16"/>
      <c r="M2373" s="21"/>
    </row>
    <row r="2374">
      <c r="A2374" s="28">
        <v>46232.0</v>
      </c>
      <c r="B2374" s="16" t="s">
        <v>9604</v>
      </c>
      <c r="C2374" s="20" t="s">
        <v>9605</v>
      </c>
      <c r="D2374" s="21"/>
      <c r="E2374" s="22" t="s">
        <v>9606</v>
      </c>
      <c r="H2374" s="23" t="s">
        <v>9607</v>
      </c>
      <c r="I2374" s="21"/>
      <c r="J2374" s="25"/>
      <c r="K2374" s="26" t="s">
        <v>44</v>
      </c>
      <c r="L2374" s="16"/>
      <c r="M2374" s="21"/>
    </row>
    <row r="2375">
      <c r="A2375" s="28">
        <v>46232.0</v>
      </c>
      <c r="B2375" s="16" t="s">
        <v>9608</v>
      </c>
      <c r="C2375" s="20" t="s">
        <v>9609</v>
      </c>
      <c r="D2375" s="21"/>
      <c r="E2375" s="22" t="s">
        <v>9610</v>
      </c>
      <c r="H2375" s="23" t="s">
        <v>5264</v>
      </c>
      <c r="I2375" s="21"/>
      <c r="J2375" s="25"/>
      <c r="K2375" s="26" t="s">
        <v>44</v>
      </c>
      <c r="L2375" s="16"/>
      <c r="M2375" s="21"/>
    </row>
    <row r="2376">
      <c r="A2376" s="28">
        <v>46232.0</v>
      </c>
      <c r="B2376" s="16" t="s">
        <v>9611</v>
      </c>
      <c r="C2376" s="20" t="s">
        <v>9612</v>
      </c>
      <c r="D2376" s="21"/>
      <c r="E2376" s="22" t="s">
        <v>9613</v>
      </c>
      <c r="H2376" s="23" t="s">
        <v>57</v>
      </c>
      <c r="I2376" s="21"/>
      <c r="J2376" s="25"/>
      <c r="K2376" s="26" t="s">
        <v>44</v>
      </c>
      <c r="L2376" s="16"/>
      <c r="M2376" s="21"/>
    </row>
    <row r="2377">
      <c r="A2377" s="28">
        <v>46232.0</v>
      </c>
      <c r="B2377" s="16" t="s">
        <v>9614</v>
      </c>
      <c r="C2377" s="20" t="s">
        <v>9615</v>
      </c>
      <c r="D2377" s="21"/>
      <c r="E2377" s="22" t="s">
        <v>9616</v>
      </c>
      <c r="H2377" s="23" t="s">
        <v>47</v>
      </c>
      <c r="I2377" s="21"/>
      <c r="J2377" s="25"/>
      <c r="K2377" s="26" t="s">
        <v>44</v>
      </c>
      <c r="L2377" s="16"/>
      <c r="M2377" s="21"/>
    </row>
    <row r="2378">
      <c r="A2378" s="28">
        <v>46232.0</v>
      </c>
      <c r="B2378" s="16" t="s">
        <v>9617</v>
      </c>
      <c r="C2378" s="20" t="s">
        <v>9618</v>
      </c>
      <c r="D2378" s="21"/>
      <c r="E2378" s="22" t="s">
        <v>9619</v>
      </c>
      <c r="H2378" s="23" t="s">
        <v>5232</v>
      </c>
      <c r="I2378" s="21"/>
      <c r="J2378" s="25"/>
      <c r="K2378" s="26" t="s">
        <v>44</v>
      </c>
      <c r="L2378" s="16"/>
      <c r="M2378" s="21"/>
    </row>
    <row r="2379">
      <c r="A2379" s="28">
        <v>46232.0</v>
      </c>
      <c r="B2379" s="16" t="s">
        <v>9620</v>
      </c>
      <c r="C2379" s="20" t="s">
        <v>9621</v>
      </c>
      <c r="D2379" s="21"/>
      <c r="E2379" s="22" t="s">
        <v>9622</v>
      </c>
      <c r="H2379" s="23" t="s">
        <v>2697</v>
      </c>
      <c r="I2379" s="21"/>
      <c r="J2379" s="25"/>
      <c r="K2379" s="26" t="s">
        <v>44</v>
      </c>
      <c r="L2379" s="16"/>
      <c r="M2379" s="21"/>
    </row>
    <row r="2380">
      <c r="A2380" s="28">
        <v>46232.0</v>
      </c>
      <c r="B2380" s="16" t="s">
        <v>9623</v>
      </c>
      <c r="C2380" s="20" t="s">
        <v>9624</v>
      </c>
      <c r="D2380" s="21"/>
      <c r="E2380" s="22" t="s">
        <v>9625</v>
      </c>
      <c r="H2380" s="23" t="s">
        <v>9626</v>
      </c>
      <c r="I2380" s="21"/>
      <c r="J2380" s="25"/>
      <c r="K2380" s="26" t="s">
        <v>44</v>
      </c>
      <c r="L2380" s="16"/>
      <c r="M2380" s="21"/>
    </row>
    <row r="2381">
      <c r="A2381" s="28">
        <v>46232.0</v>
      </c>
      <c r="B2381" s="16" t="s">
        <v>9627</v>
      </c>
      <c r="C2381" s="20" t="s">
        <v>9628</v>
      </c>
      <c r="D2381" s="21"/>
      <c r="E2381" s="22" t="s">
        <v>9629</v>
      </c>
      <c r="H2381" s="23" t="s">
        <v>9630</v>
      </c>
      <c r="I2381" s="21"/>
      <c r="J2381" s="25"/>
      <c r="K2381" s="26" t="s">
        <v>44</v>
      </c>
      <c r="L2381" s="16"/>
      <c r="M2381" s="21"/>
    </row>
    <row r="2382">
      <c r="A2382" s="28">
        <v>46232.0</v>
      </c>
      <c r="B2382" s="16" t="s">
        <v>9631</v>
      </c>
      <c r="C2382" s="20" t="s">
        <v>9632</v>
      </c>
      <c r="D2382" s="21"/>
      <c r="E2382" s="22" t="s">
        <v>9633</v>
      </c>
      <c r="H2382" s="23" t="s">
        <v>2220</v>
      </c>
      <c r="I2382" s="21"/>
      <c r="J2382" s="25"/>
      <c r="K2382" s="26" t="s">
        <v>44</v>
      </c>
      <c r="L2382" s="16"/>
      <c r="M2382" s="21"/>
    </row>
    <row r="2383">
      <c r="A2383" s="28">
        <v>46232.0</v>
      </c>
      <c r="B2383" s="16" t="s">
        <v>9634</v>
      </c>
      <c r="C2383" s="20" t="s">
        <v>9635</v>
      </c>
      <c r="D2383" s="21"/>
      <c r="E2383" s="22" t="s">
        <v>9636</v>
      </c>
      <c r="H2383" s="23" t="s">
        <v>6161</v>
      </c>
      <c r="I2383" s="21"/>
      <c r="J2383" s="25"/>
      <c r="K2383" s="26" t="s">
        <v>44</v>
      </c>
      <c r="L2383" s="16"/>
      <c r="M2383" s="21"/>
    </row>
    <row r="2384">
      <c r="A2384" s="28">
        <v>46232.0</v>
      </c>
      <c r="B2384" s="16" t="s">
        <v>9637</v>
      </c>
      <c r="C2384" s="20" t="s">
        <v>9638</v>
      </c>
      <c r="D2384" s="21"/>
      <c r="E2384" s="22" t="s">
        <v>9639</v>
      </c>
      <c r="H2384" s="23" t="s">
        <v>9640</v>
      </c>
      <c r="I2384" s="21"/>
      <c r="J2384" s="25"/>
      <c r="K2384" s="26" t="s">
        <v>44</v>
      </c>
      <c r="L2384" s="16"/>
      <c r="M2384" s="21"/>
    </row>
    <row r="2385">
      <c r="A2385" s="28">
        <v>46232.0</v>
      </c>
      <c r="B2385" s="16" t="s">
        <v>9641</v>
      </c>
      <c r="C2385" s="20" t="s">
        <v>9642</v>
      </c>
      <c r="D2385" s="21"/>
      <c r="E2385" s="22" t="s">
        <v>9643</v>
      </c>
      <c r="H2385" s="23" t="s">
        <v>9644</v>
      </c>
      <c r="I2385" s="21"/>
      <c r="J2385" s="25"/>
      <c r="K2385" s="26" t="s">
        <v>44</v>
      </c>
      <c r="L2385" s="16"/>
      <c r="M2385" s="21"/>
    </row>
    <row r="2386">
      <c r="A2386" s="28">
        <v>46232.0</v>
      </c>
      <c r="B2386" s="16" t="s">
        <v>9645</v>
      </c>
      <c r="C2386" s="20" t="s">
        <v>9646</v>
      </c>
      <c r="D2386" s="21"/>
      <c r="E2386" s="22" t="s">
        <v>9647</v>
      </c>
      <c r="H2386" s="23" t="s">
        <v>9648</v>
      </c>
      <c r="I2386" s="21"/>
      <c r="J2386" s="25"/>
      <c r="K2386" s="26" t="s">
        <v>44</v>
      </c>
      <c r="L2386" s="16"/>
      <c r="M2386" s="21"/>
    </row>
    <row r="2387">
      <c r="A2387" s="28">
        <v>46232.0</v>
      </c>
      <c r="B2387" s="16" t="s">
        <v>9649</v>
      </c>
      <c r="C2387" s="20" t="s">
        <v>9650</v>
      </c>
      <c r="D2387" s="21"/>
      <c r="E2387" s="22" t="s">
        <v>9651</v>
      </c>
      <c r="H2387" s="23" t="s">
        <v>80</v>
      </c>
      <c r="I2387" s="21"/>
      <c r="J2387" s="25"/>
      <c r="K2387" s="26" t="s">
        <v>44</v>
      </c>
      <c r="L2387" s="16"/>
      <c r="M2387" s="21"/>
    </row>
    <row r="2388">
      <c r="A2388" s="28">
        <v>46232.0</v>
      </c>
      <c r="B2388" s="16" t="s">
        <v>9652</v>
      </c>
      <c r="C2388" s="20" t="s">
        <v>9653</v>
      </c>
      <c r="D2388" s="21"/>
      <c r="E2388" s="22" t="s">
        <v>9654</v>
      </c>
      <c r="H2388" s="23" t="s">
        <v>396</v>
      </c>
      <c r="I2388" s="21"/>
      <c r="J2388" s="25"/>
      <c r="K2388" s="26" t="s">
        <v>44</v>
      </c>
      <c r="L2388" s="16"/>
      <c r="M2388" s="21"/>
    </row>
    <row r="2389">
      <c r="A2389" s="28">
        <v>46232.0</v>
      </c>
      <c r="B2389" s="16" t="s">
        <v>9655</v>
      </c>
      <c r="C2389" s="20" t="s">
        <v>9656</v>
      </c>
      <c r="D2389" s="21"/>
      <c r="E2389" s="22" t="s">
        <v>9657</v>
      </c>
      <c r="H2389" s="23" t="s">
        <v>9658</v>
      </c>
      <c r="I2389" s="21"/>
      <c r="J2389" s="25"/>
      <c r="K2389" s="26" t="s">
        <v>44</v>
      </c>
      <c r="L2389" s="16"/>
      <c r="M2389" s="21"/>
    </row>
    <row r="2390">
      <c r="A2390" s="28">
        <v>46232.0</v>
      </c>
      <c r="B2390" s="16" t="s">
        <v>9659</v>
      </c>
      <c r="C2390" s="20" t="s">
        <v>9660</v>
      </c>
      <c r="D2390" s="21"/>
      <c r="E2390" s="22" t="s">
        <v>9661</v>
      </c>
      <c r="H2390" s="23" t="s">
        <v>9662</v>
      </c>
      <c r="I2390" s="21"/>
      <c r="J2390" s="25"/>
      <c r="K2390" s="26" t="s">
        <v>44</v>
      </c>
      <c r="L2390" s="16"/>
      <c r="M2390" s="21"/>
    </row>
    <row r="2391">
      <c r="A2391" s="28">
        <v>46232.0</v>
      </c>
      <c r="B2391" s="16" t="s">
        <v>9663</v>
      </c>
      <c r="C2391" s="20" t="s">
        <v>9664</v>
      </c>
      <c r="D2391" s="21"/>
      <c r="E2391" s="22" t="s">
        <v>9665</v>
      </c>
      <c r="H2391" s="23" t="s">
        <v>9666</v>
      </c>
      <c r="I2391" s="21"/>
      <c r="J2391" s="25"/>
      <c r="K2391" s="26" t="s">
        <v>44</v>
      </c>
      <c r="L2391" s="16"/>
      <c r="M2391" s="21"/>
    </row>
    <row r="2392">
      <c r="A2392" s="28">
        <v>46232.0</v>
      </c>
      <c r="B2392" s="16" t="s">
        <v>9667</v>
      </c>
      <c r="C2392" s="20" t="s">
        <v>9668</v>
      </c>
      <c r="D2392" s="21"/>
      <c r="E2392" s="22" t="s">
        <v>9669</v>
      </c>
      <c r="H2392" s="23" t="s">
        <v>6683</v>
      </c>
      <c r="I2392" s="21"/>
      <c r="J2392" s="25"/>
      <c r="K2392" s="26" t="s">
        <v>44</v>
      </c>
      <c r="L2392" s="16"/>
      <c r="M2392" s="21"/>
    </row>
    <row r="2393">
      <c r="A2393" s="28">
        <v>46232.0</v>
      </c>
      <c r="B2393" s="16" t="s">
        <v>9670</v>
      </c>
      <c r="C2393" s="46" t="s">
        <v>9671</v>
      </c>
      <c r="D2393" s="21"/>
      <c r="E2393" s="22" t="s">
        <v>9672</v>
      </c>
      <c r="H2393" s="23" t="s">
        <v>9673</v>
      </c>
      <c r="I2393" s="21"/>
      <c r="J2393" s="25"/>
      <c r="K2393" s="26" t="s">
        <v>44</v>
      </c>
      <c r="L2393" s="16"/>
      <c r="M2393" s="21"/>
    </row>
    <row r="2394">
      <c r="A2394" s="28">
        <v>46232.0</v>
      </c>
      <c r="B2394" s="16" t="s">
        <v>9674</v>
      </c>
      <c r="C2394" s="20" t="s">
        <v>9675</v>
      </c>
      <c r="D2394" s="21"/>
      <c r="E2394" s="22" t="s">
        <v>9676</v>
      </c>
      <c r="H2394" s="23" t="s">
        <v>1250</v>
      </c>
      <c r="I2394" s="21"/>
      <c r="J2394" s="25"/>
      <c r="K2394" s="26" t="s">
        <v>44</v>
      </c>
      <c r="L2394" s="16"/>
      <c r="M2394" s="21"/>
    </row>
    <row r="2395">
      <c r="A2395" s="28">
        <v>46232.0</v>
      </c>
      <c r="B2395" s="16" t="s">
        <v>9677</v>
      </c>
      <c r="C2395" s="20" t="s">
        <v>9678</v>
      </c>
      <c r="D2395" s="21"/>
      <c r="E2395" s="22" t="s">
        <v>9679</v>
      </c>
      <c r="H2395" s="23" t="s">
        <v>9680</v>
      </c>
      <c r="I2395" s="21"/>
      <c r="J2395" s="25"/>
      <c r="K2395" s="26" t="s">
        <v>44</v>
      </c>
      <c r="L2395" s="16"/>
      <c r="M2395" s="21"/>
    </row>
    <row r="2396">
      <c r="A2396" s="28">
        <v>46232.0</v>
      </c>
      <c r="B2396" s="16" t="s">
        <v>9681</v>
      </c>
      <c r="C2396" s="20" t="s">
        <v>9682</v>
      </c>
      <c r="D2396" s="21"/>
      <c r="E2396" s="22" t="s">
        <v>9683</v>
      </c>
      <c r="H2396" s="23" t="s">
        <v>9684</v>
      </c>
      <c r="I2396" s="21"/>
      <c r="J2396" s="25"/>
      <c r="K2396" s="26" t="s">
        <v>44</v>
      </c>
      <c r="L2396" s="16"/>
      <c r="M2396" s="21"/>
    </row>
    <row r="2397">
      <c r="A2397" s="28">
        <v>46232.0</v>
      </c>
      <c r="B2397" s="16" t="s">
        <v>9685</v>
      </c>
      <c r="C2397" s="20" t="s">
        <v>9686</v>
      </c>
      <c r="D2397" s="21"/>
      <c r="E2397" s="22" t="s">
        <v>9687</v>
      </c>
      <c r="H2397" s="23" t="s">
        <v>1595</v>
      </c>
      <c r="I2397" s="21"/>
      <c r="J2397" s="25"/>
      <c r="K2397" s="26" t="s">
        <v>44</v>
      </c>
      <c r="L2397" s="16"/>
      <c r="M2397" s="21"/>
    </row>
    <row r="2398">
      <c r="A2398" s="28">
        <v>46232.0</v>
      </c>
      <c r="B2398" s="16" t="s">
        <v>9688</v>
      </c>
      <c r="C2398" s="20" t="s">
        <v>9689</v>
      </c>
      <c r="D2398" s="21"/>
      <c r="E2398" s="22" t="s">
        <v>9690</v>
      </c>
      <c r="H2398" s="23" t="s">
        <v>1608</v>
      </c>
      <c r="I2398" s="21"/>
      <c r="J2398" s="25"/>
      <c r="K2398" s="26" t="s">
        <v>44</v>
      </c>
      <c r="L2398" s="16"/>
      <c r="M2398" s="21"/>
    </row>
    <row r="2399">
      <c r="A2399" s="28">
        <v>46232.0</v>
      </c>
      <c r="B2399" s="16" t="s">
        <v>9691</v>
      </c>
      <c r="C2399" s="20" t="s">
        <v>9692</v>
      </c>
      <c r="D2399" s="21"/>
      <c r="E2399" s="22" t="s">
        <v>9693</v>
      </c>
      <c r="H2399" s="23" t="s">
        <v>9694</v>
      </c>
      <c r="I2399" s="21"/>
      <c r="J2399" s="25"/>
      <c r="K2399" s="26" t="s">
        <v>44</v>
      </c>
      <c r="L2399" s="16"/>
      <c r="M2399" s="21"/>
    </row>
    <row r="2400">
      <c r="A2400" s="28">
        <v>46232.0</v>
      </c>
      <c r="B2400" s="16" t="s">
        <v>9695</v>
      </c>
      <c r="C2400" s="20" t="s">
        <v>9696</v>
      </c>
      <c r="D2400" s="21"/>
      <c r="E2400" s="22" t="s">
        <v>9697</v>
      </c>
      <c r="H2400" s="23" t="s">
        <v>856</v>
      </c>
      <c r="I2400" s="21"/>
      <c r="J2400" s="25"/>
      <c r="K2400" s="26" t="s">
        <v>44</v>
      </c>
      <c r="L2400" s="16"/>
      <c r="M2400" s="21"/>
    </row>
    <row r="2401">
      <c r="A2401" s="28">
        <v>46232.0</v>
      </c>
      <c r="B2401" s="16" t="s">
        <v>9698</v>
      </c>
      <c r="C2401" s="20" t="s">
        <v>9699</v>
      </c>
      <c r="D2401" s="21"/>
      <c r="E2401" s="22" t="s">
        <v>9700</v>
      </c>
      <c r="H2401" s="23" t="s">
        <v>9701</v>
      </c>
      <c r="I2401" s="21"/>
      <c r="J2401" s="25"/>
      <c r="K2401" s="26" t="s">
        <v>44</v>
      </c>
      <c r="L2401" s="16"/>
      <c r="M2401" s="21"/>
    </row>
    <row r="2402">
      <c r="A2402" s="28">
        <v>46232.0</v>
      </c>
      <c r="B2402" s="16" t="s">
        <v>9702</v>
      </c>
      <c r="C2402" s="20" t="s">
        <v>9703</v>
      </c>
      <c r="D2402" s="21"/>
      <c r="E2402" s="22" t="s">
        <v>9704</v>
      </c>
      <c r="H2402" s="23" t="s">
        <v>9705</v>
      </c>
      <c r="I2402" s="21"/>
      <c r="J2402" s="25"/>
      <c r="K2402" s="26" t="s">
        <v>44</v>
      </c>
      <c r="L2402" s="16"/>
      <c r="M2402" s="21"/>
    </row>
    <row r="2403">
      <c r="A2403" s="28">
        <v>46232.0</v>
      </c>
      <c r="B2403" s="16" t="s">
        <v>9706</v>
      </c>
      <c r="C2403" s="20" t="s">
        <v>9707</v>
      </c>
      <c r="D2403" s="21"/>
      <c r="E2403" s="22" t="s">
        <v>9708</v>
      </c>
      <c r="H2403" s="23" t="s">
        <v>2867</v>
      </c>
      <c r="I2403" s="21"/>
      <c r="J2403" s="25"/>
      <c r="K2403" s="26" t="s">
        <v>44</v>
      </c>
      <c r="L2403" s="16"/>
      <c r="M2403" s="21"/>
    </row>
    <row r="2404">
      <c r="A2404" s="28">
        <v>46232.0</v>
      </c>
      <c r="B2404" s="16" t="s">
        <v>9709</v>
      </c>
      <c r="C2404" s="20" t="s">
        <v>9710</v>
      </c>
      <c r="D2404" s="21"/>
      <c r="E2404" s="22" t="s">
        <v>9711</v>
      </c>
      <c r="H2404" s="23" t="s">
        <v>1510</v>
      </c>
      <c r="I2404" s="21"/>
      <c r="J2404" s="25"/>
      <c r="K2404" s="26" t="s">
        <v>44</v>
      </c>
      <c r="L2404" s="16"/>
      <c r="M2404" s="21"/>
    </row>
    <row r="2405">
      <c r="A2405" s="28">
        <v>46232.0</v>
      </c>
      <c r="B2405" s="16" t="s">
        <v>9712</v>
      </c>
      <c r="C2405" s="20" t="s">
        <v>9713</v>
      </c>
      <c r="D2405" s="21"/>
      <c r="E2405" s="22" t="s">
        <v>9714</v>
      </c>
      <c r="H2405" s="23" t="s">
        <v>4865</v>
      </c>
      <c r="I2405" s="21"/>
      <c r="J2405" s="25"/>
      <c r="K2405" s="26" t="s">
        <v>44</v>
      </c>
      <c r="L2405" s="16"/>
      <c r="M2405" s="21"/>
    </row>
    <row r="2406">
      <c r="A2406" s="28">
        <v>46232.0</v>
      </c>
      <c r="B2406" s="16" t="s">
        <v>9715</v>
      </c>
      <c r="C2406" s="20" t="s">
        <v>9716</v>
      </c>
      <c r="D2406" s="21"/>
      <c r="E2406" s="22" t="s">
        <v>9717</v>
      </c>
      <c r="H2406" s="23" t="s">
        <v>57</v>
      </c>
      <c r="I2406" s="21"/>
      <c r="J2406" s="25"/>
      <c r="K2406" s="26" t="s">
        <v>44</v>
      </c>
      <c r="L2406" s="16"/>
      <c r="M2406" s="21"/>
    </row>
    <row r="2407">
      <c r="A2407" s="28">
        <v>46232.0</v>
      </c>
      <c r="B2407" s="16" t="s">
        <v>9718</v>
      </c>
      <c r="C2407" s="20" t="s">
        <v>9719</v>
      </c>
      <c r="D2407" s="21"/>
      <c r="E2407" s="22" t="s">
        <v>9720</v>
      </c>
      <c r="H2407" s="23" t="s">
        <v>9721</v>
      </c>
      <c r="I2407" s="21"/>
      <c r="J2407" s="25"/>
      <c r="K2407" s="26" t="s">
        <v>44</v>
      </c>
      <c r="L2407" s="16"/>
      <c r="M2407" s="21"/>
    </row>
    <row r="2408">
      <c r="A2408" s="28">
        <v>46232.0</v>
      </c>
      <c r="B2408" s="16" t="s">
        <v>9722</v>
      </c>
      <c r="C2408" s="20" t="s">
        <v>9723</v>
      </c>
      <c r="D2408" s="21"/>
      <c r="E2408" s="22" t="s">
        <v>9724</v>
      </c>
      <c r="H2408" s="23" t="s">
        <v>4718</v>
      </c>
      <c r="I2408" s="21"/>
      <c r="J2408" s="25"/>
      <c r="K2408" s="26" t="s">
        <v>44</v>
      </c>
      <c r="L2408" s="16"/>
      <c r="M2408" s="21"/>
    </row>
    <row r="2409">
      <c r="A2409" s="28">
        <v>46232.0</v>
      </c>
      <c r="B2409" s="16" t="s">
        <v>9725</v>
      </c>
      <c r="C2409" s="20" t="s">
        <v>9726</v>
      </c>
      <c r="D2409" s="21"/>
      <c r="E2409" s="22" t="s">
        <v>9727</v>
      </c>
      <c r="H2409" s="23" t="s">
        <v>2598</v>
      </c>
      <c r="I2409" s="21"/>
      <c r="J2409" s="25"/>
      <c r="K2409" s="26" t="s">
        <v>44</v>
      </c>
      <c r="L2409" s="16"/>
      <c r="M2409" s="21"/>
    </row>
    <row r="2410">
      <c r="A2410" s="28">
        <v>46232.0</v>
      </c>
      <c r="B2410" s="16" t="s">
        <v>9728</v>
      </c>
      <c r="C2410" s="20" t="s">
        <v>9729</v>
      </c>
      <c r="D2410" s="21"/>
      <c r="E2410" s="22" t="s">
        <v>9730</v>
      </c>
      <c r="H2410" s="23" t="s">
        <v>9731</v>
      </c>
      <c r="I2410" s="21"/>
      <c r="J2410" s="25"/>
      <c r="K2410" s="26" t="s">
        <v>44</v>
      </c>
      <c r="L2410" s="16"/>
      <c r="M2410" s="21"/>
    </row>
    <row r="2411">
      <c r="A2411" s="28">
        <v>46232.0</v>
      </c>
      <c r="B2411" s="16" t="s">
        <v>9732</v>
      </c>
      <c r="C2411" s="20" t="s">
        <v>9733</v>
      </c>
      <c r="D2411" s="21"/>
      <c r="E2411" s="22" t="s">
        <v>9734</v>
      </c>
      <c r="H2411" s="23" t="s">
        <v>9735</v>
      </c>
      <c r="I2411" s="21"/>
      <c r="J2411" s="25"/>
      <c r="K2411" s="26" t="s">
        <v>44</v>
      </c>
      <c r="L2411" s="16"/>
      <c r="M2411" s="21"/>
    </row>
    <row r="2412">
      <c r="A2412" s="28">
        <v>46232.0</v>
      </c>
      <c r="B2412" s="16" t="s">
        <v>9736</v>
      </c>
      <c r="C2412" s="20" t="s">
        <v>9737</v>
      </c>
      <c r="D2412" s="21"/>
      <c r="E2412" s="22" t="s">
        <v>9738</v>
      </c>
      <c r="H2412" s="23" t="s">
        <v>6205</v>
      </c>
      <c r="I2412" s="21"/>
      <c r="J2412" s="25"/>
      <c r="K2412" s="26" t="s">
        <v>44</v>
      </c>
      <c r="L2412" s="16"/>
      <c r="M2412" s="21"/>
    </row>
    <row r="2413">
      <c r="A2413" s="28">
        <v>46232.0</v>
      </c>
      <c r="B2413" s="16" t="s">
        <v>9739</v>
      </c>
      <c r="C2413" s="20" t="s">
        <v>9740</v>
      </c>
      <c r="D2413" s="21"/>
      <c r="E2413" s="22" t="s">
        <v>9741</v>
      </c>
      <c r="H2413" s="23" t="s">
        <v>8893</v>
      </c>
      <c r="I2413" s="21"/>
      <c r="J2413" s="25"/>
      <c r="K2413" s="26" t="s">
        <v>44</v>
      </c>
      <c r="L2413" s="16"/>
      <c r="M2413" s="21"/>
    </row>
    <row r="2414">
      <c r="A2414" s="28">
        <v>46232.0</v>
      </c>
      <c r="B2414" s="16" t="s">
        <v>9742</v>
      </c>
      <c r="C2414" s="20" t="s">
        <v>9743</v>
      </c>
      <c r="D2414" s="21"/>
      <c r="E2414" s="22" t="s">
        <v>9744</v>
      </c>
      <c r="H2414" s="23" t="s">
        <v>9745</v>
      </c>
      <c r="I2414" s="21"/>
      <c r="J2414" s="25"/>
      <c r="K2414" s="26" t="s">
        <v>44</v>
      </c>
      <c r="L2414" s="16"/>
      <c r="M2414" s="21"/>
    </row>
    <row r="2415">
      <c r="A2415" s="28">
        <v>46232.0</v>
      </c>
      <c r="B2415" s="16" t="s">
        <v>9746</v>
      </c>
      <c r="C2415" s="20" t="s">
        <v>9747</v>
      </c>
      <c r="D2415" s="21"/>
      <c r="E2415" s="22" t="s">
        <v>9748</v>
      </c>
      <c r="H2415" s="23" t="s">
        <v>9749</v>
      </c>
      <c r="I2415" s="21"/>
      <c r="J2415" s="25"/>
      <c r="K2415" s="26" t="s">
        <v>44</v>
      </c>
      <c r="L2415" s="16"/>
      <c r="M2415" s="21"/>
    </row>
    <row r="2416">
      <c r="A2416" s="28">
        <v>46232.0</v>
      </c>
      <c r="B2416" s="16" t="s">
        <v>9750</v>
      </c>
      <c r="C2416" s="20" t="s">
        <v>9751</v>
      </c>
      <c r="D2416" s="21"/>
      <c r="E2416" s="22" t="s">
        <v>9752</v>
      </c>
      <c r="H2416" s="23" t="s">
        <v>9753</v>
      </c>
      <c r="I2416" s="21"/>
      <c r="J2416" s="25"/>
      <c r="K2416" s="26" t="s">
        <v>44</v>
      </c>
      <c r="L2416" s="16"/>
      <c r="M2416" s="21"/>
    </row>
    <row r="2417">
      <c r="A2417" s="28">
        <v>46232.0</v>
      </c>
      <c r="B2417" s="16" t="s">
        <v>9754</v>
      </c>
      <c r="C2417" s="20" t="s">
        <v>9755</v>
      </c>
      <c r="D2417" s="21"/>
      <c r="E2417" s="22" t="s">
        <v>9756</v>
      </c>
      <c r="H2417" s="23" t="s">
        <v>9757</v>
      </c>
      <c r="I2417" s="21"/>
      <c r="J2417" s="25"/>
      <c r="K2417" s="26" t="s">
        <v>44</v>
      </c>
      <c r="L2417" s="16"/>
      <c r="M2417" s="21"/>
    </row>
    <row r="2418">
      <c r="A2418" s="28">
        <v>46232.0</v>
      </c>
      <c r="B2418" s="16" t="s">
        <v>9758</v>
      </c>
      <c r="C2418" s="20" t="s">
        <v>9759</v>
      </c>
      <c r="D2418" s="21"/>
      <c r="E2418" s="22" t="s">
        <v>9760</v>
      </c>
      <c r="H2418" s="23" t="s">
        <v>5341</v>
      </c>
      <c r="I2418" s="21"/>
      <c r="J2418" s="25"/>
      <c r="K2418" s="26" t="s">
        <v>44</v>
      </c>
      <c r="L2418" s="16"/>
      <c r="M2418" s="21"/>
    </row>
    <row r="2419">
      <c r="A2419" s="28">
        <v>46232.0</v>
      </c>
      <c r="B2419" s="16" t="s">
        <v>9761</v>
      </c>
      <c r="C2419" s="20" t="s">
        <v>9762</v>
      </c>
      <c r="D2419" s="21"/>
      <c r="E2419" s="22" t="s">
        <v>9763</v>
      </c>
      <c r="H2419" s="23" t="s">
        <v>6161</v>
      </c>
      <c r="I2419" s="21"/>
      <c r="J2419" s="25"/>
      <c r="K2419" s="26" t="s">
        <v>44</v>
      </c>
      <c r="L2419" s="16"/>
      <c r="M2419" s="21"/>
    </row>
    <row r="2420">
      <c r="A2420" s="28">
        <v>46232.0</v>
      </c>
      <c r="B2420" s="16" t="s">
        <v>9764</v>
      </c>
      <c r="C2420" s="20" t="s">
        <v>9765</v>
      </c>
      <c r="D2420" s="21"/>
      <c r="E2420" s="22" t="s">
        <v>9766</v>
      </c>
      <c r="H2420" s="23" t="s">
        <v>2920</v>
      </c>
      <c r="I2420" s="21"/>
      <c r="J2420" s="25"/>
      <c r="K2420" s="26" t="s">
        <v>44</v>
      </c>
      <c r="L2420" s="16"/>
      <c r="M2420" s="21"/>
    </row>
    <row r="2421">
      <c r="A2421" s="28">
        <v>46232.0</v>
      </c>
      <c r="B2421" s="16" t="s">
        <v>9767</v>
      </c>
      <c r="C2421" s="20" t="s">
        <v>9768</v>
      </c>
      <c r="D2421" s="21"/>
      <c r="E2421" s="22" t="s">
        <v>9769</v>
      </c>
      <c r="H2421" s="23" t="s">
        <v>9770</v>
      </c>
      <c r="I2421" s="21"/>
      <c r="J2421" s="25"/>
      <c r="K2421" s="26" t="s">
        <v>44</v>
      </c>
      <c r="L2421" s="16"/>
      <c r="M2421" s="21"/>
    </row>
    <row r="2422">
      <c r="A2422" s="28">
        <v>46232.0</v>
      </c>
      <c r="B2422" s="16" t="s">
        <v>9771</v>
      </c>
      <c r="C2422" s="46" t="s">
        <v>9772</v>
      </c>
      <c r="D2422" s="21"/>
      <c r="E2422" s="22" t="s">
        <v>9773</v>
      </c>
      <c r="H2422" s="23" t="s">
        <v>2445</v>
      </c>
      <c r="I2422" s="21"/>
      <c r="J2422" s="25"/>
      <c r="K2422" s="26" t="s">
        <v>44</v>
      </c>
      <c r="L2422" s="16"/>
      <c r="M2422" s="21"/>
    </row>
    <row r="2423">
      <c r="A2423" s="28">
        <v>46232.0</v>
      </c>
      <c r="B2423" s="16" t="s">
        <v>9774</v>
      </c>
      <c r="C2423" s="20" t="s">
        <v>9775</v>
      </c>
      <c r="D2423" s="21"/>
      <c r="E2423" s="22" t="s">
        <v>9776</v>
      </c>
      <c r="H2423" s="23" t="s">
        <v>9777</v>
      </c>
      <c r="I2423" s="21"/>
      <c r="J2423" s="25"/>
      <c r="K2423" s="26" t="s">
        <v>44</v>
      </c>
      <c r="L2423" s="16"/>
      <c r="M2423" s="21"/>
    </row>
    <row r="2424">
      <c r="A2424" s="28">
        <v>46232.0</v>
      </c>
      <c r="B2424" s="16" t="s">
        <v>9778</v>
      </c>
      <c r="C2424" s="20" t="s">
        <v>9779</v>
      </c>
      <c r="D2424" s="21"/>
      <c r="E2424" s="22" t="s">
        <v>9780</v>
      </c>
      <c r="H2424" s="23" t="s">
        <v>9781</v>
      </c>
      <c r="I2424" s="21"/>
      <c r="J2424" s="25"/>
      <c r="K2424" s="26" t="s">
        <v>44</v>
      </c>
      <c r="L2424" s="16"/>
      <c r="M2424" s="21"/>
    </row>
    <row r="2425">
      <c r="A2425" s="28">
        <v>46232.0</v>
      </c>
      <c r="B2425" s="16" t="s">
        <v>9782</v>
      </c>
      <c r="C2425" s="20" t="s">
        <v>9783</v>
      </c>
      <c r="D2425" s="21"/>
      <c r="E2425" s="22" t="s">
        <v>9784</v>
      </c>
      <c r="H2425" s="23" t="s">
        <v>6172</v>
      </c>
      <c r="I2425" s="21"/>
      <c r="J2425" s="25"/>
      <c r="K2425" s="26" t="s">
        <v>44</v>
      </c>
      <c r="L2425" s="16"/>
      <c r="M2425" s="21"/>
    </row>
    <row r="2426">
      <c r="A2426" s="28">
        <v>46232.0</v>
      </c>
      <c r="B2426" s="16" t="s">
        <v>9785</v>
      </c>
      <c r="C2426" s="20" t="s">
        <v>9786</v>
      </c>
      <c r="D2426" s="21"/>
      <c r="E2426" s="22" t="s">
        <v>9787</v>
      </c>
      <c r="H2426" s="23" t="s">
        <v>9788</v>
      </c>
      <c r="I2426" s="21"/>
      <c r="J2426" s="25"/>
      <c r="K2426" s="26" t="s">
        <v>44</v>
      </c>
      <c r="L2426" s="16"/>
      <c r="M2426" s="21"/>
    </row>
    <row r="2427">
      <c r="A2427" s="28">
        <v>46232.0</v>
      </c>
      <c r="B2427" s="16" t="s">
        <v>9789</v>
      </c>
      <c r="C2427" s="20" t="s">
        <v>9790</v>
      </c>
      <c r="D2427" s="21"/>
      <c r="E2427" s="22" t="s">
        <v>9791</v>
      </c>
      <c r="H2427" s="23" t="s">
        <v>9792</v>
      </c>
      <c r="I2427" s="21"/>
      <c r="J2427" s="25"/>
      <c r="K2427" s="26" t="s">
        <v>44</v>
      </c>
      <c r="L2427" s="16"/>
      <c r="M2427" s="21"/>
    </row>
    <row r="2428">
      <c r="A2428" s="28">
        <v>46232.0</v>
      </c>
      <c r="B2428" s="16" t="s">
        <v>9793</v>
      </c>
      <c r="C2428" s="20" t="s">
        <v>9794</v>
      </c>
      <c r="D2428" s="21"/>
      <c r="E2428" s="22" t="s">
        <v>9795</v>
      </c>
      <c r="H2428" s="23" t="s">
        <v>9796</v>
      </c>
      <c r="I2428" s="21"/>
      <c r="J2428" s="25"/>
      <c r="K2428" s="26" t="s">
        <v>44</v>
      </c>
      <c r="L2428" s="16"/>
      <c r="M2428" s="21"/>
    </row>
    <row r="2429">
      <c r="A2429" s="28">
        <v>46232.0</v>
      </c>
      <c r="B2429" s="16" t="s">
        <v>9797</v>
      </c>
      <c r="C2429" s="20" t="s">
        <v>9798</v>
      </c>
      <c r="D2429" s="21"/>
      <c r="E2429" s="22" t="s">
        <v>9799</v>
      </c>
      <c r="H2429" s="23" t="s">
        <v>1372</v>
      </c>
      <c r="I2429" s="21"/>
      <c r="J2429" s="25"/>
      <c r="K2429" s="26" t="s">
        <v>44</v>
      </c>
      <c r="L2429" s="16"/>
      <c r="M2429" s="21"/>
    </row>
    <row r="2430">
      <c r="A2430" s="28">
        <v>46232.0</v>
      </c>
      <c r="B2430" s="16" t="s">
        <v>9800</v>
      </c>
      <c r="C2430" s="20" t="s">
        <v>9801</v>
      </c>
      <c r="D2430" s="21"/>
      <c r="E2430" s="22" t="s">
        <v>9802</v>
      </c>
      <c r="H2430" s="23" t="s">
        <v>4733</v>
      </c>
      <c r="I2430" s="21"/>
      <c r="J2430" s="25"/>
      <c r="K2430" s="26" t="s">
        <v>44</v>
      </c>
      <c r="L2430" s="16"/>
      <c r="M2430" s="21"/>
    </row>
    <row r="2431">
      <c r="A2431" s="28">
        <v>46232.0</v>
      </c>
      <c r="B2431" s="16" t="s">
        <v>9803</v>
      </c>
      <c r="C2431" s="20" t="s">
        <v>9804</v>
      </c>
      <c r="D2431" s="21"/>
      <c r="E2431" s="22" t="s">
        <v>9805</v>
      </c>
      <c r="H2431" s="23" t="s">
        <v>9806</v>
      </c>
      <c r="I2431" s="21"/>
      <c r="J2431" s="25"/>
      <c r="K2431" s="26" t="s">
        <v>44</v>
      </c>
      <c r="L2431" s="16"/>
      <c r="M2431" s="21"/>
    </row>
    <row r="2432">
      <c r="A2432" s="28">
        <v>46232.0</v>
      </c>
      <c r="B2432" s="16" t="s">
        <v>9807</v>
      </c>
      <c r="C2432" s="20" t="s">
        <v>9808</v>
      </c>
      <c r="D2432" s="21"/>
      <c r="E2432" s="22" t="s">
        <v>9809</v>
      </c>
      <c r="H2432" s="23" t="s">
        <v>9810</v>
      </c>
      <c r="I2432" s="21"/>
      <c r="J2432" s="25"/>
      <c r="K2432" s="26" t="s">
        <v>44</v>
      </c>
      <c r="L2432" s="16"/>
      <c r="M2432" s="21"/>
    </row>
    <row r="2433">
      <c r="A2433" s="28">
        <v>46232.0</v>
      </c>
      <c r="B2433" s="16" t="s">
        <v>9811</v>
      </c>
      <c r="C2433" s="20" t="s">
        <v>9812</v>
      </c>
      <c r="D2433" s="21"/>
      <c r="E2433" s="22" t="s">
        <v>9813</v>
      </c>
      <c r="H2433" s="23" t="s">
        <v>111</v>
      </c>
      <c r="I2433" s="21"/>
      <c r="J2433" s="25"/>
      <c r="K2433" s="26" t="s">
        <v>44</v>
      </c>
      <c r="L2433" s="16"/>
      <c r="M2433" s="21"/>
    </row>
    <row r="2434">
      <c r="A2434" s="28">
        <v>46232.0</v>
      </c>
      <c r="B2434" s="16" t="s">
        <v>9814</v>
      </c>
      <c r="C2434" s="20" t="s">
        <v>9815</v>
      </c>
      <c r="D2434" s="21"/>
      <c r="E2434" s="22" t="s">
        <v>9816</v>
      </c>
      <c r="H2434" s="23" t="s">
        <v>9817</v>
      </c>
      <c r="I2434" s="21"/>
      <c r="J2434" s="25"/>
      <c r="K2434" s="26" t="s">
        <v>44</v>
      </c>
      <c r="L2434" s="16"/>
      <c r="M2434" s="21"/>
    </row>
    <row r="2435">
      <c r="A2435" s="28">
        <v>46232.0</v>
      </c>
      <c r="B2435" s="16" t="s">
        <v>9818</v>
      </c>
      <c r="C2435" s="20" t="s">
        <v>9819</v>
      </c>
      <c r="D2435" s="21"/>
      <c r="E2435" s="22" t="s">
        <v>9820</v>
      </c>
      <c r="H2435" s="23" t="s">
        <v>9821</v>
      </c>
      <c r="I2435" s="21"/>
      <c r="J2435" s="25"/>
      <c r="K2435" s="26" t="s">
        <v>44</v>
      </c>
      <c r="L2435" s="16"/>
      <c r="M2435" s="21"/>
    </row>
    <row r="2436">
      <c r="A2436" s="28">
        <v>46232.0</v>
      </c>
      <c r="B2436" s="16" t="s">
        <v>9822</v>
      </c>
      <c r="C2436" s="20" t="s">
        <v>9823</v>
      </c>
      <c r="D2436" s="21"/>
      <c r="E2436" s="22" t="s">
        <v>9824</v>
      </c>
      <c r="H2436" s="23" t="s">
        <v>9825</v>
      </c>
      <c r="I2436" s="21"/>
      <c r="J2436" s="25"/>
      <c r="K2436" s="26" t="s">
        <v>44</v>
      </c>
      <c r="L2436" s="16"/>
      <c r="M2436" s="21"/>
    </row>
    <row r="2437">
      <c r="A2437" s="28">
        <v>46232.0</v>
      </c>
      <c r="B2437" s="16" t="s">
        <v>9826</v>
      </c>
      <c r="C2437" s="20" t="s">
        <v>9827</v>
      </c>
      <c r="D2437" s="21"/>
      <c r="E2437" s="22" t="s">
        <v>9828</v>
      </c>
      <c r="H2437" s="23" t="s">
        <v>5292</v>
      </c>
      <c r="I2437" s="21"/>
      <c r="J2437" s="25"/>
      <c r="K2437" s="26" t="s">
        <v>44</v>
      </c>
      <c r="L2437" s="16"/>
      <c r="M2437" s="21"/>
    </row>
    <row r="2438">
      <c r="A2438" s="28">
        <v>46232.0</v>
      </c>
      <c r="B2438" s="16" t="s">
        <v>9829</v>
      </c>
      <c r="C2438" s="20" t="s">
        <v>9830</v>
      </c>
      <c r="D2438" s="21"/>
      <c r="E2438" s="22" t="s">
        <v>9831</v>
      </c>
      <c r="H2438" s="23" t="s">
        <v>1971</v>
      </c>
      <c r="I2438" s="21"/>
      <c r="J2438" s="25"/>
      <c r="K2438" s="26" t="s">
        <v>44</v>
      </c>
      <c r="L2438" s="16"/>
      <c r="M2438" s="21"/>
    </row>
    <row r="2439">
      <c r="A2439" s="28">
        <v>46232.0</v>
      </c>
      <c r="B2439" s="16" t="s">
        <v>9832</v>
      </c>
      <c r="C2439" s="20" t="s">
        <v>9833</v>
      </c>
      <c r="D2439" s="21"/>
      <c r="E2439" s="22" t="s">
        <v>9834</v>
      </c>
      <c r="H2439" s="23" t="s">
        <v>9835</v>
      </c>
      <c r="I2439" s="21"/>
      <c r="J2439" s="25"/>
      <c r="K2439" s="26" t="s">
        <v>44</v>
      </c>
      <c r="L2439" s="16"/>
      <c r="M2439" s="21"/>
    </row>
    <row r="2440">
      <c r="A2440" s="28">
        <v>46232.0</v>
      </c>
      <c r="B2440" s="16" t="s">
        <v>9836</v>
      </c>
      <c r="C2440" s="20" t="s">
        <v>9837</v>
      </c>
      <c r="D2440" s="21"/>
      <c r="E2440" s="22" t="s">
        <v>9838</v>
      </c>
      <c r="H2440" s="23" t="s">
        <v>5531</v>
      </c>
      <c r="I2440" s="21"/>
      <c r="J2440" s="25"/>
      <c r="K2440" s="26" t="s">
        <v>44</v>
      </c>
      <c r="L2440" s="16"/>
      <c r="M2440" s="21"/>
    </row>
    <row r="2441">
      <c r="A2441" s="28">
        <v>46232.0</v>
      </c>
      <c r="B2441" s="16" t="s">
        <v>9839</v>
      </c>
      <c r="C2441" s="20" t="s">
        <v>9840</v>
      </c>
      <c r="D2441" s="21"/>
      <c r="E2441" s="22" t="s">
        <v>9841</v>
      </c>
      <c r="H2441" s="23" t="s">
        <v>9366</v>
      </c>
      <c r="I2441" s="21"/>
      <c r="J2441" s="25"/>
      <c r="K2441" s="26" t="s">
        <v>44</v>
      </c>
      <c r="L2441" s="16"/>
      <c r="M2441" s="21"/>
    </row>
    <row r="2442">
      <c r="A2442" s="28">
        <v>46232.0</v>
      </c>
      <c r="B2442" s="16" t="s">
        <v>9842</v>
      </c>
      <c r="C2442" s="20" t="s">
        <v>9843</v>
      </c>
      <c r="D2442" s="21"/>
      <c r="E2442" s="22" t="s">
        <v>9844</v>
      </c>
      <c r="H2442" s="23" t="s">
        <v>936</v>
      </c>
      <c r="I2442" s="21"/>
      <c r="J2442" s="25"/>
      <c r="K2442" s="26" t="s">
        <v>44</v>
      </c>
      <c r="L2442" s="16"/>
      <c r="M2442" s="21"/>
    </row>
    <row r="2443">
      <c r="A2443" s="28">
        <v>46232.0</v>
      </c>
      <c r="B2443" s="16" t="s">
        <v>9845</v>
      </c>
      <c r="C2443" s="20" t="s">
        <v>9846</v>
      </c>
      <c r="D2443" s="21"/>
      <c r="E2443" s="22" t="s">
        <v>9847</v>
      </c>
      <c r="H2443" s="23" t="s">
        <v>4400</v>
      </c>
      <c r="I2443" s="21"/>
      <c r="J2443" s="25"/>
      <c r="K2443" s="26" t="s">
        <v>44</v>
      </c>
      <c r="L2443" s="16"/>
      <c r="M2443" s="21"/>
    </row>
    <row r="2444">
      <c r="A2444" s="28">
        <v>46232.0</v>
      </c>
      <c r="B2444" s="16" t="s">
        <v>9848</v>
      </c>
      <c r="C2444" s="20" t="s">
        <v>9849</v>
      </c>
      <c r="D2444" s="21"/>
      <c r="E2444" s="22" t="s">
        <v>9850</v>
      </c>
      <c r="H2444" s="23" t="s">
        <v>2549</v>
      </c>
      <c r="I2444" s="21"/>
      <c r="J2444" s="25"/>
      <c r="K2444" s="26" t="s">
        <v>44</v>
      </c>
      <c r="L2444" s="16"/>
      <c r="M2444" s="21"/>
    </row>
    <row r="2445">
      <c r="A2445" s="28">
        <v>46232.0</v>
      </c>
      <c r="B2445" s="16" t="s">
        <v>9851</v>
      </c>
      <c r="C2445" s="20" t="s">
        <v>9852</v>
      </c>
      <c r="D2445" s="21"/>
      <c r="E2445" s="22" t="s">
        <v>9853</v>
      </c>
      <c r="H2445" s="23" t="s">
        <v>9854</v>
      </c>
      <c r="I2445" s="21"/>
      <c r="J2445" s="25"/>
      <c r="K2445" s="26" t="s">
        <v>44</v>
      </c>
      <c r="L2445" s="16"/>
      <c r="M2445" s="21"/>
    </row>
    <row r="2446">
      <c r="A2446" s="28">
        <v>46232.0</v>
      </c>
      <c r="B2446" s="16" t="s">
        <v>9855</v>
      </c>
      <c r="C2446" s="20" t="s">
        <v>9856</v>
      </c>
      <c r="D2446" s="21"/>
      <c r="E2446" s="22" t="s">
        <v>9857</v>
      </c>
      <c r="H2446" s="23" t="s">
        <v>4711</v>
      </c>
      <c r="I2446" s="21"/>
      <c r="J2446" s="25"/>
      <c r="K2446" s="26" t="s">
        <v>44</v>
      </c>
      <c r="L2446" s="16"/>
      <c r="M2446" s="21"/>
    </row>
    <row r="2447">
      <c r="A2447" s="28">
        <v>46232.0</v>
      </c>
      <c r="B2447" s="16" t="s">
        <v>9858</v>
      </c>
      <c r="C2447" s="20" t="s">
        <v>9859</v>
      </c>
      <c r="D2447" s="21"/>
      <c r="E2447" s="22" t="s">
        <v>9860</v>
      </c>
      <c r="H2447" s="23" t="s">
        <v>9861</v>
      </c>
      <c r="I2447" s="21"/>
      <c r="J2447" s="25"/>
      <c r="K2447" s="26" t="s">
        <v>44</v>
      </c>
      <c r="L2447" s="16"/>
      <c r="M2447" s="21"/>
    </row>
    <row r="2448">
      <c r="A2448" s="28">
        <v>46232.0</v>
      </c>
      <c r="B2448" s="16" t="s">
        <v>9862</v>
      </c>
      <c r="C2448" s="20" t="s">
        <v>9863</v>
      </c>
      <c r="D2448" s="21"/>
      <c r="E2448" s="22" t="s">
        <v>9864</v>
      </c>
      <c r="H2448" s="23" t="s">
        <v>6432</v>
      </c>
      <c r="I2448" s="21"/>
      <c r="J2448" s="25"/>
      <c r="K2448" s="26" t="s">
        <v>44</v>
      </c>
      <c r="L2448" s="16"/>
      <c r="M2448" s="21"/>
    </row>
    <row r="2449">
      <c r="A2449" s="28">
        <v>46232.0</v>
      </c>
      <c r="B2449" s="16" t="s">
        <v>9865</v>
      </c>
      <c r="C2449" s="20" t="s">
        <v>9866</v>
      </c>
      <c r="D2449" s="21"/>
      <c r="E2449" s="22" t="s">
        <v>9867</v>
      </c>
      <c r="H2449" s="23" t="s">
        <v>2113</v>
      </c>
      <c r="I2449" s="21"/>
      <c r="J2449" s="25"/>
      <c r="K2449" s="26" t="s">
        <v>44</v>
      </c>
      <c r="L2449" s="16"/>
      <c r="M2449" s="21"/>
    </row>
    <row r="2450">
      <c r="A2450" s="28">
        <v>46232.0</v>
      </c>
      <c r="B2450" s="16" t="s">
        <v>9868</v>
      </c>
      <c r="C2450" s="20" t="s">
        <v>9869</v>
      </c>
      <c r="D2450" s="21"/>
      <c r="E2450" s="22" t="s">
        <v>9870</v>
      </c>
      <c r="H2450" s="23" t="s">
        <v>614</v>
      </c>
      <c r="I2450" s="21"/>
      <c r="J2450" s="25"/>
      <c r="K2450" s="26" t="s">
        <v>44</v>
      </c>
      <c r="L2450" s="16"/>
      <c r="M2450" s="21"/>
    </row>
    <row r="2451">
      <c r="A2451" s="28">
        <v>46232.0</v>
      </c>
      <c r="B2451" s="16" t="s">
        <v>9871</v>
      </c>
      <c r="C2451" s="20" t="s">
        <v>9872</v>
      </c>
      <c r="D2451" s="21"/>
      <c r="E2451" s="22" t="s">
        <v>9873</v>
      </c>
      <c r="H2451" s="23" t="s">
        <v>487</v>
      </c>
      <c r="I2451" s="21"/>
      <c r="J2451" s="25"/>
      <c r="K2451" s="26" t="s">
        <v>44</v>
      </c>
      <c r="L2451" s="16"/>
      <c r="M2451" s="21"/>
    </row>
    <row r="2452">
      <c r="A2452" s="28">
        <v>46232.0</v>
      </c>
      <c r="B2452" s="16" t="s">
        <v>9874</v>
      </c>
      <c r="C2452" s="20" t="s">
        <v>9875</v>
      </c>
      <c r="D2452" s="21"/>
      <c r="E2452" s="22" t="s">
        <v>9876</v>
      </c>
      <c r="H2452" s="23" t="s">
        <v>9877</v>
      </c>
      <c r="I2452" s="21"/>
      <c r="J2452" s="25"/>
      <c r="K2452" s="26" t="s">
        <v>44</v>
      </c>
      <c r="L2452" s="16"/>
      <c r="M2452" s="21"/>
    </row>
    <row r="2453">
      <c r="A2453" s="28">
        <v>46232.0</v>
      </c>
      <c r="B2453" s="16" t="s">
        <v>9878</v>
      </c>
      <c r="C2453" s="20" t="s">
        <v>9879</v>
      </c>
      <c r="D2453" s="21"/>
      <c r="E2453" s="22" t="s">
        <v>9880</v>
      </c>
      <c r="H2453" s="23" t="s">
        <v>9881</v>
      </c>
      <c r="I2453" s="21"/>
      <c r="J2453" s="25"/>
      <c r="K2453" s="26" t="s">
        <v>44</v>
      </c>
      <c r="L2453" s="16"/>
      <c r="M2453" s="21"/>
    </row>
    <row r="2454">
      <c r="A2454" s="28">
        <v>46232.0</v>
      </c>
      <c r="B2454" s="16" t="s">
        <v>9882</v>
      </c>
      <c r="C2454" s="20" t="s">
        <v>9883</v>
      </c>
      <c r="D2454" s="21"/>
      <c r="E2454" s="22" t="s">
        <v>9884</v>
      </c>
      <c r="H2454" s="23" t="s">
        <v>9885</v>
      </c>
      <c r="I2454" s="21"/>
      <c r="J2454" s="25"/>
      <c r="K2454" s="26" t="s">
        <v>44</v>
      </c>
      <c r="L2454" s="16"/>
      <c r="M2454" s="21"/>
    </row>
    <row r="2455">
      <c r="A2455" s="28">
        <v>46232.0</v>
      </c>
      <c r="B2455" s="16" t="s">
        <v>9886</v>
      </c>
      <c r="C2455" s="20" t="s">
        <v>9887</v>
      </c>
      <c r="D2455" s="21"/>
      <c r="E2455" s="22" t="s">
        <v>9888</v>
      </c>
      <c r="H2455" s="23" t="s">
        <v>904</v>
      </c>
      <c r="I2455" s="21"/>
      <c r="J2455" s="25"/>
      <c r="K2455" s="26" t="s">
        <v>44</v>
      </c>
      <c r="L2455" s="16"/>
      <c r="M2455" s="21"/>
    </row>
    <row r="2456">
      <c r="A2456" s="28">
        <v>46232.0</v>
      </c>
      <c r="B2456" s="16" t="s">
        <v>9889</v>
      </c>
      <c r="C2456" s="20" t="s">
        <v>9890</v>
      </c>
      <c r="D2456" s="21"/>
      <c r="E2456" s="22" t="s">
        <v>9891</v>
      </c>
      <c r="H2456" s="23" t="s">
        <v>9892</v>
      </c>
      <c r="I2456" s="21"/>
      <c r="J2456" s="25"/>
      <c r="K2456" s="26" t="s">
        <v>44</v>
      </c>
      <c r="L2456" s="16"/>
      <c r="M2456" s="21"/>
    </row>
    <row r="2457">
      <c r="A2457" s="28">
        <v>46232.0</v>
      </c>
      <c r="B2457" s="16" t="s">
        <v>9893</v>
      </c>
      <c r="C2457" s="20" t="s">
        <v>9894</v>
      </c>
      <c r="D2457" s="21"/>
      <c r="E2457" s="22" t="s">
        <v>9895</v>
      </c>
      <c r="H2457" s="23" t="s">
        <v>8589</v>
      </c>
      <c r="I2457" s="21"/>
      <c r="J2457" s="25"/>
      <c r="K2457" s="26" t="s">
        <v>44</v>
      </c>
      <c r="L2457" s="16"/>
      <c r="M2457" s="21"/>
    </row>
    <row r="2458">
      <c r="A2458" s="28">
        <v>46232.0</v>
      </c>
      <c r="B2458" s="16" t="s">
        <v>9896</v>
      </c>
      <c r="C2458" s="20" t="s">
        <v>9897</v>
      </c>
      <c r="D2458" s="21"/>
      <c r="E2458" s="22" t="s">
        <v>9898</v>
      </c>
      <c r="H2458" s="23" t="s">
        <v>2549</v>
      </c>
      <c r="I2458" s="21"/>
      <c r="J2458" s="25"/>
      <c r="K2458" s="26" t="s">
        <v>44</v>
      </c>
      <c r="L2458" s="16"/>
      <c r="M2458" s="21"/>
    </row>
    <row r="2459">
      <c r="A2459" s="28">
        <v>46232.0</v>
      </c>
      <c r="B2459" s="16" t="s">
        <v>9899</v>
      </c>
      <c r="C2459" s="20" t="s">
        <v>9900</v>
      </c>
      <c r="D2459" s="21"/>
      <c r="E2459" s="22" t="s">
        <v>9901</v>
      </c>
      <c r="H2459" s="23" t="s">
        <v>76</v>
      </c>
      <c r="I2459" s="21"/>
      <c r="J2459" s="25"/>
      <c r="K2459" s="26" t="s">
        <v>44</v>
      </c>
      <c r="L2459" s="16"/>
      <c r="M2459" s="21"/>
    </row>
    <row r="2460">
      <c r="A2460" s="28">
        <v>46232.0</v>
      </c>
      <c r="B2460" s="16" t="s">
        <v>9902</v>
      </c>
      <c r="C2460" s="20" t="s">
        <v>9903</v>
      </c>
      <c r="D2460" s="21"/>
      <c r="E2460" s="22" t="s">
        <v>9904</v>
      </c>
      <c r="H2460" s="23" t="s">
        <v>9905</v>
      </c>
      <c r="I2460" s="21"/>
      <c r="J2460" s="25"/>
      <c r="K2460" s="26" t="s">
        <v>44</v>
      </c>
      <c r="L2460" s="16"/>
      <c r="M2460" s="21"/>
    </row>
    <row r="2461">
      <c r="A2461" s="28">
        <v>46232.0</v>
      </c>
      <c r="B2461" s="16" t="s">
        <v>9906</v>
      </c>
      <c r="C2461" s="20" t="s">
        <v>9907</v>
      </c>
      <c r="D2461" s="21"/>
      <c r="E2461" s="22" t="s">
        <v>9908</v>
      </c>
      <c r="H2461" s="23" t="s">
        <v>1612</v>
      </c>
      <c r="I2461" s="21"/>
      <c r="J2461" s="25"/>
      <c r="K2461" s="26" t="s">
        <v>44</v>
      </c>
      <c r="L2461" s="16"/>
      <c r="M2461" s="21"/>
    </row>
    <row r="2462">
      <c r="A2462" s="28">
        <v>46232.0</v>
      </c>
      <c r="B2462" s="16" t="s">
        <v>9909</v>
      </c>
      <c r="C2462" s="20" t="s">
        <v>9910</v>
      </c>
      <c r="D2462" s="21"/>
      <c r="E2462" s="22" t="s">
        <v>9911</v>
      </c>
      <c r="H2462" s="23" t="s">
        <v>9912</v>
      </c>
      <c r="I2462" s="21"/>
      <c r="J2462" s="25"/>
      <c r="K2462" s="26" t="s">
        <v>44</v>
      </c>
      <c r="L2462" s="16"/>
      <c r="M2462" s="21"/>
    </row>
    <row r="2463">
      <c r="A2463" s="28">
        <v>46232.0</v>
      </c>
      <c r="B2463" s="16" t="s">
        <v>9913</v>
      </c>
      <c r="C2463" s="20" t="s">
        <v>9914</v>
      </c>
      <c r="D2463" s="21"/>
      <c r="E2463" s="22" t="s">
        <v>9915</v>
      </c>
      <c r="H2463" s="23" t="s">
        <v>1992</v>
      </c>
      <c r="I2463" s="21"/>
      <c r="J2463" s="25"/>
      <c r="K2463" s="26" t="s">
        <v>44</v>
      </c>
      <c r="L2463" s="16"/>
      <c r="M2463" s="21"/>
    </row>
    <row r="2464">
      <c r="A2464" s="28">
        <v>46232.0</v>
      </c>
      <c r="B2464" s="16" t="s">
        <v>9916</v>
      </c>
      <c r="C2464" s="20" t="s">
        <v>9917</v>
      </c>
      <c r="D2464" s="21"/>
      <c r="E2464" s="22" t="s">
        <v>9918</v>
      </c>
      <c r="H2464" s="23" t="s">
        <v>1266</v>
      </c>
      <c r="I2464" s="21"/>
      <c r="J2464" s="25"/>
      <c r="K2464" s="26" t="s">
        <v>44</v>
      </c>
      <c r="L2464" s="16"/>
      <c r="M2464" s="21"/>
    </row>
    <row r="2465">
      <c r="A2465" s="28">
        <v>46232.0</v>
      </c>
      <c r="B2465" s="16" t="s">
        <v>9919</v>
      </c>
      <c r="C2465" s="20" t="s">
        <v>9920</v>
      </c>
      <c r="D2465" s="21"/>
      <c r="E2465" s="22" t="s">
        <v>9921</v>
      </c>
      <c r="H2465" s="23" t="s">
        <v>48</v>
      </c>
      <c r="I2465" s="21"/>
      <c r="J2465" s="25"/>
      <c r="K2465" s="26" t="s">
        <v>44</v>
      </c>
      <c r="L2465" s="16"/>
      <c r="M2465" s="21"/>
    </row>
    <row r="2466">
      <c r="A2466" s="28">
        <v>46232.0</v>
      </c>
      <c r="B2466" s="16" t="s">
        <v>9922</v>
      </c>
      <c r="C2466" s="20" t="s">
        <v>9923</v>
      </c>
      <c r="D2466" s="21"/>
      <c r="E2466" s="22" t="s">
        <v>9924</v>
      </c>
      <c r="H2466" s="23" t="s">
        <v>134</v>
      </c>
      <c r="I2466" s="21"/>
      <c r="J2466" s="25"/>
      <c r="K2466" s="26" t="s">
        <v>44</v>
      </c>
      <c r="L2466" s="16"/>
      <c r="M2466" s="21"/>
    </row>
    <row r="2467">
      <c r="A2467" s="28">
        <v>46232.0</v>
      </c>
      <c r="B2467" s="16" t="s">
        <v>9925</v>
      </c>
      <c r="C2467" s="20" t="s">
        <v>9926</v>
      </c>
      <c r="D2467" s="21"/>
      <c r="E2467" s="22" t="s">
        <v>9927</v>
      </c>
      <c r="H2467" s="23" t="s">
        <v>9928</v>
      </c>
      <c r="I2467" s="21"/>
      <c r="J2467" s="25"/>
      <c r="K2467" s="26" t="s">
        <v>44</v>
      </c>
      <c r="L2467" s="16"/>
      <c r="M2467" s="21"/>
    </row>
    <row r="2468">
      <c r="A2468" s="28">
        <v>46232.0</v>
      </c>
      <c r="B2468" s="16" t="s">
        <v>9929</v>
      </c>
      <c r="C2468" s="20" t="s">
        <v>9930</v>
      </c>
      <c r="D2468" s="21"/>
      <c r="E2468" s="22" t="s">
        <v>9931</v>
      </c>
      <c r="H2468" s="23" t="s">
        <v>2120</v>
      </c>
      <c r="I2468" s="21"/>
      <c r="J2468" s="25"/>
      <c r="K2468" s="26" t="s">
        <v>44</v>
      </c>
      <c r="L2468" s="16"/>
      <c r="M2468" s="21"/>
    </row>
    <row r="2469">
      <c r="A2469" s="28">
        <v>46232.0</v>
      </c>
      <c r="B2469" s="16" t="s">
        <v>9932</v>
      </c>
      <c r="C2469" s="20" t="s">
        <v>9933</v>
      </c>
      <c r="D2469" s="21"/>
      <c r="E2469" s="22" t="s">
        <v>9934</v>
      </c>
      <c r="H2469" s="23" t="s">
        <v>279</v>
      </c>
      <c r="I2469" s="21"/>
      <c r="J2469" s="25"/>
      <c r="K2469" s="26" t="s">
        <v>44</v>
      </c>
      <c r="L2469" s="16"/>
      <c r="M2469" s="21"/>
    </row>
    <row r="2470">
      <c r="A2470" s="28">
        <v>46232.0</v>
      </c>
      <c r="B2470" s="16" t="s">
        <v>9935</v>
      </c>
      <c r="C2470" s="20" t="s">
        <v>9936</v>
      </c>
      <c r="D2470" s="21"/>
      <c r="E2470" s="22" t="s">
        <v>9937</v>
      </c>
      <c r="H2470" s="23" t="s">
        <v>9938</v>
      </c>
      <c r="I2470" s="21"/>
      <c r="J2470" s="25"/>
      <c r="K2470" s="26" t="s">
        <v>44</v>
      </c>
      <c r="L2470" s="16"/>
      <c r="M2470" s="21"/>
    </row>
    <row r="2471">
      <c r="A2471" s="28">
        <v>46232.0</v>
      </c>
      <c r="B2471" s="16" t="s">
        <v>9939</v>
      </c>
      <c r="C2471" s="20" t="s">
        <v>9940</v>
      </c>
      <c r="D2471" s="21"/>
      <c r="E2471" s="22" t="s">
        <v>9941</v>
      </c>
      <c r="H2471" s="23" t="s">
        <v>1250</v>
      </c>
      <c r="I2471" s="21"/>
      <c r="J2471" s="25"/>
      <c r="K2471" s="26" t="s">
        <v>44</v>
      </c>
      <c r="L2471" s="16"/>
      <c r="M2471" s="21"/>
    </row>
    <row r="2472">
      <c r="A2472" s="28">
        <v>46232.0</v>
      </c>
      <c r="B2472" s="16" t="s">
        <v>9942</v>
      </c>
      <c r="C2472" s="20" t="s">
        <v>9943</v>
      </c>
      <c r="D2472" s="21"/>
      <c r="E2472" s="22" t="s">
        <v>9944</v>
      </c>
      <c r="H2472" s="23" t="s">
        <v>9945</v>
      </c>
      <c r="I2472" s="21"/>
      <c r="J2472" s="25"/>
      <c r="K2472" s="26" t="s">
        <v>44</v>
      </c>
      <c r="L2472" s="16"/>
      <c r="M2472" s="21"/>
    </row>
    <row r="2473">
      <c r="A2473" s="28">
        <v>46232.0</v>
      </c>
      <c r="B2473" s="16" t="s">
        <v>9946</v>
      </c>
      <c r="C2473" s="20" t="s">
        <v>9947</v>
      </c>
      <c r="D2473" s="21"/>
      <c r="E2473" s="22" t="s">
        <v>9948</v>
      </c>
      <c r="H2473" s="23" t="s">
        <v>9949</v>
      </c>
      <c r="I2473" s="21"/>
      <c r="J2473" s="25"/>
      <c r="K2473" s="26" t="s">
        <v>44</v>
      </c>
      <c r="L2473" s="16"/>
      <c r="M2473" s="21"/>
    </row>
    <row r="2474">
      <c r="A2474" s="28">
        <v>46232.0</v>
      </c>
      <c r="B2474" s="16" t="s">
        <v>9950</v>
      </c>
      <c r="C2474" s="20" t="s">
        <v>9951</v>
      </c>
      <c r="D2474" s="21"/>
      <c r="E2474" s="22" t="s">
        <v>9952</v>
      </c>
      <c r="H2474" s="23" t="s">
        <v>9953</v>
      </c>
      <c r="I2474" s="21"/>
      <c r="J2474" s="25"/>
      <c r="K2474" s="26" t="s">
        <v>44</v>
      </c>
      <c r="L2474" s="16"/>
      <c r="M2474" s="21"/>
    </row>
    <row r="2475">
      <c r="A2475" s="28">
        <v>46232.0</v>
      </c>
      <c r="B2475" s="16" t="s">
        <v>9954</v>
      </c>
      <c r="C2475" s="20" t="s">
        <v>9955</v>
      </c>
      <c r="D2475" s="21"/>
      <c r="E2475" s="22" t="s">
        <v>9956</v>
      </c>
      <c r="H2475" s="23" t="s">
        <v>9957</v>
      </c>
      <c r="I2475" s="21"/>
      <c r="J2475" s="25"/>
      <c r="K2475" s="26" t="s">
        <v>44</v>
      </c>
      <c r="L2475" s="16"/>
      <c r="M2475" s="21"/>
    </row>
    <row r="2476">
      <c r="A2476" s="28">
        <v>46232.0</v>
      </c>
      <c r="B2476" s="16" t="s">
        <v>9958</v>
      </c>
      <c r="C2476" s="20" t="s">
        <v>9959</v>
      </c>
      <c r="D2476" s="21"/>
      <c r="E2476" s="22" t="s">
        <v>9960</v>
      </c>
      <c r="H2476" s="23" t="s">
        <v>9961</v>
      </c>
      <c r="I2476" s="21"/>
      <c r="J2476" s="25"/>
      <c r="K2476" s="26" t="s">
        <v>44</v>
      </c>
      <c r="L2476" s="16"/>
      <c r="M2476" s="21"/>
    </row>
    <row r="2477">
      <c r="A2477" s="28">
        <v>46232.0</v>
      </c>
      <c r="B2477" s="16" t="s">
        <v>9962</v>
      </c>
      <c r="C2477" s="20" t="s">
        <v>9963</v>
      </c>
      <c r="D2477" s="21"/>
      <c r="E2477" s="22" t="s">
        <v>9964</v>
      </c>
      <c r="H2477" s="23" t="s">
        <v>9965</v>
      </c>
      <c r="I2477" s="21"/>
      <c r="J2477" s="25"/>
      <c r="K2477" s="26" t="s">
        <v>44</v>
      </c>
      <c r="L2477" s="16"/>
      <c r="M2477" s="21"/>
    </row>
    <row r="2478">
      <c r="A2478" s="28">
        <v>46232.0</v>
      </c>
      <c r="B2478" s="16" t="s">
        <v>9966</v>
      </c>
      <c r="C2478" s="20" t="s">
        <v>9967</v>
      </c>
      <c r="D2478" s="21"/>
      <c r="E2478" s="22" t="s">
        <v>9968</v>
      </c>
      <c r="H2478" s="23" t="s">
        <v>1530</v>
      </c>
      <c r="I2478" s="21"/>
      <c r="J2478" s="25"/>
      <c r="K2478" s="26" t="s">
        <v>44</v>
      </c>
      <c r="L2478" s="16"/>
      <c r="M2478" s="21"/>
    </row>
    <row r="2479">
      <c r="A2479" s="28">
        <v>46232.0</v>
      </c>
      <c r="B2479" s="16" t="s">
        <v>9969</v>
      </c>
      <c r="C2479" s="20" t="s">
        <v>9970</v>
      </c>
      <c r="D2479" s="21"/>
      <c r="E2479" s="22" t="s">
        <v>9971</v>
      </c>
      <c r="H2479" s="23" t="s">
        <v>9972</v>
      </c>
      <c r="I2479" s="21"/>
      <c r="J2479" s="25"/>
      <c r="K2479" s="26" t="s">
        <v>44</v>
      </c>
      <c r="L2479" s="16"/>
      <c r="M2479" s="21"/>
    </row>
    <row r="2480">
      <c r="A2480" s="28">
        <v>46232.0</v>
      </c>
      <c r="B2480" s="16" t="s">
        <v>9973</v>
      </c>
      <c r="C2480" s="20" t="s">
        <v>9974</v>
      </c>
      <c r="D2480" s="21"/>
      <c r="E2480" s="22" t="s">
        <v>9975</v>
      </c>
      <c r="H2480" s="23" t="s">
        <v>9976</v>
      </c>
      <c r="I2480" s="21"/>
      <c r="J2480" s="25"/>
      <c r="K2480" s="26" t="s">
        <v>44</v>
      </c>
      <c r="L2480" s="16"/>
      <c r="M2480" s="21"/>
    </row>
    <row r="2481">
      <c r="A2481" s="28">
        <v>46232.0</v>
      </c>
      <c r="B2481" s="16" t="s">
        <v>9977</v>
      </c>
      <c r="C2481" s="20" t="s">
        <v>9978</v>
      </c>
      <c r="D2481" s="21"/>
      <c r="E2481" s="22" t="s">
        <v>9979</v>
      </c>
      <c r="H2481" s="23" t="s">
        <v>536</v>
      </c>
      <c r="I2481" s="21"/>
      <c r="J2481" s="25"/>
      <c r="K2481" s="26" t="s">
        <v>44</v>
      </c>
      <c r="L2481" s="16"/>
      <c r="M2481" s="21"/>
    </row>
    <row r="2482">
      <c r="A2482" s="28">
        <v>46232.0</v>
      </c>
      <c r="B2482" s="16" t="s">
        <v>9980</v>
      </c>
      <c r="C2482" s="20" t="s">
        <v>9981</v>
      </c>
      <c r="D2482" s="21"/>
      <c r="E2482" s="22" t="s">
        <v>9982</v>
      </c>
      <c r="H2482" s="23" t="s">
        <v>983</v>
      </c>
      <c r="I2482" s="21"/>
      <c r="J2482" s="25"/>
      <c r="K2482" s="26" t="s">
        <v>44</v>
      </c>
      <c r="L2482" s="16"/>
      <c r="M2482" s="21"/>
    </row>
    <row r="2483">
      <c r="A2483" s="28">
        <v>46232.0</v>
      </c>
      <c r="B2483" s="16" t="s">
        <v>9983</v>
      </c>
      <c r="C2483" s="20" t="s">
        <v>9984</v>
      </c>
      <c r="D2483" s="21"/>
      <c r="E2483" s="22" t="s">
        <v>9985</v>
      </c>
      <c r="H2483" s="23" t="s">
        <v>2268</v>
      </c>
      <c r="I2483" s="21"/>
      <c r="J2483" s="25"/>
      <c r="K2483" s="26" t="s">
        <v>44</v>
      </c>
      <c r="L2483" s="16"/>
      <c r="M2483" s="21"/>
    </row>
    <row r="2484">
      <c r="A2484" s="28">
        <v>46232.0</v>
      </c>
      <c r="B2484" s="16" t="s">
        <v>9986</v>
      </c>
      <c r="C2484" s="20" t="s">
        <v>9987</v>
      </c>
      <c r="D2484" s="21"/>
      <c r="E2484" s="22" t="s">
        <v>9988</v>
      </c>
      <c r="H2484" s="23" t="s">
        <v>48</v>
      </c>
      <c r="I2484" s="21"/>
      <c r="J2484" s="25"/>
      <c r="K2484" s="26" t="s">
        <v>44</v>
      </c>
      <c r="L2484" s="16"/>
      <c r="M2484" s="21"/>
    </row>
    <row r="2485">
      <c r="A2485" s="28">
        <v>46232.0</v>
      </c>
      <c r="B2485" s="16" t="s">
        <v>9989</v>
      </c>
      <c r="C2485" s="20" t="s">
        <v>9990</v>
      </c>
      <c r="D2485" s="21"/>
      <c r="E2485" s="22" t="s">
        <v>9991</v>
      </c>
      <c r="H2485" s="23" t="s">
        <v>9992</v>
      </c>
      <c r="I2485" s="21"/>
      <c r="J2485" s="25"/>
      <c r="K2485" s="26" t="s">
        <v>44</v>
      </c>
      <c r="L2485" s="16"/>
      <c r="M2485" s="21"/>
    </row>
    <row r="2486">
      <c r="A2486" s="28">
        <v>46232.0</v>
      </c>
      <c r="B2486" s="16" t="s">
        <v>9993</v>
      </c>
      <c r="C2486" s="20" t="s">
        <v>9994</v>
      </c>
      <c r="D2486" s="21"/>
      <c r="E2486" s="22" t="s">
        <v>9995</v>
      </c>
      <c r="H2486" s="23" t="s">
        <v>9996</v>
      </c>
      <c r="I2486" s="21"/>
      <c r="J2486" s="25"/>
      <c r="K2486" s="26" t="s">
        <v>44</v>
      </c>
      <c r="L2486" s="16"/>
      <c r="M2486" s="21"/>
    </row>
    <row r="2487">
      <c r="A2487" s="28">
        <v>46232.0</v>
      </c>
      <c r="B2487" s="16" t="s">
        <v>9997</v>
      </c>
      <c r="C2487" s="20" t="s">
        <v>9998</v>
      </c>
      <c r="D2487" s="21"/>
      <c r="E2487" s="22" t="s">
        <v>9999</v>
      </c>
      <c r="H2487" s="23" t="s">
        <v>4575</v>
      </c>
      <c r="I2487" s="21"/>
      <c r="J2487" s="25"/>
      <c r="K2487" s="26" t="s">
        <v>44</v>
      </c>
      <c r="L2487" s="16"/>
      <c r="M2487" s="21"/>
    </row>
    <row r="2488">
      <c r="A2488" s="28">
        <v>46232.0</v>
      </c>
      <c r="B2488" s="16" t="s">
        <v>10000</v>
      </c>
      <c r="C2488" s="20" t="s">
        <v>10001</v>
      </c>
      <c r="D2488" s="21"/>
      <c r="E2488" s="22" t="s">
        <v>10002</v>
      </c>
      <c r="H2488" s="23" t="s">
        <v>614</v>
      </c>
      <c r="I2488" s="21"/>
      <c r="J2488" s="25"/>
      <c r="K2488" s="26" t="s">
        <v>44</v>
      </c>
      <c r="L2488" s="16"/>
      <c r="M2488" s="21"/>
    </row>
    <row r="2489">
      <c r="A2489" s="28">
        <v>46232.0</v>
      </c>
      <c r="B2489" s="16" t="s">
        <v>10003</v>
      </c>
      <c r="C2489" s="20" t="s">
        <v>10004</v>
      </c>
      <c r="D2489" s="21"/>
      <c r="E2489" s="22" t="s">
        <v>10005</v>
      </c>
      <c r="H2489" s="23" t="s">
        <v>4681</v>
      </c>
      <c r="I2489" s="21"/>
      <c r="J2489" s="25"/>
      <c r="K2489" s="26" t="s">
        <v>44</v>
      </c>
      <c r="L2489" s="16"/>
      <c r="M2489" s="21"/>
    </row>
    <row r="2490">
      <c r="A2490" s="28">
        <v>46232.0</v>
      </c>
      <c r="B2490" s="16" t="s">
        <v>10006</v>
      </c>
      <c r="C2490" s="20" t="s">
        <v>10007</v>
      </c>
      <c r="D2490" s="21"/>
      <c r="E2490" s="22" t="s">
        <v>10008</v>
      </c>
      <c r="H2490" s="23" t="s">
        <v>1941</v>
      </c>
      <c r="I2490" s="21"/>
      <c r="J2490" s="25"/>
      <c r="K2490" s="26" t="s">
        <v>44</v>
      </c>
      <c r="L2490" s="16"/>
      <c r="M2490" s="21"/>
    </row>
    <row r="2491">
      <c r="A2491" s="28">
        <v>46232.0</v>
      </c>
      <c r="B2491" s="16" t="s">
        <v>10009</v>
      </c>
      <c r="C2491" s="46" t="s">
        <v>10010</v>
      </c>
      <c r="D2491" s="21"/>
      <c r="E2491" s="22" t="s">
        <v>10011</v>
      </c>
      <c r="H2491" s="23" t="s">
        <v>2650</v>
      </c>
      <c r="I2491" s="21"/>
      <c r="J2491" s="25"/>
      <c r="K2491" s="26" t="s">
        <v>44</v>
      </c>
      <c r="L2491" s="16"/>
      <c r="M2491" s="21"/>
    </row>
    <row r="2492">
      <c r="A2492" s="28">
        <v>46232.0</v>
      </c>
      <c r="B2492" s="16" t="s">
        <v>10012</v>
      </c>
      <c r="C2492" s="20" t="s">
        <v>10013</v>
      </c>
      <c r="D2492" s="21"/>
      <c r="E2492" s="22" t="s">
        <v>10014</v>
      </c>
      <c r="H2492" s="23" t="s">
        <v>751</v>
      </c>
      <c r="I2492" s="21"/>
      <c r="J2492" s="25"/>
      <c r="K2492" s="26" t="s">
        <v>44</v>
      </c>
      <c r="L2492" s="16"/>
      <c r="M2492" s="21"/>
    </row>
    <row r="2493">
      <c r="A2493" s="28">
        <v>46232.0</v>
      </c>
      <c r="B2493" s="16" t="s">
        <v>10015</v>
      </c>
      <c r="C2493" s="20" t="s">
        <v>10016</v>
      </c>
      <c r="D2493" s="21"/>
      <c r="E2493" s="22" t="s">
        <v>10017</v>
      </c>
      <c r="H2493" s="23" t="s">
        <v>84</v>
      </c>
      <c r="I2493" s="21"/>
      <c r="J2493" s="25"/>
      <c r="K2493" s="26" t="s">
        <v>44</v>
      </c>
      <c r="L2493" s="16"/>
      <c r="M2493" s="21"/>
    </row>
    <row r="2494">
      <c r="A2494" s="28">
        <v>46232.0</v>
      </c>
      <c r="B2494" s="16" t="s">
        <v>10018</v>
      </c>
      <c r="C2494" s="20" t="s">
        <v>10019</v>
      </c>
      <c r="D2494" s="21"/>
      <c r="E2494" s="22" t="s">
        <v>10020</v>
      </c>
      <c r="H2494" s="23" t="s">
        <v>10021</v>
      </c>
      <c r="I2494" s="21"/>
      <c r="J2494" s="25"/>
      <c r="K2494" s="26" t="s">
        <v>44</v>
      </c>
      <c r="L2494" s="16"/>
      <c r="M2494" s="21"/>
    </row>
    <row r="2495">
      <c r="A2495" s="28">
        <v>46232.0</v>
      </c>
      <c r="B2495" s="16" t="s">
        <v>10022</v>
      </c>
      <c r="C2495" s="20" t="s">
        <v>10023</v>
      </c>
      <c r="D2495" s="21"/>
      <c r="E2495" s="22" t="s">
        <v>10024</v>
      </c>
      <c r="H2495" s="23" t="s">
        <v>10025</v>
      </c>
      <c r="I2495" s="21"/>
      <c r="J2495" s="25"/>
      <c r="K2495" s="26" t="s">
        <v>44</v>
      </c>
      <c r="L2495" s="16"/>
      <c r="M2495" s="21"/>
    </row>
    <row r="2496">
      <c r="A2496" s="28">
        <v>46232.0</v>
      </c>
      <c r="B2496" s="16" t="s">
        <v>10026</v>
      </c>
      <c r="C2496" s="20" t="s">
        <v>10027</v>
      </c>
      <c r="D2496" s="21"/>
      <c r="E2496" s="22" t="s">
        <v>10028</v>
      </c>
      <c r="H2496" s="23" t="s">
        <v>1888</v>
      </c>
      <c r="I2496" s="21"/>
      <c r="J2496" s="25"/>
      <c r="K2496" s="26" t="s">
        <v>44</v>
      </c>
      <c r="L2496" s="16"/>
      <c r="M2496" s="21"/>
    </row>
    <row r="2497">
      <c r="A2497" s="28">
        <v>46232.0</v>
      </c>
      <c r="B2497" s="16" t="s">
        <v>10029</v>
      </c>
      <c r="C2497" s="20" t="s">
        <v>10030</v>
      </c>
      <c r="D2497" s="21"/>
      <c r="E2497" s="22" t="s">
        <v>10031</v>
      </c>
      <c r="H2497" s="23" t="s">
        <v>4575</v>
      </c>
      <c r="I2497" s="21"/>
      <c r="J2497" s="25"/>
      <c r="K2497" s="26" t="s">
        <v>44</v>
      </c>
      <c r="L2497" s="16"/>
      <c r="M2497" s="21"/>
    </row>
    <row r="2498">
      <c r="A2498" s="28">
        <v>46232.0</v>
      </c>
      <c r="B2498" s="16" t="s">
        <v>10032</v>
      </c>
      <c r="C2498" s="20" t="s">
        <v>10033</v>
      </c>
      <c r="D2498" s="21"/>
      <c r="E2498" s="22" t="s">
        <v>10034</v>
      </c>
      <c r="H2498" s="23" t="s">
        <v>111</v>
      </c>
      <c r="I2498" s="21"/>
      <c r="J2498" s="25"/>
      <c r="K2498" s="26" t="s">
        <v>44</v>
      </c>
      <c r="L2498" s="16"/>
      <c r="M2498" s="21"/>
    </row>
    <row r="2499">
      <c r="A2499" s="28">
        <v>46232.0</v>
      </c>
      <c r="B2499" s="16" t="s">
        <v>10035</v>
      </c>
      <c r="C2499" s="20" t="s">
        <v>10036</v>
      </c>
      <c r="D2499" s="21"/>
      <c r="E2499" s="22" t="s">
        <v>10037</v>
      </c>
      <c r="H2499" s="23" t="s">
        <v>10038</v>
      </c>
      <c r="I2499" s="21"/>
      <c r="J2499" s="25"/>
      <c r="K2499" s="26" t="s">
        <v>44</v>
      </c>
      <c r="L2499" s="16"/>
      <c r="M2499" s="21"/>
    </row>
    <row r="2500">
      <c r="A2500" s="28">
        <v>46232.0</v>
      </c>
      <c r="B2500" s="16" t="s">
        <v>10039</v>
      </c>
      <c r="C2500" s="46" t="s">
        <v>10040</v>
      </c>
      <c r="D2500" s="21"/>
      <c r="E2500" s="22" t="s">
        <v>10041</v>
      </c>
      <c r="H2500" s="23" t="s">
        <v>10042</v>
      </c>
      <c r="I2500" s="21"/>
      <c r="J2500" s="25"/>
      <c r="K2500" s="26" t="s">
        <v>44</v>
      </c>
      <c r="L2500" s="16"/>
      <c r="M2500" s="21"/>
    </row>
    <row r="2501">
      <c r="A2501" s="28">
        <v>46232.0</v>
      </c>
      <c r="B2501" s="16" t="s">
        <v>10043</v>
      </c>
      <c r="C2501" s="20" t="s">
        <v>10044</v>
      </c>
      <c r="D2501" s="21"/>
      <c r="E2501" s="22" t="s">
        <v>10045</v>
      </c>
      <c r="H2501" s="23" t="s">
        <v>583</v>
      </c>
      <c r="I2501" s="21"/>
      <c r="J2501" s="25"/>
      <c r="K2501" s="26" t="s">
        <v>44</v>
      </c>
      <c r="L2501" s="16"/>
      <c r="M2501" s="21"/>
    </row>
    <row r="2502">
      <c r="A2502" s="28">
        <v>46232.0</v>
      </c>
      <c r="B2502" s="16" t="s">
        <v>10046</v>
      </c>
      <c r="C2502" s="20" t="s">
        <v>10047</v>
      </c>
      <c r="D2502" s="21"/>
      <c r="E2502" s="22" t="s">
        <v>10048</v>
      </c>
      <c r="H2502" s="23" t="s">
        <v>821</v>
      </c>
      <c r="I2502" s="21"/>
      <c r="J2502" s="25"/>
      <c r="K2502" s="26" t="s">
        <v>44</v>
      </c>
      <c r="L2502" s="16"/>
      <c r="M2502" s="21"/>
    </row>
    <row r="2503">
      <c r="A2503" s="28">
        <v>46232.0</v>
      </c>
      <c r="B2503" s="16" t="s">
        <v>10049</v>
      </c>
      <c r="C2503" s="20" t="s">
        <v>10050</v>
      </c>
      <c r="D2503" s="21"/>
      <c r="E2503" s="22" t="s">
        <v>10051</v>
      </c>
      <c r="H2503" s="23" t="s">
        <v>5551</v>
      </c>
      <c r="I2503" s="21"/>
      <c r="J2503" s="25"/>
      <c r="K2503" s="26" t="s">
        <v>44</v>
      </c>
      <c r="L2503" s="16"/>
      <c r="M2503" s="21"/>
    </row>
    <row r="2504">
      <c r="A2504" s="28">
        <v>46232.0</v>
      </c>
      <c r="B2504" s="16" t="s">
        <v>10052</v>
      </c>
      <c r="C2504" s="20" t="s">
        <v>10053</v>
      </c>
      <c r="D2504" s="21"/>
      <c r="E2504" s="22" t="s">
        <v>10054</v>
      </c>
      <c r="H2504" s="23" t="s">
        <v>5414</v>
      </c>
      <c r="I2504" s="21"/>
      <c r="J2504" s="25"/>
      <c r="K2504" s="26" t="s">
        <v>44</v>
      </c>
      <c r="L2504" s="16"/>
      <c r="M2504" s="21"/>
    </row>
    <row r="2505">
      <c r="A2505" s="28">
        <v>46232.0</v>
      </c>
      <c r="B2505" s="16" t="s">
        <v>10055</v>
      </c>
      <c r="C2505" s="20" t="s">
        <v>10056</v>
      </c>
      <c r="D2505" s="21"/>
      <c r="E2505" s="22" t="s">
        <v>10057</v>
      </c>
      <c r="H2505" s="23" t="s">
        <v>1016</v>
      </c>
      <c r="I2505" s="21"/>
      <c r="J2505" s="25"/>
      <c r="K2505" s="26" t="s">
        <v>44</v>
      </c>
      <c r="L2505" s="16"/>
      <c r="M2505" s="21"/>
    </row>
    <row r="2506">
      <c r="A2506" s="28">
        <v>46232.0</v>
      </c>
      <c r="B2506" s="16" t="s">
        <v>10058</v>
      </c>
      <c r="C2506" s="20" t="s">
        <v>10059</v>
      </c>
      <c r="D2506" s="21"/>
      <c r="E2506" s="22" t="s">
        <v>10060</v>
      </c>
      <c r="H2506" s="23" t="s">
        <v>57</v>
      </c>
      <c r="I2506" s="21"/>
      <c r="J2506" s="25"/>
      <c r="K2506" s="26" t="s">
        <v>44</v>
      </c>
      <c r="L2506" s="16"/>
      <c r="M2506" s="21"/>
    </row>
    <row r="2507">
      <c r="A2507" s="28">
        <v>46232.0</v>
      </c>
      <c r="B2507" s="16" t="s">
        <v>10061</v>
      </c>
      <c r="C2507" s="20" t="s">
        <v>10062</v>
      </c>
      <c r="D2507" s="21"/>
      <c r="E2507" s="22" t="s">
        <v>10063</v>
      </c>
      <c r="H2507" s="23" t="s">
        <v>1239</v>
      </c>
      <c r="I2507" s="21"/>
      <c r="J2507" s="25"/>
      <c r="K2507" s="26" t="s">
        <v>44</v>
      </c>
      <c r="L2507" s="16"/>
      <c r="M2507" s="21"/>
    </row>
    <row r="2508">
      <c r="A2508" s="28">
        <v>46232.0</v>
      </c>
      <c r="B2508" s="16" t="s">
        <v>10064</v>
      </c>
      <c r="C2508" s="20" t="s">
        <v>10065</v>
      </c>
      <c r="D2508" s="21"/>
      <c r="E2508" s="22" t="s">
        <v>10066</v>
      </c>
      <c r="H2508" s="23" t="s">
        <v>10067</v>
      </c>
      <c r="I2508" s="21"/>
      <c r="J2508" s="25"/>
      <c r="K2508" s="26" t="s">
        <v>44</v>
      </c>
      <c r="L2508" s="16"/>
      <c r="M2508" s="21"/>
    </row>
    <row r="2509">
      <c r="A2509" s="28">
        <v>46232.0</v>
      </c>
      <c r="B2509" s="16" t="s">
        <v>10068</v>
      </c>
      <c r="C2509" s="20" t="s">
        <v>10069</v>
      </c>
      <c r="D2509" s="21"/>
      <c r="E2509" s="22" t="s">
        <v>10070</v>
      </c>
      <c r="H2509" s="23" t="s">
        <v>10071</v>
      </c>
      <c r="I2509" s="21"/>
      <c r="J2509" s="25"/>
      <c r="K2509" s="26" t="s">
        <v>44</v>
      </c>
      <c r="L2509" s="16"/>
      <c r="M2509" s="21"/>
    </row>
    <row r="2510">
      <c r="A2510" s="28">
        <v>46232.0</v>
      </c>
      <c r="B2510" s="16" t="s">
        <v>10072</v>
      </c>
      <c r="C2510" s="20" t="s">
        <v>10073</v>
      </c>
      <c r="D2510" s="21"/>
      <c r="E2510" s="22" t="s">
        <v>10074</v>
      </c>
      <c r="H2510" s="23" t="s">
        <v>2113</v>
      </c>
      <c r="I2510" s="21"/>
      <c r="J2510" s="25"/>
      <c r="K2510" s="26" t="s">
        <v>44</v>
      </c>
      <c r="L2510" s="16"/>
      <c r="M2510" s="21"/>
    </row>
    <row r="2511">
      <c r="A2511" s="28">
        <v>46232.0</v>
      </c>
      <c r="B2511" s="16" t="s">
        <v>10075</v>
      </c>
      <c r="C2511" s="20" t="s">
        <v>10076</v>
      </c>
      <c r="D2511" s="21"/>
      <c r="E2511" s="22" t="s">
        <v>10077</v>
      </c>
      <c r="H2511" s="23" t="s">
        <v>4882</v>
      </c>
      <c r="I2511" s="21"/>
      <c r="J2511" s="25"/>
      <c r="K2511" s="26" t="s">
        <v>44</v>
      </c>
      <c r="L2511" s="16"/>
      <c r="M2511" s="21"/>
    </row>
    <row r="2512">
      <c r="A2512" s="28">
        <v>46232.0</v>
      </c>
      <c r="B2512" s="16" t="s">
        <v>10078</v>
      </c>
      <c r="C2512" s="20" t="s">
        <v>10079</v>
      </c>
      <c r="D2512" s="21"/>
      <c r="E2512" s="22" t="s">
        <v>10080</v>
      </c>
      <c r="H2512" s="23" t="s">
        <v>10081</v>
      </c>
      <c r="I2512" s="21"/>
      <c r="J2512" s="25"/>
      <c r="K2512" s="26" t="s">
        <v>44</v>
      </c>
      <c r="L2512" s="16"/>
      <c r="M2512" s="21"/>
    </row>
    <row r="2513">
      <c r="A2513" s="28">
        <v>46232.0</v>
      </c>
      <c r="B2513" s="16" t="s">
        <v>10082</v>
      </c>
      <c r="C2513" s="20" t="s">
        <v>10083</v>
      </c>
      <c r="D2513" s="21"/>
      <c r="E2513" s="22" t="s">
        <v>10084</v>
      </c>
      <c r="H2513" s="23" t="s">
        <v>10085</v>
      </c>
      <c r="I2513" s="21"/>
      <c r="J2513" s="25"/>
      <c r="K2513" s="26" t="s">
        <v>44</v>
      </c>
      <c r="L2513" s="16"/>
      <c r="M2513" s="21"/>
    </row>
    <row r="2514">
      <c r="A2514" s="28">
        <v>46232.0</v>
      </c>
      <c r="B2514" s="16" t="s">
        <v>10086</v>
      </c>
      <c r="C2514" s="20" t="s">
        <v>10087</v>
      </c>
      <c r="D2514" s="21"/>
      <c r="E2514" s="22" t="s">
        <v>10088</v>
      </c>
      <c r="H2514" s="23" t="s">
        <v>2228</v>
      </c>
      <c r="I2514" s="21"/>
      <c r="J2514" s="25"/>
      <c r="K2514" s="26" t="s">
        <v>44</v>
      </c>
      <c r="L2514" s="16"/>
      <c r="M2514" s="21"/>
    </row>
    <row r="2515">
      <c r="A2515" s="28">
        <v>46232.0</v>
      </c>
      <c r="B2515" s="16" t="s">
        <v>10089</v>
      </c>
      <c r="C2515" s="20" t="s">
        <v>10090</v>
      </c>
      <c r="D2515" s="21"/>
      <c r="E2515" s="22" t="s">
        <v>10091</v>
      </c>
      <c r="H2515" s="23" t="s">
        <v>8589</v>
      </c>
      <c r="I2515" s="21"/>
      <c r="J2515" s="25"/>
      <c r="K2515" s="26" t="s">
        <v>44</v>
      </c>
      <c r="L2515" s="16"/>
      <c r="M2515" s="21"/>
    </row>
    <row r="2516">
      <c r="A2516" s="28">
        <v>46232.0</v>
      </c>
      <c r="B2516" s="16" t="s">
        <v>10092</v>
      </c>
      <c r="C2516" s="20" t="s">
        <v>10093</v>
      </c>
      <c r="D2516" s="21"/>
      <c r="E2516" s="22" t="s">
        <v>10094</v>
      </c>
      <c r="H2516" s="23" t="s">
        <v>10095</v>
      </c>
      <c r="I2516" s="21"/>
      <c r="J2516" s="25"/>
      <c r="K2516" s="26" t="s">
        <v>44</v>
      </c>
      <c r="L2516" s="16"/>
      <c r="M2516" s="21"/>
    </row>
    <row r="2517">
      <c r="A2517" s="28">
        <v>46232.0</v>
      </c>
      <c r="B2517" s="16" t="s">
        <v>10096</v>
      </c>
      <c r="C2517" s="20" t="s">
        <v>10097</v>
      </c>
      <c r="D2517" s="21"/>
      <c r="E2517" s="22" t="s">
        <v>10098</v>
      </c>
      <c r="H2517" s="23" t="s">
        <v>5827</v>
      </c>
      <c r="I2517" s="21"/>
      <c r="J2517" s="25"/>
      <c r="K2517" s="26" t="s">
        <v>44</v>
      </c>
      <c r="L2517" s="16"/>
      <c r="M2517" s="21"/>
    </row>
    <row r="2518">
      <c r="A2518" s="28">
        <v>46232.0</v>
      </c>
      <c r="B2518" s="16" t="s">
        <v>10099</v>
      </c>
      <c r="C2518" s="20" t="s">
        <v>10100</v>
      </c>
      <c r="D2518" s="21"/>
      <c r="E2518" s="22" t="s">
        <v>10101</v>
      </c>
      <c r="H2518" s="23" t="s">
        <v>4506</v>
      </c>
      <c r="I2518" s="21"/>
      <c r="J2518" s="25"/>
      <c r="K2518" s="26" t="s">
        <v>44</v>
      </c>
      <c r="L2518" s="16"/>
      <c r="M2518" s="21"/>
    </row>
    <row r="2519">
      <c r="A2519" s="28">
        <v>46232.0</v>
      </c>
      <c r="B2519" s="16" t="s">
        <v>10102</v>
      </c>
      <c r="C2519" s="20" t="s">
        <v>223</v>
      </c>
      <c r="D2519" s="21"/>
      <c r="E2519" s="22" t="s">
        <v>10103</v>
      </c>
      <c r="H2519" s="23" t="s">
        <v>4575</v>
      </c>
      <c r="I2519" s="21"/>
      <c r="J2519" s="25"/>
      <c r="K2519" s="26" t="s">
        <v>44</v>
      </c>
      <c r="L2519" s="16"/>
      <c r="M2519" s="21"/>
    </row>
    <row r="2520">
      <c r="A2520" s="28">
        <v>46232.0</v>
      </c>
      <c r="B2520" s="16" t="s">
        <v>10104</v>
      </c>
      <c r="C2520" s="20" t="s">
        <v>10105</v>
      </c>
      <c r="D2520" s="21"/>
      <c r="E2520" s="22" t="s">
        <v>10106</v>
      </c>
      <c r="H2520" s="23" t="s">
        <v>4889</v>
      </c>
      <c r="I2520" s="21"/>
      <c r="J2520" s="25"/>
      <c r="K2520" s="26" t="s">
        <v>44</v>
      </c>
      <c r="L2520" s="16"/>
      <c r="M2520" s="21"/>
    </row>
    <row r="2521">
      <c r="A2521" s="28">
        <v>46232.0</v>
      </c>
      <c r="B2521" s="16" t="s">
        <v>10107</v>
      </c>
      <c r="C2521" s="20" t="s">
        <v>10108</v>
      </c>
      <c r="D2521" s="21"/>
      <c r="E2521" s="22" t="s">
        <v>10109</v>
      </c>
      <c r="H2521" s="23" t="s">
        <v>5527</v>
      </c>
      <c r="I2521" s="21"/>
      <c r="J2521" s="25"/>
      <c r="K2521" s="26" t="s">
        <v>44</v>
      </c>
      <c r="L2521" s="16"/>
      <c r="M2521" s="21"/>
    </row>
    <row r="2522">
      <c r="A2522" s="28">
        <v>46232.0</v>
      </c>
      <c r="B2522" s="16" t="s">
        <v>10110</v>
      </c>
      <c r="C2522" s="20" t="s">
        <v>10111</v>
      </c>
      <c r="D2522" s="21"/>
      <c r="E2522" s="22" t="s">
        <v>10112</v>
      </c>
      <c r="H2522" s="23" t="s">
        <v>10113</v>
      </c>
      <c r="I2522" s="21"/>
      <c r="J2522" s="25"/>
      <c r="K2522" s="26" t="s">
        <v>44</v>
      </c>
      <c r="L2522" s="16"/>
      <c r="M2522" s="21"/>
    </row>
    <row r="2523">
      <c r="A2523" s="28">
        <v>46232.0</v>
      </c>
      <c r="B2523" s="16" t="s">
        <v>10114</v>
      </c>
      <c r="C2523" s="20" t="s">
        <v>10115</v>
      </c>
      <c r="D2523" s="21"/>
      <c r="E2523" s="22" t="s">
        <v>10116</v>
      </c>
      <c r="H2523" s="23" t="s">
        <v>10117</v>
      </c>
      <c r="I2523" s="21"/>
      <c r="J2523" s="25"/>
      <c r="K2523" s="26" t="s">
        <v>44</v>
      </c>
      <c r="L2523" s="16"/>
      <c r="M2523" s="21"/>
    </row>
    <row r="2524">
      <c r="A2524" s="28">
        <v>46232.0</v>
      </c>
      <c r="B2524" s="16" t="s">
        <v>10118</v>
      </c>
      <c r="C2524" s="20" t="s">
        <v>10119</v>
      </c>
      <c r="D2524" s="21"/>
      <c r="E2524" s="22" t="s">
        <v>10120</v>
      </c>
      <c r="H2524" s="23" t="s">
        <v>10121</v>
      </c>
      <c r="I2524" s="21"/>
      <c r="J2524" s="25"/>
      <c r="K2524" s="26" t="s">
        <v>44</v>
      </c>
      <c r="L2524" s="16"/>
      <c r="M2524" s="21"/>
    </row>
    <row r="2525">
      <c r="A2525" s="28">
        <v>46232.0</v>
      </c>
      <c r="B2525" s="16" t="s">
        <v>10122</v>
      </c>
      <c r="C2525" s="20" t="s">
        <v>10123</v>
      </c>
      <c r="D2525" s="21"/>
      <c r="E2525" s="22" t="s">
        <v>10124</v>
      </c>
      <c r="H2525" s="23" t="s">
        <v>4575</v>
      </c>
      <c r="I2525" s="21"/>
      <c r="J2525" s="25"/>
      <c r="K2525" s="26" t="s">
        <v>44</v>
      </c>
      <c r="L2525" s="16"/>
      <c r="M2525" s="21"/>
    </row>
    <row r="2526">
      <c r="A2526" s="28">
        <v>46232.0</v>
      </c>
      <c r="B2526" s="16" t="s">
        <v>10125</v>
      </c>
      <c r="C2526" s="20" t="s">
        <v>10126</v>
      </c>
      <c r="D2526" s="21"/>
      <c r="E2526" s="22" t="s">
        <v>10127</v>
      </c>
      <c r="H2526" s="23" t="s">
        <v>1448</v>
      </c>
      <c r="I2526" s="21"/>
      <c r="J2526" s="25"/>
      <c r="K2526" s="26" t="s">
        <v>44</v>
      </c>
      <c r="L2526" s="16"/>
      <c r="M2526" s="21"/>
    </row>
    <row r="2527">
      <c r="A2527" s="28">
        <v>46232.0</v>
      </c>
      <c r="B2527" s="16" t="s">
        <v>10128</v>
      </c>
      <c r="C2527" s="20" t="s">
        <v>10129</v>
      </c>
      <c r="D2527" s="21"/>
      <c r="E2527" s="22" t="s">
        <v>10130</v>
      </c>
      <c r="H2527" s="23" t="s">
        <v>2283</v>
      </c>
      <c r="I2527" s="21"/>
      <c r="J2527" s="25"/>
      <c r="K2527" s="26" t="s">
        <v>44</v>
      </c>
      <c r="L2527" s="16"/>
      <c r="M2527" s="21"/>
    </row>
    <row r="2528">
      <c r="A2528" s="28">
        <v>46232.0</v>
      </c>
      <c r="B2528" s="16" t="s">
        <v>10131</v>
      </c>
      <c r="C2528" s="20" t="s">
        <v>10132</v>
      </c>
      <c r="D2528" s="21"/>
      <c r="E2528" s="22" t="s">
        <v>10133</v>
      </c>
      <c r="H2528" s="23" t="s">
        <v>604</v>
      </c>
      <c r="I2528" s="21"/>
      <c r="J2528" s="25"/>
      <c r="K2528" s="26" t="s">
        <v>44</v>
      </c>
      <c r="L2528" s="16"/>
      <c r="M2528" s="21"/>
    </row>
    <row r="2529">
      <c r="A2529" s="28">
        <v>46232.0</v>
      </c>
      <c r="B2529" s="16" t="s">
        <v>10134</v>
      </c>
      <c r="C2529" s="20" t="s">
        <v>10135</v>
      </c>
      <c r="D2529" s="21"/>
      <c r="E2529" s="22" t="s">
        <v>10136</v>
      </c>
      <c r="H2529" s="23" t="s">
        <v>10137</v>
      </c>
      <c r="I2529" s="21"/>
      <c r="J2529" s="25"/>
      <c r="K2529" s="26" t="s">
        <v>44</v>
      </c>
      <c r="L2529" s="16"/>
      <c r="M2529" s="21"/>
    </row>
    <row r="2530">
      <c r="A2530" s="28">
        <v>46232.0</v>
      </c>
      <c r="B2530" s="16" t="s">
        <v>10138</v>
      </c>
      <c r="C2530" s="20" t="s">
        <v>10139</v>
      </c>
      <c r="D2530" s="21"/>
      <c r="E2530" s="22" t="s">
        <v>10140</v>
      </c>
      <c r="H2530" s="23" t="s">
        <v>148</v>
      </c>
      <c r="I2530" s="21"/>
      <c r="J2530" s="25"/>
      <c r="K2530" s="26" t="s">
        <v>44</v>
      </c>
      <c r="L2530" s="16"/>
      <c r="M2530" s="21"/>
    </row>
    <row r="2531">
      <c r="A2531" s="28">
        <v>46232.0</v>
      </c>
      <c r="B2531" s="16" t="s">
        <v>10141</v>
      </c>
      <c r="C2531" s="20" t="s">
        <v>10142</v>
      </c>
      <c r="D2531" s="21"/>
      <c r="E2531" s="22" t="s">
        <v>10143</v>
      </c>
      <c r="H2531" s="23" t="s">
        <v>713</v>
      </c>
      <c r="I2531" s="21"/>
      <c r="J2531" s="25"/>
      <c r="K2531" s="26" t="s">
        <v>44</v>
      </c>
      <c r="L2531" s="16"/>
      <c r="M2531" s="21"/>
    </row>
    <row r="2532">
      <c r="A2532" s="28">
        <v>46232.0</v>
      </c>
      <c r="B2532" s="16" t="s">
        <v>10144</v>
      </c>
      <c r="C2532" s="20" t="s">
        <v>10145</v>
      </c>
      <c r="D2532" s="21"/>
      <c r="E2532" s="22" t="s">
        <v>10146</v>
      </c>
      <c r="H2532" s="23" t="s">
        <v>479</v>
      </c>
      <c r="I2532" s="21"/>
      <c r="J2532" s="25"/>
      <c r="K2532" s="26" t="s">
        <v>44</v>
      </c>
      <c r="L2532" s="16"/>
      <c r="M2532" s="21"/>
    </row>
    <row r="2533">
      <c r="A2533" s="28">
        <v>46232.0</v>
      </c>
      <c r="B2533" s="16" t="s">
        <v>10147</v>
      </c>
      <c r="C2533" s="20" t="s">
        <v>10148</v>
      </c>
      <c r="D2533" s="21"/>
      <c r="E2533" s="22" t="s">
        <v>10149</v>
      </c>
      <c r="H2533" s="23" t="s">
        <v>1239</v>
      </c>
      <c r="I2533" s="21"/>
      <c r="J2533" s="25"/>
      <c r="K2533" s="26" t="s">
        <v>44</v>
      </c>
      <c r="L2533" s="16"/>
      <c r="M2533" s="21"/>
    </row>
    <row r="2534">
      <c r="A2534" s="28">
        <v>46232.0</v>
      </c>
      <c r="B2534" s="16" t="s">
        <v>10150</v>
      </c>
      <c r="C2534" s="20" t="s">
        <v>10151</v>
      </c>
      <c r="D2534" s="21"/>
      <c r="E2534" s="22" t="s">
        <v>10152</v>
      </c>
      <c r="H2534" s="23" t="s">
        <v>599</v>
      </c>
      <c r="I2534" s="21"/>
      <c r="J2534" s="25"/>
      <c r="K2534" s="26" t="s">
        <v>44</v>
      </c>
      <c r="L2534" s="16"/>
      <c r="M2534" s="21"/>
    </row>
    <row r="2535">
      <c r="A2535" s="28">
        <v>46232.0</v>
      </c>
      <c r="B2535" s="16" t="s">
        <v>10153</v>
      </c>
      <c r="C2535" s="20" t="s">
        <v>10154</v>
      </c>
      <c r="D2535" s="21"/>
      <c r="E2535" s="22" t="s">
        <v>10155</v>
      </c>
      <c r="H2535" s="23" t="s">
        <v>48</v>
      </c>
      <c r="I2535" s="21"/>
      <c r="J2535" s="25"/>
      <c r="K2535" s="26" t="s">
        <v>44</v>
      </c>
      <c r="L2535" s="16"/>
      <c r="M2535" s="21"/>
    </row>
    <row r="2536">
      <c r="A2536" s="28">
        <v>46232.0</v>
      </c>
      <c r="B2536" s="16" t="s">
        <v>10156</v>
      </c>
      <c r="C2536" s="20" t="s">
        <v>10157</v>
      </c>
      <c r="D2536" s="21"/>
      <c r="E2536" s="22" t="s">
        <v>10158</v>
      </c>
      <c r="H2536" s="23" t="s">
        <v>1196</v>
      </c>
      <c r="I2536" s="21"/>
      <c r="J2536" s="25"/>
      <c r="K2536" s="26" t="s">
        <v>44</v>
      </c>
      <c r="L2536" s="16"/>
      <c r="M2536" s="21"/>
    </row>
    <row r="2537">
      <c r="A2537" s="28">
        <v>46232.0</v>
      </c>
      <c r="B2537" s="16" t="s">
        <v>10159</v>
      </c>
      <c r="C2537" s="20" t="s">
        <v>10160</v>
      </c>
      <c r="D2537" s="21"/>
      <c r="E2537" s="22" t="s">
        <v>10161</v>
      </c>
      <c r="H2537" s="23" t="s">
        <v>10162</v>
      </c>
      <c r="I2537" s="21"/>
      <c r="J2537" s="25"/>
      <c r="K2537" s="26" t="s">
        <v>44</v>
      </c>
      <c r="L2537" s="16"/>
      <c r="M2537" s="21"/>
    </row>
    <row r="2538">
      <c r="A2538" s="28">
        <v>46232.0</v>
      </c>
      <c r="B2538" s="16" t="s">
        <v>10163</v>
      </c>
      <c r="C2538" s="20" t="s">
        <v>10164</v>
      </c>
      <c r="D2538" s="21"/>
      <c r="E2538" s="22" t="s">
        <v>10165</v>
      </c>
      <c r="H2538" s="23" t="s">
        <v>1016</v>
      </c>
      <c r="I2538" s="21"/>
      <c r="J2538" s="25"/>
      <c r="K2538" s="26" t="s">
        <v>44</v>
      </c>
      <c r="L2538" s="16"/>
      <c r="M2538" s="21"/>
    </row>
    <row r="2539">
      <c r="A2539" s="28">
        <v>46232.0</v>
      </c>
      <c r="B2539" s="16" t="s">
        <v>10166</v>
      </c>
      <c r="C2539" s="20" t="s">
        <v>10167</v>
      </c>
      <c r="D2539" s="21"/>
      <c r="E2539" s="22" t="s">
        <v>10168</v>
      </c>
      <c r="H2539" s="23" t="s">
        <v>4917</v>
      </c>
      <c r="I2539" s="21"/>
      <c r="J2539" s="25"/>
      <c r="K2539" s="26" t="s">
        <v>44</v>
      </c>
      <c r="L2539" s="16"/>
      <c r="M2539" s="21"/>
    </row>
    <row r="2540">
      <c r="A2540" s="28">
        <v>46232.0</v>
      </c>
      <c r="B2540" s="16" t="s">
        <v>10169</v>
      </c>
      <c r="C2540" s="20" t="s">
        <v>10170</v>
      </c>
      <c r="D2540" s="21"/>
      <c r="E2540" s="22" t="s">
        <v>10171</v>
      </c>
      <c r="H2540" s="23" t="s">
        <v>69</v>
      </c>
      <c r="I2540" s="21"/>
      <c r="J2540" s="25"/>
      <c r="K2540" s="26" t="s">
        <v>44</v>
      </c>
      <c r="L2540" s="16"/>
      <c r="M2540" s="21"/>
    </row>
    <row r="2541">
      <c r="A2541" s="28">
        <v>46232.0</v>
      </c>
      <c r="B2541" s="16" t="s">
        <v>10172</v>
      </c>
      <c r="C2541" s="20" t="s">
        <v>10173</v>
      </c>
      <c r="D2541" s="21"/>
      <c r="E2541" s="22" t="s">
        <v>10174</v>
      </c>
      <c r="H2541" s="23" t="s">
        <v>7819</v>
      </c>
      <c r="I2541" s="21"/>
      <c r="J2541" s="25"/>
      <c r="K2541" s="26" t="s">
        <v>44</v>
      </c>
      <c r="L2541" s="16"/>
      <c r="M2541" s="21"/>
    </row>
    <row r="2542">
      <c r="A2542" s="28">
        <v>46232.0</v>
      </c>
      <c r="B2542" s="16" t="s">
        <v>10175</v>
      </c>
      <c r="C2542" s="20" t="s">
        <v>10176</v>
      </c>
      <c r="D2542" s="21"/>
      <c r="E2542" s="22" t="s">
        <v>10177</v>
      </c>
      <c r="H2542" s="23" t="s">
        <v>69</v>
      </c>
      <c r="I2542" s="21"/>
      <c r="J2542" s="25"/>
      <c r="K2542" s="26" t="s">
        <v>44</v>
      </c>
      <c r="L2542" s="16"/>
      <c r="M2542" s="21"/>
    </row>
    <row r="2543">
      <c r="A2543" s="28">
        <v>46232.0</v>
      </c>
      <c r="B2543" s="16" t="s">
        <v>10178</v>
      </c>
      <c r="C2543" s="20" t="s">
        <v>10179</v>
      </c>
      <c r="D2543" s="21"/>
      <c r="E2543" s="22" t="s">
        <v>10180</v>
      </c>
      <c r="H2543" s="23" t="s">
        <v>69</v>
      </c>
      <c r="I2543" s="21"/>
      <c r="J2543" s="25"/>
      <c r="K2543" s="26" t="s">
        <v>44</v>
      </c>
      <c r="L2543" s="16"/>
      <c r="M2543" s="21"/>
    </row>
    <row r="2544">
      <c r="A2544" s="28">
        <v>46232.0</v>
      </c>
      <c r="B2544" s="16" t="s">
        <v>10181</v>
      </c>
      <c r="C2544" s="20" t="s">
        <v>10182</v>
      </c>
      <c r="D2544" s="21"/>
      <c r="E2544" s="22" t="s">
        <v>10183</v>
      </c>
      <c r="H2544" s="23" t="s">
        <v>856</v>
      </c>
      <c r="I2544" s="21"/>
      <c r="J2544" s="25"/>
      <c r="K2544" s="26" t="s">
        <v>44</v>
      </c>
      <c r="L2544" s="16"/>
      <c r="M2544" s="21"/>
    </row>
    <row r="2545">
      <c r="A2545" s="28">
        <v>46232.0</v>
      </c>
      <c r="B2545" s="16" t="s">
        <v>10184</v>
      </c>
      <c r="C2545" s="20" t="s">
        <v>10185</v>
      </c>
      <c r="D2545" s="21"/>
      <c r="E2545" s="22" t="s">
        <v>10186</v>
      </c>
      <c r="H2545" s="23" t="s">
        <v>127</v>
      </c>
      <c r="I2545" s="21"/>
      <c r="J2545" s="25"/>
      <c r="K2545" s="26" t="s">
        <v>44</v>
      </c>
      <c r="L2545" s="16"/>
      <c r="M2545" s="21"/>
    </row>
    <row r="2546">
      <c r="A2546" s="28">
        <v>46232.0</v>
      </c>
      <c r="B2546" s="16" t="s">
        <v>10187</v>
      </c>
      <c r="C2546" s="20" t="s">
        <v>10188</v>
      </c>
      <c r="D2546" s="21"/>
      <c r="E2546" s="22" t="s">
        <v>10189</v>
      </c>
      <c r="H2546" s="23" t="s">
        <v>10190</v>
      </c>
      <c r="I2546" s="21"/>
      <c r="J2546" s="25"/>
      <c r="K2546" s="26" t="s">
        <v>44</v>
      </c>
      <c r="L2546" s="16"/>
      <c r="M2546" s="21"/>
    </row>
    <row r="2547">
      <c r="A2547" s="28">
        <v>46232.0</v>
      </c>
      <c r="B2547" s="16" t="s">
        <v>10191</v>
      </c>
      <c r="C2547" s="20" t="s">
        <v>10192</v>
      </c>
      <c r="D2547" s="21"/>
      <c r="E2547" s="22" t="s">
        <v>10193</v>
      </c>
      <c r="H2547" s="23" t="s">
        <v>2650</v>
      </c>
      <c r="I2547" s="21"/>
      <c r="J2547" s="25"/>
      <c r="K2547" s="26" t="s">
        <v>44</v>
      </c>
      <c r="L2547" s="16"/>
      <c r="M2547" s="21"/>
    </row>
    <row r="2548">
      <c r="A2548" s="28">
        <v>46232.0</v>
      </c>
      <c r="B2548" s="16" t="s">
        <v>10194</v>
      </c>
      <c r="C2548" s="20" t="s">
        <v>10195</v>
      </c>
      <c r="D2548" s="21"/>
      <c r="E2548" s="22" t="s">
        <v>10196</v>
      </c>
      <c r="H2548" s="23" t="s">
        <v>4986</v>
      </c>
      <c r="I2548" s="21"/>
      <c r="J2548" s="25"/>
      <c r="K2548" s="26" t="s">
        <v>44</v>
      </c>
      <c r="L2548" s="16"/>
      <c r="M2548" s="21"/>
    </row>
    <row r="2549">
      <c r="A2549" s="28">
        <v>46232.0</v>
      </c>
      <c r="B2549" s="16" t="s">
        <v>10197</v>
      </c>
      <c r="C2549" s="20" t="s">
        <v>10198</v>
      </c>
      <c r="D2549" s="21"/>
      <c r="E2549" s="22" t="s">
        <v>10199</v>
      </c>
      <c r="H2549" s="23" t="s">
        <v>10200</v>
      </c>
      <c r="I2549" s="21"/>
      <c r="J2549" s="25"/>
      <c r="K2549" s="26" t="s">
        <v>44</v>
      </c>
      <c r="L2549" s="16"/>
      <c r="M2549" s="21"/>
    </row>
    <row r="2550">
      <c r="A2550" s="28">
        <v>46232.0</v>
      </c>
      <c r="B2550" s="16" t="s">
        <v>10201</v>
      </c>
      <c r="C2550" s="20" t="s">
        <v>10202</v>
      </c>
      <c r="D2550" s="21"/>
      <c r="E2550" s="22" t="s">
        <v>10203</v>
      </c>
      <c r="H2550" s="23" t="s">
        <v>42</v>
      </c>
      <c r="I2550" s="21"/>
      <c r="J2550" s="25"/>
      <c r="K2550" s="26" t="s">
        <v>44</v>
      </c>
      <c r="L2550" s="16"/>
      <c r="M2550" s="21"/>
    </row>
    <row r="2551">
      <c r="A2551" s="28">
        <v>46232.0</v>
      </c>
      <c r="B2551" s="16" t="s">
        <v>10204</v>
      </c>
      <c r="C2551" s="20" t="s">
        <v>10205</v>
      </c>
      <c r="D2551" s="21"/>
      <c r="E2551" s="22" t="s">
        <v>10206</v>
      </c>
      <c r="H2551" s="23" t="s">
        <v>10207</v>
      </c>
      <c r="I2551" s="21"/>
      <c r="J2551" s="25"/>
      <c r="K2551" s="26" t="s">
        <v>44</v>
      </c>
      <c r="L2551" s="16"/>
      <c r="M2551" s="21"/>
    </row>
    <row r="2552">
      <c r="A2552" s="28">
        <v>46232.0</v>
      </c>
      <c r="B2552" s="16" t="s">
        <v>10208</v>
      </c>
      <c r="C2552" s="20" t="s">
        <v>10209</v>
      </c>
      <c r="D2552" s="21"/>
      <c r="E2552" s="22" t="s">
        <v>10210</v>
      </c>
      <c r="H2552" s="23" t="s">
        <v>80</v>
      </c>
      <c r="I2552" s="21"/>
      <c r="J2552" s="25"/>
      <c r="K2552" s="26" t="s">
        <v>44</v>
      </c>
      <c r="L2552" s="16"/>
      <c r="M2552" s="21"/>
    </row>
    <row r="2553">
      <c r="A2553" s="28">
        <v>46232.0</v>
      </c>
      <c r="B2553" s="16" t="s">
        <v>10211</v>
      </c>
      <c r="C2553" s="20" t="s">
        <v>10212</v>
      </c>
      <c r="D2553" s="21"/>
      <c r="E2553" s="22" t="s">
        <v>10213</v>
      </c>
      <c r="H2553" s="23" t="s">
        <v>65</v>
      </c>
      <c r="I2553" s="21"/>
      <c r="J2553" s="25"/>
      <c r="K2553" s="26" t="s">
        <v>44</v>
      </c>
      <c r="L2553" s="16"/>
      <c r="M2553" s="21"/>
    </row>
    <row r="2554">
      <c r="A2554" s="28">
        <v>46232.0</v>
      </c>
      <c r="B2554" s="16" t="s">
        <v>10214</v>
      </c>
      <c r="C2554" s="20" t="s">
        <v>10215</v>
      </c>
      <c r="D2554" s="21"/>
      <c r="E2554" s="22" t="s">
        <v>10216</v>
      </c>
      <c r="H2554" s="23" t="s">
        <v>10217</v>
      </c>
      <c r="I2554" s="21"/>
      <c r="J2554" s="25"/>
      <c r="K2554" s="26" t="s">
        <v>44</v>
      </c>
      <c r="L2554" s="16"/>
      <c r="M2554" s="21"/>
    </row>
    <row r="2555">
      <c r="A2555" s="28">
        <v>46232.0</v>
      </c>
      <c r="B2555" s="16" t="s">
        <v>10218</v>
      </c>
      <c r="C2555" s="20" t="s">
        <v>10219</v>
      </c>
      <c r="D2555" s="21"/>
      <c r="E2555" s="22" t="s">
        <v>10220</v>
      </c>
      <c r="H2555" s="23" t="s">
        <v>599</v>
      </c>
      <c r="I2555" s="21"/>
      <c r="J2555" s="25"/>
      <c r="K2555" s="26" t="s">
        <v>44</v>
      </c>
      <c r="L2555" s="16"/>
      <c r="M2555" s="21"/>
    </row>
    <row r="2556">
      <c r="A2556" s="28">
        <v>46232.0</v>
      </c>
      <c r="B2556" s="16" t="s">
        <v>10221</v>
      </c>
      <c r="C2556" s="20" t="s">
        <v>10222</v>
      </c>
      <c r="D2556" s="21"/>
      <c r="E2556" s="22" t="s">
        <v>10223</v>
      </c>
      <c r="H2556" s="23" t="s">
        <v>4917</v>
      </c>
      <c r="I2556" s="21"/>
      <c r="J2556" s="25"/>
      <c r="K2556" s="26" t="s">
        <v>44</v>
      </c>
      <c r="L2556" s="16"/>
      <c r="M2556" s="21"/>
    </row>
    <row r="2557">
      <c r="A2557" s="28">
        <v>46232.0</v>
      </c>
      <c r="B2557" s="16" t="s">
        <v>10224</v>
      </c>
      <c r="C2557" s="20" t="s">
        <v>10225</v>
      </c>
      <c r="D2557" s="21"/>
      <c r="E2557" s="22" t="s">
        <v>10226</v>
      </c>
      <c r="H2557" s="23" t="s">
        <v>10227</v>
      </c>
      <c r="I2557" s="21"/>
      <c r="J2557" s="25"/>
      <c r="K2557" s="26" t="s">
        <v>44</v>
      </c>
      <c r="L2557" s="16"/>
      <c r="M2557" s="21"/>
    </row>
    <row r="2558">
      <c r="A2558" s="28">
        <v>46232.0</v>
      </c>
      <c r="B2558" s="16" t="s">
        <v>10228</v>
      </c>
      <c r="C2558" s="20" t="s">
        <v>10229</v>
      </c>
      <c r="D2558" s="21"/>
      <c r="E2558" s="22" t="s">
        <v>10230</v>
      </c>
      <c r="H2558" s="23" t="s">
        <v>69</v>
      </c>
      <c r="I2558" s="21"/>
      <c r="J2558" s="25"/>
      <c r="K2558" s="26" t="s">
        <v>44</v>
      </c>
      <c r="L2558" s="16"/>
      <c r="M2558" s="21"/>
    </row>
    <row r="2559">
      <c r="A2559" s="28">
        <v>46232.0</v>
      </c>
      <c r="B2559" s="16" t="s">
        <v>10231</v>
      </c>
      <c r="C2559" s="20" t="s">
        <v>10232</v>
      </c>
      <c r="D2559" s="21"/>
      <c r="E2559" s="22" t="s">
        <v>10233</v>
      </c>
      <c r="H2559" s="23" t="s">
        <v>10234</v>
      </c>
      <c r="I2559" s="21"/>
      <c r="J2559" s="25"/>
      <c r="K2559" s="26" t="s">
        <v>44</v>
      </c>
      <c r="L2559" s="16"/>
      <c r="M2559" s="21"/>
    </row>
    <row r="2560">
      <c r="A2560" s="28">
        <v>46232.0</v>
      </c>
      <c r="B2560" s="16" t="s">
        <v>10235</v>
      </c>
      <c r="C2560" s="20" t="s">
        <v>10236</v>
      </c>
      <c r="D2560" s="21"/>
      <c r="E2560" s="22" t="s">
        <v>10237</v>
      </c>
      <c r="H2560" s="23" t="s">
        <v>111</v>
      </c>
      <c r="I2560" s="21"/>
      <c r="J2560" s="25"/>
      <c r="K2560" s="26" t="s">
        <v>44</v>
      </c>
      <c r="L2560" s="16"/>
      <c r="M2560" s="21"/>
    </row>
    <row r="2561">
      <c r="A2561" s="28">
        <v>46232.0</v>
      </c>
      <c r="B2561" s="16" t="s">
        <v>10238</v>
      </c>
      <c r="C2561" s="20" t="s">
        <v>10239</v>
      </c>
      <c r="D2561" s="21"/>
      <c r="E2561" s="22" t="s">
        <v>10240</v>
      </c>
      <c r="H2561" s="23" t="s">
        <v>652</v>
      </c>
      <c r="I2561" s="21"/>
      <c r="J2561" s="25"/>
      <c r="K2561" s="26" t="s">
        <v>44</v>
      </c>
      <c r="L2561" s="16"/>
      <c r="M2561" s="21"/>
    </row>
    <row r="2562">
      <c r="A2562" s="28">
        <v>46232.0</v>
      </c>
      <c r="B2562" s="16" t="s">
        <v>10241</v>
      </c>
      <c r="C2562" s="20" t="s">
        <v>10242</v>
      </c>
      <c r="D2562" s="21"/>
      <c r="E2562" s="22" t="s">
        <v>10243</v>
      </c>
      <c r="H2562" s="23" t="s">
        <v>10244</v>
      </c>
      <c r="I2562" s="21"/>
      <c r="J2562" s="25"/>
      <c r="K2562" s="26" t="s">
        <v>44</v>
      </c>
      <c r="L2562" s="16"/>
      <c r="M2562" s="21"/>
    </row>
    <row r="2563">
      <c r="A2563" s="28">
        <v>46232.0</v>
      </c>
      <c r="B2563" s="16" t="s">
        <v>10245</v>
      </c>
      <c r="C2563" s="20" t="s">
        <v>10246</v>
      </c>
      <c r="D2563" s="21"/>
      <c r="E2563" s="22" t="s">
        <v>10247</v>
      </c>
      <c r="H2563" s="23" t="s">
        <v>10248</v>
      </c>
      <c r="I2563" s="21"/>
      <c r="J2563" s="25"/>
      <c r="K2563" s="26" t="s">
        <v>44</v>
      </c>
      <c r="L2563" s="16"/>
      <c r="M2563" s="21"/>
    </row>
    <row r="2564">
      <c r="A2564" s="28">
        <v>46232.0</v>
      </c>
      <c r="B2564" s="16" t="s">
        <v>10249</v>
      </c>
      <c r="C2564" s="20" t="s">
        <v>10250</v>
      </c>
      <c r="D2564" s="21"/>
      <c r="E2564" s="22" t="s">
        <v>10251</v>
      </c>
      <c r="H2564" s="23" t="s">
        <v>2598</v>
      </c>
      <c r="I2564" s="21"/>
      <c r="J2564" s="25"/>
      <c r="K2564" s="26" t="s">
        <v>44</v>
      </c>
      <c r="L2564" s="16"/>
      <c r="M2564" s="21"/>
    </row>
    <row r="2565">
      <c r="A2565" s="28">
        <v>46232.0</v>
      </c>
      <c r="B2565" s="16" t="s">
        <v>10252</v>
      </c>
      <c r="C2565" s="20" t="s">
        <v>10253</v>
      </c>
      <c r="D2565" s="21"/>
      <c r="E2565" s="22" t="s">
        <v>10254</v>
      </c>
      <c r="H2565" s="23" t="s">
        <v>1448</v>
      </c>
      <c r="I2565" s="21"/>
      <c r="J2565" s="25"/>
      <c r="K2565" s="26" t="s">
        <v>44</v>
      </c>
      <c r="L2565" s="16"/>
      <c r="M2565" s="21"/>
    </row>
    <row r="2566">
      <c r="A2566" s="28">
        <v>46232.0</v>
      </c>
      <c r="B2566" s="16" t="s">
        <v>10255</v>
      </c>
      <c r="C2566" s="20" t="s">
        <v>10256</v>
      </c>
      <c r="D2566" s="21"/>
      <c r="E2566" s="22" t="s">
        <v>10257</v>
      </c>
      <c r="H2566" s="23" t="s">
        <v>4681</v>
      </c>
      <c r="I2566" s="21"/>
      <c r="J2566" s="25"/>
      <c r="K2566" s="26" t="s">
        <v>44</v>
      </c>
      <c r="L2566" s="16"/>
      <c r="M2566" s="21"/>
    </row>
    <row r="2567">
      <c r="A2567" s="28">
        <v>46232.0</v>
      </c>
      <c r="B2567" s="16" t="s">
        <v>10258</v>
      </c>
      <c r="C2567" s="20" t="s">
        <v>10259</v>
      </c>
      <c r="D2567" s="21"/>
      <c r="E2567" s="22" t="s">
        <v>10260</v>
      </c>
      <c r="H2567" s="23" t="s">
        <v>2697</v>
      </c>
      <c r="I2567" s="21"/>
      <c r="J2567" s="25"/>
      <c r="K2567" s="26" t="s">
        <v>44</v>
      </c>
      <c r="L2567" s="16"/>
      <c r="M2567" s="21"/>
    </row>
    <row r="2568">
      <c r="A2568" s="28">
        <v>46232.0</v>
      </c>
      <c r="B2568" s="16" t="s">
        <v>10261</v>
      </c>
      <c r="C2568" s="20" t="s">
        <v>10262</v>
      </c>
      <c r="D2568" s="21"/>
      <c r="E2568" s="22" t="s">
        <v>10263</v>
      </c>
      <c r="H2568" s="23" t="s">
        <v>57</v>
      </c>
      <c r="I2568" s="21"/>
      <c r="J2568" s="25"/>
      <c r="K2568" s="26" t="s">
        <v>44</v>
      </c>
      <c r="L2568" s="16"/>
      <c r="M2568" s="21"/>
    </row>
    <row r="2569">
      <c r="A2569" s="28">
        <v>46232.0</v>
      </c>
      <c r="B2569" s="16" t="s">
        <v>10264</v>
      </c>
      <c r="C2569" s="20" t="s">
        <v>10265</v>
      </c>
      <c r="D2569" s="21"/>
      <c r="E2569" s="22" t="s">
        <v>10266</v>
      </c>
      <c r="H2569" s="23" t="s">
        <v>2549</v>
      </c>
      <c r="I2569" s="21"/>
      <c r="J2569" s="25"/>
      <c r="K2569" s="26" t="s">
        <v>44</v>
      </c>
      <c r="L2569" s="16"/>
      <c r="M2569" s="21"/>
    </row>
    <row r="2570">
      <c r="A2570" s="28">
        <v>46232.0</v>
      </c>
      <c r="B2570" s="16" t="s">
        <v>10267</v>
      </c>
      <c r="C2570" s="20" t="s">
        <v>10268</v>
      </c>
      <c r="D2570" s="21"/>
      <c r="E2570" s="22" t="s">
        <v>10269</v>
      </c>
      <c r="H2570" s="23" t="s">
        <v>1693</v>
      </c>
      <c r="I2570" s="21"/>
      <c r="J2570" s="25"/>
      <c r="K2570" s="26" t="s">
        <v>44</v>
      </c>
      <c r="L2570" s="16"/>
      <c r="M2570" s="21"/>
    </row>
    <row r="2571">
      <c r="A2571" s="28">
        <v>46232.0</v>
      </c>
      <c r="B2571" s="16" t="s">
        <v>10270</v>
      </c>
      <c r="C2571" s="20" t="s">
        <v>10271</v>
      </c>
      <c r="D2571" s="21"/>
      <c r="E2571" s="22" t="s">
        <v>10272</v>
      </c>
      <c r="H2571" s="23" t="s">
        <v>2650</v>
      </c>
      <c r="I2571" s="21"/>
      <c r="J2571" s="25"/>
      <c r="K2571" s="26" t="s">
        <v>44</v>
      </c>
      <c r="L2571" s="16"/>
      <c r="M2571" s="21"/>
    </row>
    <row r="2572">
      <c r="A2572" s="28">
        <v>46232.0</v>
      </c>
      <c r="B2572" s="16" t="s">
        <v>10273</v>
      </c>
      <c r="C2572" s="46" t="s">
        <v>10274</v>
      </c>
      <c r="D2572" s="21"/>
      <c r="E2572" s="22" t="s">
        <v>10275</v>
      </c>
      <c r="H2572" s="23" t="s">
        <v>2549</v>
      </c>
      <c r="I2572" s="21"/>
      <c r="J2572" s="25"/>
      <c r="K2572" s="26" t="s">
        <v>44</v>
      </c>
      <c r="L2572" s="16"/>
      <c r="M2572" s="21"/>
    </row>
    <row r="2573">
      <c r="A2573" s="28">
        <v>46232.0</v>
      </c>
      <c r="B2573" s="16" t="s">
        <v>10276</v>
      </c>
      <c r="C2573" s="20" t="s">
        <v>10277</v>
      </c>
      <c r="D2573" s="21"/>
      <c r="E2573" s="22" t="s">
        <v>10278</v>
      </c>
      <c r="H2573" s="23" t="s">
        <v>1239</v>
      </c>
      <c r="I2573" s="21"/>
      <c r="J2573" s="25"/>
      <c r="K2573" s="26" t="s">
        <v>44</v>
      </c>
      <c r="L2573" s="16"/>
      <c r="M2573" s="21"/>
    </row>
    <row r="2574">
      <c r="A2574" s="28">
        <v>46232.0</v>
      </c>
      <c r="B2574" s="16" t="s">
        <v>10279</v>
      </c>
      <c r="C2574" s="20" t="s">
        <v>10280</v>
      </c>
      <c r="D2574" s="21"/>
      <c r="E2574" s="22" t="s">
        <v>10281</v>
      </c>
      <c r="H2574" s="23" t="s">
        <v>5264</v>
      </c>
      <c r="I2574" s="21"/>
      <c r="J2574" s="25"/>
      <c r="K2574" s="26" t="s">
        <v>44</v>
      </c>
      <c r="L2574" s="16"/>
      <c r="M2574" s="21"/>
    </row>
    <row r="2575">
      <c r="A2575" s="28">
        <v>46232.0</v>
      </c>
      <c r="B2575" s="16" t="s">
        <v>10282</v>
      </c>
      <c r="C2575" s="20" t="s">
        <v>10283</v>
      </c>
      <c r="D2575" s="21"/>
      <c r="E2575" s="22" t="s">
        <v>10284</v>
      </c>
      <c r="H2575" s="23" t="s">
        <v>2920</v>
      </c>
      <c r="I2575" s="21"/>
      <c r="J2575" s="25"/>
      <c r="K2575" s="26" t="s">
        <v>44</v>
      </c>
      <c r="L2575" s="16"/>
      <c r="M2575" s="21"/>
    </row>
    <row r="2576">
      <c r="A2576" s="28">
        <v>46232.0</v>
      </c>
      <c r="B2576" s="16" t="s">
        <v>10285</v>
      </c>
      <c r="C2576" s="20" t="s">
        <v>10286</v>
      </c>
      <c r="D2576" s="21"/>
      <c r="E2576" s="22" t="s">
        <v>10287</v>
      </c>
      <c r="H2576" s="23" t="s">
        <v>48</v>
      </c>
      <c r="I2576" s="21"/>
      <c r="J2576" s="25"/>
      <c r="K2576" s="26" t="s">
        <v>44</v>
      </c>
      <c r="L2576" s="16"/>
      <c r="M2576" s="21"/>
    </row>
    <row r="2577">
      <c r="A2577" s="28">
        <v>46232.0</v>
      </c>
      <c r="B2577" s="16" t="s">
        <v>10288</v>
      </c>
      <c r="C2577" s="20" t="s">
        <v>10289</v>
      </c>
      <c r="D2577" s="21"/>
      <c r="E2577" s="22" t="s">
        <v>10290</v>
      </c>
      <c r="H2577" s="23" t="s">
        <v>2064</v>
      </c>
      <c r="I2577" s="21"/>
      <c r="J2577" s="25"/>
      <c r="K2577" s="26" t="s">
        <v>44</v>
      </c>
      <c r="L2577" s="16"/>
      <c r="M2577" s="21"/>
    </row>
    <row r="2578">
      <c r="A2578" s="28">
        <v>46232.0</v>
      </c>
      <c r="B2578" s="16" t="s">
        <v>10291</v>
      </c>
      <c r="C2578" s="20" t="s">
        <v>10292</v>
      </c>
      <c r="D2578" s="21"/>
      <c r="E2578" s="22" t="s">
        <v>10293</v>
      </c>
      <c r="H2578" s="23" t="s">
        <v>10294</v>
      </c>
      <c r="I2578" s="21"/>
      <c r="J2578" s="25"/>
      <c r="K2578" s="26" t="s">
        <v>44</v>
      </c>
      <c r="L2578" s="16"/>
      <c r="M2578" s="21"/>
    </row>
    <row r="2579">
      <c r="A2579" s="28">
        <v>46232.0</v>
      </c>
      <c r="B2579" s="16" t="s">
        <v>10295</v>
      </c>
      <c r="C2579" s="20" t="s">
        <v>10296</v>
      </c>
      <c r="D2579" s="21"/>
      <c r="E2579" s="22" t="s">
        <v>10297</v>
      </c>
      <c r="H2579" s="23" t="s">
        <v>2598</v>
      </c>
      <c r="I2579" s="21"/>
      <c r="J2579" s="25"/>
      <c r="K2579" s="26" t="s">
        <v>44</v>
      </c>
      <c r="L2579" s="16"/>
      <c r="M2579" s="21"/>
    </row>
    <row r="2580">
      <c r="A2580" s="28">
        <v>46232.0</v>
      </c>
      <c r="B2580" s="16" t="s">
        <v>10298</v>
      </c>
      <c r="C2580" s="20" t="s">
        <v>10299</v>
      </c>
      <c r="D2580" s="21"/>
      <c r="E2580" s="22" t="s">
        <v>10300</v>
      </c>
      <c r="H2580" s="23" t="s">
        <v>57</v>
      </c>
      <c r="I2580" s="21"/>
      <c r="J2580" s="25"/>
      <c r="K2580" s="26" t="s">
        <v>44</v>
      </c>
      <c r="L2580" s="16"/>
      <c r="M2580" s="21"/>
    </row>
    <row r="2581">
      <c r="A2581" s="28">
        <v>46232.0</v>
      </c>
      <c r="B2581" s="16" t="s">
        <v>10301</v>
      </c>
      <c r="C2581" s="20" t="s">
        <v>10302</v>
      </c>
      <c r="D2581" s="21"/>
      <c r="E2581" s="22" t="s">
        <v>10303</v>
      </c>
      <c r="H2581" s="23" t="s">
        <v>10304</v>
      </c>
      <c r="I2581" s="21"/>
      <c r="J2581" s="25"/>
      <c r="K2581" s="26" t="s">
        <v>44</v>
      </c>
      <c r="L2581" s="16"/>
      <c r="M2581" s="21"/>
    </row>
    <row r="2582">
      <c r="A2582" s="28">
        <v>46232.0</v>
      </c>
      <c r="B2582" s="16" t="s">
        <v>10305</v>
      </c>
      <c r="C2582" s="20" t="s">
        <v>10306</v>
      </c>
      <c r="D2582" s="21"/>
      <c r="E2582" s="22" t="s">
        <v>10307</v>
      </c>
      <c r="H2582" s="23" t="s">
        <v>69</v>
      </c>
      <c r="I2582" s="21"/>
      <c r="J2582" s="25"/>
      <c r="K2582" s="26" t="s">
        <v>44</v>
      </c>
      <c r="L2582" s="16"/>
      <c r="M2582" s="21"/>
    </row>
    <row r="2583">
      <c r="A2583" s="28">
        <v>46232.0</v>
      </c>
      <c r="B2583" s="16" t="s">
        <v>10308</v>
      </c>
      <c r="C2583" s="20" t="s">
        <v>10309</v>
      </c>
      <c r="D2583" s="21"/>
      <c r="E2583" s="22" t="s">
        <v>10310</v>
      </c>
      <c r="H2583" s="23" t="s">
        <v>1534</v>
      </c>
      <c r="I2583" s="21"/>
      <c r="J2583" s="25"/>
      <c r="K2583" s="26" t="s">
        <v>44</v>
      </c>
      <c r="L2583" s="16"/>
      <c r="M2583" s="21"/>
    </row>
    <row r="2584">
      <c r="A2584" s="28">
        <v>46232.0</v>
      </c>
      <c r="B2584" s="16" t="s">
        <v>10311</v>
      </c>
      <c r="C2584" s="46" t="s">
        <v>10312</v>
      </c>
      <c r="D2584" s="21"/>
      <c r="E2584" s="22" t="s">
        <v>10313</v>
      </c>
      <c r="H2584" s="23" t="s">
        <v>69</v>
      </c>
      <c r="I2584" s="21"/>
      <c r="J2584" s="25"/>
      <c r="K2584" s="26" t="s">
        <v>44</v>
      </c>
      <c r="L2584" s="16"/>
      <c r="M2584" s="21"/>
    </row>
    <row r="2585">
      <c r="A2585" s="28">
        <v>46232.0</v>
      </c>
      <c r="B2585" s="16" t="s">
        <v>10314</v>
      </c>
      <c r="C2585" s="20" t="s">
        <v>10315</v>
      </c>
      <c r="D2585" s="21"/>
      <c r="E2585" s="22" t="s">
        <v>10316</v>
      </c>
      <c r="H2585" s="23" t="s">
        <v>5901</v>
      </c>
      <c r="I2585" s="21"/>
      <c r="J2585" s="25"/>
      <c r="K2585" s="26" t="s">
        <v>44</v>
      </c>
      <c r="L2585" s="16"/>
      <c r="M2585" s="21"/>
    </row>
    <row r="2586">
      <c r="A2586" s="28">
        <v>46232.0</v>
      </c>
      <c r="B2586" s="16" t="s">
        <v>10317</v>
      </c>
      <c r="C2586" s="20" t="s">
        <v>10318</v>
      </c>
      <c r="D2586" s="21"/>
      <c r="E2586" s="22" t="s">
        <v>10319</v>
      </c>
      <c r="H2586" s="23" t="s">
        <v>3396</v>
      </c>
      <c r="I2586" s="21"/>
      <c r="J2586" s="25"/>
      <c r="K2586" s="26" t="s">
        <v>44</v>
      </c>
      <c r="L2586" s="16"/>
      <c r="M2586" s="21"/>
    </row>
    <row r="2587">
      <c r="A2587" s="28">
        <v>46232.0</v>
      </c>
      <c r="B2587" s="16" t="s">
        <v>10320</v>
      </c>
      <c r="C2587" s="20" t="s">
        <v>10321</v>
      </c>
      <c r="D2587" s="21"/>
      <c r="E2587" s="22" t="s">
        <v>10322</v>
      </c>
      <c r="H2587" s="23" t="s">
        <v>10323</v>
      </c>
      <c r="I2587" s="21"/>
      <c r="J2587" s="25"/>
      <c r="K2587" s="26" t="s">
        <v>44</v>
      </c>
      <c r="L2587" s="16"/>
      <c r="M2587" s="21"/>
    </row>
    <row r="2588">
      <c r="A2588" s="28">
        <v>46232.0</v>
      </c>
      <c r="B2588" s="16" t="s">
        <v>10324</v>
      </c>
      <c r="C2588" s="20" t="s">
        <v>10325</v>
      </c>
      <c r="D2588" s="21"/>
      <c r="E2588" s="22" t="s">
        <v>10326</v>
      </c>
      <c r="H2588" s="23" t="s">
        <v>10327</v>
      </c>
      <c r="I2588" s="21"/>
      <c r="J2588" s="25"/>
      <c r="K2588" s="26" t="s">
        <v>44</v>
      </c>
      <c r="L2588" s="16"/>
      <c r="M2588" s="21"/>
    </row>
    <row r="2589">
      <c r="A2589" s="28">
        <v>46232.0</v>
      </c>
      <c r="B2589" s="16" t="s">
        <v>10328</v>
      </c>
      <c r="C2589" s="20" t="s">
        <v>10329</v>
      </c>
      <c r="D2589" s="21"/>
      <c r="E2589" s="22" t="s">
        <v>10330</v>
      </c>
      <c r="H2589" s="23" t="s">
        <v>10331</v>
      </c>
      <c r="I2589" s="21"/>
      <c r="J2589" s="25"/>
      <c r="K2589" s="26" t="s">
        <v>44</v>
      </c>
      <c r="L2589" s="16"/>
      <c r="M2589" s="21"/>
    </row>
    <row r="2590">
      <c r="A2590" s="28">
        <v>46232.0</v>
      </c>
      <c r="B2590" s="16" t="s">
        <v>10332</v>
      </c>
      <c r="C2590" s="20" t="s">
        <v>10333</v>
      </c>
      <c r="D2590" s="21"/>
      <c r="E2590" s="22" t="s">
        <v>10334</v>
      </c>
      <c r="H2590" s="23" t="s">
        <v>1448</v>
      </c>
      <c r="I2590" s="21"/>
      <c r="J2590" s="25"/>
      <c r="K2590" s="26" t="s">
        <v>44</v>
      </c>
      <c r="L2590" s="16"/>
      <c r="M2590" s="21"/>
    </row>
    <row r="2591">
      <c r="A2591" s="28">
        <v>46232.0</v>
      </c>
      <c r="B2591" s="16" t="s">
        <v>10335</v>
      </c>
      <c r="C2591" s="20" t="s">
        <v>10336</v>
      </c>
      <c r="D2591" s="21"/>
      <c r="E2591" s="22" t="s">
        <v>10337</v>
      </c>
      <c r="H2591" s="23" t="s">
        <v>10338</v>
      </c>
      <c r="I2591" s="21"/>
      <c r="J2591" s="25"/>
      <c r="K2591" s="26" t="s">
        <v>44</v>
      </c>
      <c r="L2591" s="16"/>
      <c r="M2591" s="21"/>
    </row>
    <row r="2592">
      <c r="A2592" s="28">
        <v>46232.0</v>
      </c>
      <c r="B2592" s="16" t="s">
        <v>10339</v>
      </c>
      <c r="C2592" s="46" t="s">
        <v>10340</v>
      </c>
      <c r="D2592" s="21"/>
      <c r="E2592" s="22" t="s">
        <v>10341</v>
      </c>
      <c r="H2592" s="23" t="s">
        <v>48</v>
      </c>
      <c r="I2592" s="21"/>
      <c r="J2592" s="25"/>
      <c r="K2592" s="26" t="s">
        <v>44</v>
      </c>
      <c r="L2592" s="16"/>
      <c r="M2592" s="21"/>
    </row>
    <row r="2593">
      <c r="A2593" s="28">
        <v>46232.0</v>
      </c>
      <c r="B2593" s="16" t="s">
        <v>10342</v>
      </c>
      <c r="C2593" s="20" t="s">
        <v>10343</v>
      </c>
      <c r="D2593" s="21"/>
      <c r="E2593" s="22" t="s">
        <v>10344</v>
      </c>
      <c r="H2593" s="23" t="s">
        <v>1819</v>
      </c>
      <c r="I2593" s="21"/>
      <c r="J2593" s="25"/>
      <c r="K2593" s="26" t="s">
        <v>44</v>
      </c>
      <c r="L2593" s="16"/>
      <c r="M2593" s="21"/>
    </row>
    <row r="2594">
      <c r="A2594" s="28">
        <v>46232.0</v>
      </c>
      <c r="B2594" s="16" t="s">
        <v>10345</v>
      </c>
      <c r="C2594" s="20" t="s">
        <v>10346</v>
      </c>
      <c r="D2594" s="21"/>
      <c r="E2594" s="22" t="s">
        <v>10347</v>
      </c>
      <c r="H2594" s="23" t="s">
        <v>48</v>
      </c>
      <c r="I2594" s="21"/>
      <c r="J2594" s="25"/>
      <c r="K2594" s="26" t="s">
        <v>44</v>
      </c>
      <c r="L2594" s="16"/>
      <c r="M2594" s="21"/>
    </row>
    <row r="2595">
      <c r="A2595" s="28">
        <v>46232.0</v>
      </c>
      <c r="B2595" s="16" t="s">
        <v>10348</v>
      </c>
      <c r="C2595" s="20" t="s">
        <v>10349</v>
      </c>
      <c r="D2595" s="21"/>
      <c r="E2595" s="22" t="s">
        <v>10350</v>
      </c>
      <c r="H2595" s="23" t="s">
        <v>10351</v>
      </c>
      <c r="I2595" s="21"/>
      <c r="J2595" s="25"/>
      <c r="K2595" s="26" t="s">
        <v>44</v>
      </c>
      <c r="L2595" s="16"/>
      <c r="M2595" s="21"/>
    </row>
    <row r="2596">
      <c r="A2596" s="28">
        <v>46232.0</v>
      </c>
      <c r="B2596" s="16" t="s">
        <v>10352</v>
      </c>
      <c r="C2596" s="20" t="s">
        <v>10353</v>
      </c>
      <c r="D2596" s="21"/>
      <c r="E2596" s="22" t="s">
        <v>10354</v>
      </c>
      <c r="H2596" s="23" t="s">
        <v>4917</v>
      </c>
      <c r="I2596" s="21"/>
      <c r="J2596" s="25"/>
      <c r="K2596" s="26" t="s">
        <v>44</v>
      </c>
      <c r="L2596" s="16"/>
      <c r="M2596" s="21"/>
    </row>
    <row r="2597">
      <c r="A2597" s="28">
        <v>46232.0</v>
      </c>
      <c r="B2597" s="16" t="s">
        <v>10355</v>
      </c>
      <c r="C2597" s="20" t="s">
        <v>10356</v>
      </c>
      <c r="D2597" s="21"/>
      <c r="E2597" s="22" t="s">
        <v>10357</v>
      </c>
      <c r="H2597" s="23" t="s">
        <v>10358</v>
      </c>
      <c r="I2597" s="21"/>
      <c r="J2597" s="25"/>
      <c r="K2597" s="26" t="s">
        <v>44</v>
      </c>
      <c r="L2597" s="16"/>
      <c r="M2597" s="21"/>
    </row>
    <row r="2598">
      <c r="A2598" s="28">
        <v>46232.0</v>
      </c>
      <c r="B2598" s="16" t="s">
        <v>10359</v>
      </c>
      <c r="C2598" s="20" t="s">
        <v>10360</v>
      </c>
      <c r="D2598" s="21"/>
      <c r="E2598" s="22" t="s">
        <v>10361</v>
      </c>
      <c r="H2598" s="23" t="s">
        <v>80</v>
      </c>
      <c r="I2598" s="21"/>
      <c r="J2598" s="25"/>
      <c r="K2598" s="26" t="s">
        <v>44</v>
      </c>
      <c r="L2598" s="16"/>
      <c r="M2598" s="21"/>
    </row>
    <row r="2599">
      <c r="A2599" s="28">
        <v>46232.0</v>
      </c>
      <c r="B2599" s="16" t="s">
        <v>10362</v>
      </c>
      <c r="C2599" s="20" t="s">
        <v>10363</v>
      </c>
      <c r="D2599" s="21"/>
      <c r="E2599" s="22" t="s">
        <v>10364</v>
      </c>
      <c r="H2599" s="23" t="s">
        <v>1200</v>
      </c>
      <c r="I2599" s="21"/>
      <c r="J2599" s="25"/>
      <c r="K2599" s="26" t="s">
        <v>44</v>
      </c>
      <c r="L2599" s="16"/>
      <c r="M2599" s="21"/>
    </row>
    <row r="2600">
      <c r="A2600" s="28">
        <v>46232.0</v>
      </c>
      <c r="B2600" s="16" t="s">
        <v>10365</v>
      </c>
      <c r="C2600" s="20" t="s">
        <v>10366</v>
      </c>
      <c r="D2600" s="21"/>
      <c r="E2600" s="22" t="s">
        <v>10367</v>
      </c>
      <c r="H2600" s="23" t="s">
        <v>9694</v>
      </c>
      <c r="I2600" s="21"/>
      <c r="J2600" s="25"/>
      <c r="K2600" s="26" t="s">
        <v>44</v>
      </c>
      <c r="L2600" s="16"/>
      <c r="M2600" s="21"/>
    </row>
    <row r="2601">
      <c r="A2601" s="28">
        <v>46232.0</v>
      </c>
      <c r="B2601" s="16" t="s">
        <v>10368</v>
      </c>
      <c r="C2601" s="20" t="s">
        <v>10369</v>
      </c>
      <c r="D2601" s="21"/>
      <c r="E2601" s="22" t="s">
        <v>10370</v>
      </c>
      <c r="H2601" s="23" t="s">
        <v>10371</v>
      </c>
      <c r="I2601" s="21"/>
      <c r="J2601" s="25"/>
      <c r="K2601" s="26" t="s">
        <v>44</v>
      </c>
      <c r="L2601" s="16"/>
      <c r="M2601" s="21"/>
    </row>
    <row r="2602">
      <c r="A2602" s="28">
        <v>46232.0</v>
      </c>
      <c r="B2602" s="16" t="s">
        <v>10372</v>
      </c>
      <c r="C2602" s="20" t="s">
        <v>10373</v>
      </c>
      <c r="D2602" s="21"/>
      <c r="E2602" s="22" t="s">
        <v>10374</v>
      </c>
      <c r="H2602" s="23" t="s">
        <v>10375</v>
      </c>
      <c r="I2602" s="21"/>
      <c r="J2602" s="25"/>
      <c r="K2602" s="26" t="s">
        <v>44</v>
      </c>
      <c r="L2602" s="16"/>
      <c r="M2602" s="21"/>
    </row>
    <row r="2603">
      <c r="A2603" s="28">
        <v>46232.0</v>
      </c>
      <c r="B2603" s="16" t="s">
        <v>10376</v>
      </c>
      <c r="C2603" s="20" t="s">
        <v>10377</v>
      </c>
      <c r="D2603" s="21"/>
      <c r="E2603" s="22" t="s">
        <v>10378</v>
      </c>
      <c r="H2603" s="23" t="s">
        <v>10379</v>
      </c>
      <c r="I2603" s="21"/>
      <c r="J2603" s="25"/>
      <c r="K2603" s="26" t="s">
        <v>44</v>
      </c>
      <c r="L2603" s="16"/>
      <c r="M2603" s="21"/>
    </row>
    <row r="2604">
      <c r="A2604" s="28">
        <v>46232.0</v>
      </c>
      <c r="B2604" s="16" t="s">
        <v>10380</v>
      </c>
      <c r="C2604" s="20" t="s">
        <v>10381</v>
      </c>
      <c r="D2604" s="21"/>
      <c r="E2604" s="22" t="s">
        <v>10382</v>
      </c>
      <c r="H2604" s="23" t="s">
        <v>10383</v>
      </c>
      <c r="I2604" s="21"/>
      <c r="J2604" s="25"/>
      <c r="K2604" s="26" t="s">
        <v>44</v>
      </c>
      <c r="L2604" s="16"/>
      <c r="M2604" s="21"/>
    </row>
    <row r="2605">
      <c r="A2605" s="28">
        <v>46232.0</v>
      </c>
      <c r="B2605" s="16" t="s">
        <v>10384</v>
      </c>
      <c r="C2605" s="20" t="s">
        <v>10385</v>
      </c>
      <c r="D2605" s="21"/>
      <c r="E2605" s="22" t="s">
        <v>10386</v>
      </c>
      <c r="H2605" s="23" t="s">
        <v>1708</v>
      </c>
      <c r="I2605" s="21"/>
      <c r="J2605" s="25"/>
      <c r="K2605" s="26" t="s">
        <v>44</v>
      </c>
      <c r="L2605" s="16"/>
      <c r="M2605" s="21"/>
    </row>
    <row r="2606">
      <c r="A2606" s="28">
        <v>46232.0</v>
      </c>
      <c r="B2606" s="16" t="s">
        <v>10387</v>
      </c>
      <c r="C2606" s="20" t="s">
        <v>10388</v>
      </c>
      <c r="D2606" s="21"/>
      <c r="E2606" s="22" t="s">
        <v>10389</v>
      </c>
      <c r="H2606" s="23" t="s">
        <v>10390</v>
      </c>
      <c r="I2606" s="21"/>
      <c r="J2606" s="25"/>
      <c r="K2606" s="26" t="s">
        <v>44</v>
      </c>
      <c r="L2606" s="16"/>
      <c r="M2606" s="21"/>
    </row>
    <row r="2607">
      <c r="A2607" s="28">
        <v>46232.0</v>
      </c>
      <c r="B2607" s="16" t="s">
        <v>10391</v>
      </c>
      <c r="C2607" s="20" t="s">
        <v>10392</v>
      </c>
      <c r="D2607" s="21"/>
      <c r="E2607" s="22" t="s">
        <v>10393</v>
      </c>
      <c r="H2607" s="23" t="s">
        <v>1250</v>
      </c>
      <c r="I2607" s="21"/>
      <c r="J2607" s="25"/>
      <c r="K2607" s="26" t="s">
        <v>44</v>
      </c>
      <c r="L2607" s="16"/>
      <c r="M2607" s="21"/>
    </row>
    <row r="2608">
      <c r="A2608" s="28">
        <v>46232.0</v>
      </c>
      <c r="B2608" s="16" t="s">
        <v>10394</v>
      </c>
      <c r="C2608" s="20" t="s">
        <v>10395</v>
      </c>
      <c r="D2608" s="21"/>
      <c r="E2608" s="22" t="s">
        <v>10396</v>
      </c>
      <c r="H2608" s="23" t="s">
        <v>370</v>
      </c>
      <c r="I2608" s="21"/>
      <c r="J2608" s="25"/>
      <c r="K2608" s="26" t="s">
        <v>44</v>
      </c>
      <c r="L2608" s="16"/>
      <c r="M2608" s="21"/>
    </row>
    <row r="2609">
      <c r="A2609" s="28">
        <v>46232.0</v>
      </c>
      <c r="B2609" s="16" t="s">
        <v>10397</v>
      </c>
      <c r="C2609" s="20" t="s">
        <v>10398</v>
      </c>
      <c r="D2609" s="21"/>
      <c r="E2609" s="22" t="s">
        <v>10399</v>
      </c>
      <c r="H2609" s="23" t="s">
        <v>8993</v>
      </c>
      <c r="I2609" s="21"/>
      <c r="J2609" s="25"/>
      <c r="K2609" s="26" t="s">
        <v>44</v>
      </c>
      <c r="L2609" s="16"/>
      <c r="M2609" s="21"/>
    </row>
    <row r="2610">
      <c r="A2610" s="28">
        <v>46232.0</v>
      </c>
      <c r="B2610" s="16" t="s">
        <v>10400</v>
      </c>
      <c r="C2610" s="20" t="s">
        <v>10401</v>
      </c>
      <c r="D2610" s="21"/>
      <c r="E2610" s="22" t="s">
        <v>10402</v>
      </c>
      <c r="H2610" s="23" t="s">
        <v>69</v>
      </c>
      <c r="I2610" s="21"/>
      <c r="J2610" s="25"/>
      <c r="K2610" s="26" t="s">
        <v>44</v>
      </c>
      <c r="L2610" s="16"/>
      <c r="M2610" s="21"/>
    </row>
    <row r="2611">
      <c r="A2611" s="28">
        <v>46232.0</v>
      </c>
      <c r="B2611" s="16" t="s">
        <v>10403</v>
      </c>
      <c r="C2611" s="20" t="s">
        <v>10404</v>
      </c>
      <c r="D2611" s="21"/>
      <c r="E2611" s="22" t="s">
        <v>10405</v>
      </c>
      <c r="H2611" s="23" t="s">
        <v>10406</v>
      </c>
      <c r="I2611" s="21"/>
      <c r="J2611" s="25"/>
      <c r="K2611" s="26" t="s">
        <v>44</v>
      </c>
      <c r="L2611" s="16"/>
      <c r="M2611" s="21"/>
    </row>
    <row r="2612">
      <c r="A2612" s="28">
        <v>46232.0</v>
      </c>
      <c r="B2612" s="16" t="s">
        <v>10407</v>
      </c>
      <c r="C2612" s="20" t="s">
        <v>10408</v>
      </c>
      <c r="D2612" s="21"/>
      <c r="E2612" s="22" t="s">
        <v>10409</v>
      </c>
      <c r="H2612" s="23" t="s">
        <v>9461</v>
      </c>
      <c r="I2612" s="21"/>
      <c r="J2612" s="25"/>
      <c r="K2612" s="26" t="s">
        <v>44</v>
      </c>
      <c r="L2612" s="16"/>
      <c r="M2612" s="21"/>
    </row>
    <row r="2613">
      <c r="A2613" s="28">
        <v>46232.0</v>
      </c>
      <c r="B2613" s="16" t="s">
        <v>10410</v>
      </c>
      <c r="C2613" s="20" t="s">
        <v>10411</v>
      </c>
      <c r="D2613" s="21"/>
      <c r="E2613" s="22" t="s">
        <v>10412</v>
      </c>
      <c r="H2613" s="23" t="s">
        <v>9535</v>
      </c>
      <c r="I2613" s="21"/>
      <c r="J2613" s="25"/>
      <c r="K2613" s="26" t="s">
        <v>44</v>
      </c>
      <c r="L2613" s="16"/>
      <c r="M2613" s="21"/>
    </row>
    <row r="2614">
      <c r="A2614" s="28">
        <v>46232.0</v>
      </c>
      <c r="B2614" s="16" t="s">
        <v>10413</v>
      </c>
      <c r="C2614" s="20" t="s">
        <v>10414</v>
      </c>
      <c r="D2614" s="21"/>
      <c r="E2614" s="22" t="s">
        <v>10415</v>
      </c>
      <c r="H2614" s="23" t="s">
        <v>57</v>
      </c>
      <c r="I2614" s="21"/>
      <c r="J2614" s="25"/>
      <c r="K2614" s="26" t="s">
        <v>44</v>
      </c>
      <c r="L2614" s="16"/>
      <c r="M2614" s="21"/>
    </row>
    <row r="2615">
      <c r="A2615" s="28">
        <v>46232.0</v>
      </c>
      <c r="B2615" s="16" t="s">
        <v>10416</v>
      </c>
      <c r="C2615" s="20" t="s">
        <v>10417</v>
      </c>
      <c r="D2615" s="21"/>
      <c r="E2615" s="22" t="s">
        <v>10418</v>
      </c>
      <c r="H2615" s="23" t="s">
        <v>10419</v>
      </c>
      <c r="I2615" s="21"/>
      <c r="J2615" s="25"/>
      <c r="K2615" s="26" t="s">
        <v>44</v>
      </c>
      <c r="L2615" s="16"/>
      <c r="M2615" s="21"/>
    </row>
    <row r="2616">
      <c r="A2616" s="28">
        <v>46232.0</v>
      </c>
      <c r="B2616" s="16" t="s">
        <v>10420</v>
      </c>
      <c r="C2616" s="20" t="s">
        <v>10421</v>
      </c>
      <c r="D2616" s="21"/>
      <c r="E2616" s="22" t="s">
        <v>10422</v>
      </c>
      <c r="H2616" s="23" t="s">
        <v>3267</v>
      </c>
      <c r="I2616" s="21"/>
      <c r="J2616" s="25"/>
      <c r="K2616" s="26" t="s">
        <v>44</v>
      </c>
      <c r="L2616" s="16"/>
      <c r="M2616" s="21"/>
    </row>
    <row r="2617">
      <c r="A2617" s="28">
        <v>46232.0</v>
      </c>
      <c r="B2617" s="16" t="s">
        <v>10423</v>
      </c>
      <c r="C2617" s="20" t="s">
        <v>10424</v>
      </c>
      <c r="D2617" s="21"/>
      <c r="E2617" s="22" t="s">
        <v>10425</v>
      </c>
      <c r="H2617" s="23" t="s">
        <v>6518</v>
      </c>
      <c r="I2617" s="21"/>
      <c r="J2617" s="25"/>
      <c r="K2617" s="26" t="s">
        <v>44</v>
      </c>
      <c r="L2617" s="16"/>
      <c r="M2617" s="21"/>
    </row>
    <row r="2618">
      <c r="A2618" s="28">
        <v>46232.0</v>
      </c>
      <c r="B2618" s="16" t="s">
        <v>10426</v>
      </c>
      <c r="C2618" s="20" t="s">
        <v>10427</v>
      </c>
      <c r="D2618" s="21"/>
      <c r="E2618" s="22" t="s">
        <v>10428</v>
      </c>
      <c r="H2618" s="23" t="s">
        <v>1422</v>
      </c>
      <c r="I2618" s="21"/>
      <c r="J2618" s="25"/>
      <c r="K2618" s="26" t="s">
        <v>44</v>
      </c>
      <c r="L2618" s="16"/>
      <c r="M2618" s="21"/>
    </row>
    <row r="2619">
      <c r="A2619" s="28">
        <v>46232.0</v>
      </c>
      <c r="B2619" s="16" t="s">
        <v>10429</v>
      </c>
      <c r="C2619" s="20" t="s">
        <v>10430</v>
      </c>
      <c r="D2619" s="21"/>
      <c r="E2619" s="22" t="s">
        <v>10431</v>
      </c>
      <c r="H2619" s="23" t="s">
        <v>1164</v>
      </c>
      <c r="I2619" s="21"/>
      <c r="J2619" s="25"/>
      <c r="K2619" s="26" t="s">
        <v>44</v>
      </c>
      <c r="L2619" s="16"/>
      <c r="M2619" s="21"/>
    </row>
    <row r="2620">
      <c r="A2620" s="28">
        <v>46232.0</v>
      </c>
      <c r="B2620" s="16" t="s">
        <v>10432</v>
      </c>
      <c r="C2620" s="20" t="s">
        <v>10433</v>
      </c>
      <c r="D2620" s="21"/>
      <c r="E2620" s="22" t="s">
        <v>10434</v>
      </c>
      <c r="H2620" s="23" t="s">
        <v>1093</v>
      </c>
      <c r="I2620" s="21"/>
      <c r="J2620" s="25"/>
      <c r="K2620" s="26" t="s">
        <v>44</v>
      </c>
      <c r="L2620" s="16"/>
      <c r="M2620" s="21"/>
    </row>
    <row r="2621">
      <c r="A2621" s="28">
        <v>46232.0</v>
      </c>
      <c r="B2621" s="16" t="s">
        <v>10435</v>
      </c>
      <c r="C2621" s="20" t="s">
        <v>10436</v>
      </c>
      <c r="D2621" s="21"/>
      <c r="E2621" s="22" t="s">
        <v>10437</v>
      </c>
      <c r="H2621" s="23" t="s">
        <v>48</v>
      </c>
      <c r="I2621" s="21"/>
      <c r="J2621" s="25"/>
      <c r="K2621" s="26" t="s">
        <v>44</v>
      </c>
      <c r="L2621" s="16"/>
      <c r="M2621" s="21"/>
    </row>
    <row r="2622">
      <c r="A2622" s="28">
        <v>46232.0</v>
      </c>
      <c r="B2622" s="16" t="s">
        <v>10438</v>
      </c>
      <c r="C2622" s="20" t="s">
        <v>10439</v>
      </c>
      <c r="D2622" s="21"/>
      <c r="E2622" s="22" t="s">
        <v>10440</v>
      </c>
      <c r="H2622" s="23" t="s">
        <v>10441</v>
      </c>
      <c r="I2622" s="21"/>
      <c r="J2622" s="25"/>
      <c r="K2622" s="26" t="s">
        <v>44</v>
      </c>
      <c r="L2622" s="16"/>
      <c r="M2622" s="21"/>
    </row>
    <row r="2623">
      <c r="A2623" s="28">
        <v>46232.0</v>
      </c>
      <c r="B2623" s="16" t="s">
        <v>10442</v>
      </c>
      <c r="C2623" s="20" t="s">
        <v>10443</v>
      </c>
      <c r="D2623" s="21"/>
      <c r="E2623" s="22" t="s">
        <v>10444</v>
      </c>
      <c r="H2623" s="23" t="s">
        <v>10445</v>
      </c>
      <c r="I2623" s="21"/>
      <c r="J2623" s="25"/>
      <c r="K2623" s="26" t="s">
        <v>44</v>
      </c>
      <c r="L2623" s="16"/>
      <c r="M2623" s="21"/>
    </row>
    <row r="2624">
      <c r="A2624" s="28">
        <v>46232.0</v>
      </c>
      <c r="B2624" s="16" t="s">
        <v>10446</v>
      </c>
      <c r="C2624" s="20" t="s">
        <v>10447</v>
      </c>
      <c r="D2624" s="21"/>
      <c r="E2624" s="22" t="s">
        <v>10448</v>
      </c>
      <c r="H2624" s="23" t="s">
        <v>2157</v>
      </c>
      <c r="I2624" s="21"/>
      <c r="J2624" s="25"/>
      <c r="K2624" s="26" t="s">
        <v>44</v>
      </c>
      <c r="L2624" s="16"/>
      <c r="M2624" s="21"/>
    </row>
    <row r="2625">
      <c r="A2625" s="28">
        <v>46232.0</v>
      </c>
      <c r="B2625" s="16" t="s">
        <v>10449</v>
      </c>
      <c r="C2625" s="20" t="s">
        <v>10450</v>
      </c>
      <c r="D2625" s="21"/>
      <c r="E2625" s="22" t="s">
        <v>10451</v>
      </c>
      <c r="H2625" s="23" t="s">
        <v>10452</v>
      </c>
      <c r="I2625" s="21"/>
      <c r="J2625" s="25"/>
      <c r="K2625" s="26" t="s">
        <v>44</v>
      </c>
      <c r="L2625" s="16"/>
      <c r="M2625" s="21"/>
    </row>
    <row r="2626">
      <c r="A2626" s="28">
        <v>46232.0</v>
      </c>
      <c r="B2626" s="16" t="s">
        <v>10453</v>
      </c>
      <c r="C2626" s="20" t="s">
        <v>10454</v>
      </c>
      <c r="D2626" s="21"/>
      <c r="E2626" s="22" t="s">
        <v>10455</v>
      </c>
      <c r="H2626" s="23" t="s">
        <v>1246</v>
      </c>
      <c r="I2626" s="21"/>
      <c r="J2626" s="25"/>
      <c r="K2626" s="26" t="s">
        <v>44</v>
      </c>
      <c r="L2626" s="16"/>
      <c r="M2626" s="21"/>
    </row>
    <row r="2627">
      <c r="A2627" s="28">
        <v>46232.0</v>
      </c>
      <c r="B2627" s="16" t="s">
        <v>10456</v>
      </c>
      <c r="C2627" s="20" t="s">
        <v>10457</v>
      </c>
      <c r="D2627" s="21"/>
      <c r="E2627" s="22" t="s">
        <v>10458</v>
      </c>
      <c r="H2627" s="23" t="s">
        <v>2549</v>
      </c>
      <c r="I2627" s="21"/>
      <c r="J2627" s="25"/>
      <c r="K2627" s="26" t="s">
        <v>44</v>
      </c>
      <c r="L2627" s="16"/>
      <c r="M2627" s="21"/>
    </row>
    <row r="2628">
      <c r="A2628" s="28">
        <v>46232.0</v>
      </c>
      <c r="B2628" s="16" t="s">
        <v>10459</v>
      </c>
      <c r="C2628" s="20" t="s">
        <v>10460</v>
      </c>
      <c r="D2628" s="21"/>
      <c r="E2628" s="22" t="s">
        <v>10461</v>
      </c>
      <c r="H2628" s="23" t="s">
        <v>6039</v>
      </c>
      <c r="I2628" s="21"/>
      <c r="J2628" s="25"/>
      <c r="K2628" s="26" t="s">
        <v>44</v>
      </c>
      <c r="L2628" s="16"/>
      <c r="M2628" s="21"/>
    </row>
    <row r="2629">
      <c r="A2629" s="28">
        <v>46232.0</v>
      </c>
      <c r="B2629" s="16" t="s">
        <v>10462</v>
      </c>
      <c r="C2629" s="20" t="s">
        <v>3170</v>
      </c>
      <c r="D2629" s="21"/>
      <c r="E2629" s="22" t="s">
        <v>10463</v>
      </c>
      <c r="H2629" s="23" t="s">
        <v>1643</v>
      </c>
      <c r="I2629" s="21"/>
      <c r="J2629" s="25"/>
      <c r="K2629" s="26" t="s">
        <v>44</v>
      </c>
      <c r="L2629" s="16"/>
      <c r="M2629" s="21"/>
    </row>
    <row r="2630">
      <c r="A2630" s="28">
        <v>46232.0</v>
      </c>
      <c r="B2630" s="16" t="s">
        <v>10464</v>
      </c>
      <c r="C2630" s="20" t="s">
        <v>10465</v>
      </c>
      <c r="D2630" s="21"/>
      <c r="E2630" s="22" t="s">
        <v>10466</v>
      </c>
      <c r="H2630" s="23" t="s">
        <v>10467</v>
      </c>
      <c r="I2630" s="21"/>
      <c r="J2630" s="25"/>
      <c r="K2630" s="26" t="s">
        <v>44</v>
      </c>
      <c r="L2630" s="16"/>
      <c r="M2630" s="21"/>
    </row>
    <row r="2631">
      <c r="A2631" s="28">
        <v>46232.0</v>
      </c>
      <c r="B2631" s="16" t="s">
        <v>10468</v>
      </c>
      <c r="C2631" s="20" t="s">
        <v>10469</v>
      </c>
      <c r="D2631" s="21"/>
      <c r="E2631" s="22" t="s">
        <v>10470</v>
      </c>
      <c r="H2631" s="23" t="s">
        <v>7819</v>
      </c>
      <c r="I2631" s="21"/>
      <c r="J2631" s="25"/>
      <c r="K2631" s="26" t="s">
        <v>44</v>
      </c>
      <c r="L2631" s="16"/>
      <c r="M2631" s="21"/>
    </row>
    <row r="2632">
      <c r="A2632" s="28">
        <v>46232.0</v>
      </c>
      <c r="B2632" s="16" t="s">
        <v>10471</v>
      </c>
      <c r="C2632" s="20" t="s">
        <v>10472</v>
      </c>
      <c r="D2632" s="21"/>
      <c r="E2632" s="22" t="s">
        <v>10473</v>
      </c>
      <c r="H2632" s="23" t="s">
        <v>479</v>
      </c>
      <c r="I2632" s="21"/>
      <c r="J2632" s="25"/>
      <c r="K2632" s="26" t="s">
        <v>44</v>
      </c>
      <c r="L2632" s="16"/>
      <c r="M2632" s="21"/>
    </row>
    <row r="2633">
      <c r="A2633" s="28">
        <v>46232.0</v>
      </c>
      <c r="B2633" s="16" t="s">
        <v>10474</v>
      </c>
      <c r="C2633" s="20" t="s">
        <v>10475</v>
      </c>
      <c r="D2633" s="21"/>
      <c r="E2633" s="22" t="s">
        <v>10476</v>
      </c>
      <c r="H2633" s="23" t="s">
        <v>57</v>
      </c>
      <c r="I2633" s="21"/>
      <c r="J2633" s="25"/>
      <c r="K2633" s="26" t="s">
        <v>44</v>
      </c>
      <c r="L2633" s="16"/>
      <c r="M2633" s="21"/>
    </row>
    <row r="2634">
      <c r="A2634" s="28">
        <v>46232.0</v>
      </c>
      <c r="B2634" s="16" t="s">
        <v>10477</v>
      </c>
      <c r="C2634" s="46" t="s">
        <v>10478</v>
      </c>
      <c r="D2634" s="21"/>
      <c r="E2634" s="22" t="s">
        <v>10479</v>
      </c>
      <c r="H2634" s="23" t="s">
        <v>10480</v>
      </c>
      <c r="I2634" s="21"/>
      <c r="J2634" s="25"/>
      <c r="K2634" s="26" t="s">
        <v>44</v>
      </c>
      <c r="L2634" s="16"/>
      <c r="M2634" s="21"/>
    </row>
    <row r="2635">
      <c r="A2635" s="28">
        <v>46232.0</v>
      </c>
      <c r="B2635" s="16" t="s">
        <v>10481</v>
      </c>
      <c r="C2635" s="20" t="s">
        <v>10482</v>
      </c>
      <c r="D2635" s="21"/>
      <c r="E2635" s="22" t="s">
        <v>10483</v>
      </c>
      <c r="H2635" s="23" t="s">
        <v>8599</v>
      </c>
      <c r="I2635" s="21"/>
      <c r="J2635" s="25"/>
      <c r="K2635" s="26" t="s">
        <v>44</v>
      </c>
      <c r="L2635" s="16"/>
      <c r="M2635" s="21"/>
    </row>
    <row r="2636">
      <c r="A2636" s="28">
        <v>46232.0</v>
      </c>
      <c r="B2636" s="16" t="s">
        <v>10484</v>
      </c>
      <c r="C2636" s="20" t="s">
        <v>10485</v>
      </c>
      <c r="D2636" s="21"/>
      <c r="E2636" s="22" t="s">
        <v>10486</v>
      </c>
      <c r="H2636" s="23" t="s">
        <v>10487</v>
      </c>
      <c r="I2636" s="21"/>
      <c r="J2636" s="25"/>
      <c r="K2636" s="26" t="s">
        <v>44</v>
      </c>
      <c r="L2636" s="16"/>
      <c r="M2636" s="21"/>
    </row>
    <row r="2637">
      <c r="A2637" s="28">
        <v>46232.0</v>
      </c>
      <c r="B2637" s="16" t="s">
        <v>10488</v>
      </c>
      <c r="C2637" s="20" t="s">
        <v>10489</v>
      </c>
      <c r="D2637" s="21"/>
      <c r="E2637" s="22" t="s">
        <v>10490</v>
      </c>
      <c r="H2637" s="23" t="s">
        <v>10491</v>
      </c>
      <c r="I2637" s="21"/>
      <c r="J2637" s="25"/>
      <c r="K2637" s="26" t="s">
        <v>44</v>
      </c>
      <c r="L2637" s="16"/>
      <c r="M2637" s="21"/>
    </row>
    <row r="2638">
      <c r="A2638" s="28">
        <v>46232.0</v>
      </c>
      <c r="B2638" s="16" t="s">
        <v>10492</v>
      </c>
      <c r="C2638" s="20" t="s">
        <v>10493</v>
      </c>
      <c r="D2638" s="21"/>
      <c r="E2638" s="22" t="s">
        <v>10494</v>
      </c>
      <c r="H2638" s="23" t="s">
        <v>69</v>
      </c>
      <c r="I2638" s="21"/>
      <c r="J2638" s="25"/>
      <c r="K2638" s="26" t="s">
        <v>44</v>
      </c>
      <c r="L2638" s="16"/>
      <c r="M2638" s="21"/>
    </row>
    <row r="2639">
      <c r="A2639" s="28">
        <v>46232.0</v>
      </c>
      <c r="B2639" s="16" t="s">
        <v>10495</v>
      </c>
      <c r="C2639" s="20" t="s">
        <v>10496</v>
      </c>
      <c r="D2639" s="21"/>
      <c r="E2639" s="22" t="s">
        <v>10497</v>
      </c>
      <c r="H2639" s="23" t="s">
        <v>1487</v>
      </c>
      <c r="I2639" s="21"/>
      <c r="J2639" s="25"/>
      <c r="K2639" s="26" t="s">
        <v>44</v>
      </c>
      <c r="L2639" s="16"/>
      <c r="M2639" s="21"/>
    </row>
    <row r="2640">
      <c r="A2640" s="28">
        <v>46232.0</v>
      </c>
      <c r="B2640" s="16" t="s">
        <v>10498</v>
      </c>
      <c r="C2640" s="46" t="s">
        <v>10499</v>
      </c>
      <c r="D2640" s="21"/>
      <c r="E2640" s="22" t="s">
        <v>10500</v>
      </c>
      <c r="H2640" s="23" t="s">
        <v>42</v>
      </c>
      <c r="I2640" s="21"/>
      <c r="J2640" s="25"/>
      <c r="K2640" s="26" t="s">
        <v>44</v>
      </c>
      <c r="L2640" s="16"/>
      <c r="M2640" s="21"/>
    </row>
    <row r="2641">
      <c r="A2641" s="28">
        <v>46232.0</v>
      </c>
      <c r="B2641" s="16" t="s">
        <v>10501</v>
      </c>
      <c r="C2641" s="20" t="s">
        <v>10502</v>
      </c>
      <c r="D2641" s="21"/>
      <c r="E2641" s="22" t="s">
        <v>10503</v>
      </c>
      <c r="H2641" s="23" t="s">
        <v>4295</v>
      </c>
      <c r="I2641" s="21"/>
      <c r="J2641" s="25"/>
      <c r="K2641" s="26" t="s">
        <v>44</v>
      </c>
      <c r="L2641" s="16"/>
      <c r="M2641" s="21"/>
    </row>
    <row r="2642">
      <c r="A2642" s="28">
        <v>46232.0</v>
      </c>
      <c r="B2642" s="16" t="s">
        <v>10504</v>
      </c>
      <c r="C2642" s="20" t="s">
        <v>10505</v>
      </c>
      <c r="D2642" s="21"/>
      <c r="E2642" s="22" t="s">
        <v>10506</v>
      </c>
      <c r="H2642" s="23" t="s">
        <v>57</v>
      </c>
      <c r="I2642" s="21"/>
      <c r="J2642" s="25"/>
      <c r="K2642" s="26" t="s">
        <v>44</v>
      </c>
      <c r="L2642" s="16"/>
      <c r="M2642" s="21"/>
    </row>
    <row r="2643">
      <c r="A2643" s="28">
        <v>46232.0</v>
      </c>
      <c r="B2643" s="16" t="s">
        <v>10507</v>
      </c>
      <c r="C2643" s="20" t="s">
        <v>10508</v>
      </c>
      <c r="D2643" s="21"/>
      <c r="E2643" s="22" t="s">
        <v>10509</v>
      </c>
      <c r="H2643" s="23" t="s">
        <v>1266</v>
      </c>
      <c r="I2643" s="21"/>
      <c r="J2643" s="25"/>
      <c r="K2643" s="26" t="s">
        <v>44</v>
      </c>
      <c r="L2643" s="16"/>
      <c r="M2643" s="21"/>
    </row>
    <row r="2644">
      <c r="A2644" s="28">
        <v>46232.0</v>
      </c>
      <c r="B2644" s="16" t="s">
        <v>10510</v>
      </c>
      <c r="C2644" s="20" t="s">
        <v>10511</v>
      </c>
      <c r="D2644" s="21"/>
      <c r="E2644" s="22" t="s">
        <v>10512</v>
      </c>
      <c r="H2644" s="23" t="s">
        <v>127</v>
      </c>
      <c r="I2644" s="21"/>
      <c r="J2644" s="25"/>
      <c r="K2644" s="26" t="s">
        <v>44</v>
      </c>
      <c r="L2644" s="16"/>
      <c r="M2644" s="21"/>
    </row>
    <row r="2645">
      <c r="A2645" s="28">
        <v>46232.0</v>
      </c>
      <c r="B2645" s="16" t="s">
        <v>10513</v>
      </c>
      <c r="C2645" s="20" t="s">
        <v>10514</v>
      </c>
      <c r="D2645" s="21"/>
      <c r="E2645" s="22" t="s">
        <v>10515</v>
      </c>
      <c r="H2645" s="23" t="s">
        <v>299</v>
      </c>
      <c r="I2645" s="21"/>
      <c r="J2645" s="25"/>
      <c r="K2645" s="26" t="s">
        <v>44</v>
      </c>
      <c r="L2645" s="16"/>
      <c r="M2645" s="21"/>
    </row>
    <row r="2646">
      <c r="A2646" s="28">
        <v>46232.0</v>
      </c>
      <c r="B2646" s="16" t="s">
        <v>10516</v>
      </c>
      <c r="C2646" s="20" t="s">
        <v>10517</v>
      </c>
      <c r="D2646" s="21"/>
      <c r="E2646" s="22" t="s">
        <v>10518</v>
      </c>
      <c r="H2646" s="23" t="s">
        <v>42</v>
      </c>
      <c r="I2646" s="21"/>
      <c r="J2646" s="25"/>
      <c r="K2646" s="26" t="s">
        <v>44</v>
      </c>
      <c r="L2646" s="16"/>
      <c r="M2646" s="21"/>
    </row>
    <row r="2647">
      <c r="A2647" s="28">
        <v>46232.0</v>
      </c>
      <c r="B2647" s="16" t="s">
        <v>10519</v>
      </c>
      <c r="C2647" s="20" t="s">
        <v>10520</v>
      </c>
      <c r="D2647" s="21"/>
      <c r="E2647" s="22" t="s">
        <v>10521</v>
      </c>
      <c r="H2647" s="23" t="s">
        <v>10522</v>
      </c>
      <c r="I2647" s="21"/>
      <c r="J2647" s="25"/>
      <c r="K2647" s="26" t="s">
        <v>44</v>
      </c>
      <c r="L2647" s="16"/>
      <c r="M2647" s="21"/>
    </row>
    <row r="2648">
      <c r="A2648" s="28">
        <v>46232.0</v>
      </c>
      <c r="B2648" s="16" t="s">
        <v>10523</v>
      </c>
      <c r="C2648" s="20" t="s">
        <v>10524</v>
      </c>
      <c r="D2648" s="21"/>
      <c r="E2648" s="22" t="s">
        <v>10525</v>
      </c>
      <c r="H2648" s="23" t="s">
        <v>10526</v>
      </c>
      <c r="I2648" s="21"/>
      <c r="J2648" s="25"/>
      <c r="K2648" s="26" t="s">
        <v>44</v>
      </c>
      <c r="L2648" s="16"/>
      <c r="M2648" s="21"/>
    </row>
    <row r="2649">
      <c r="A2649" s="28">
        <v>46232.0</v>
      </c>
      <c r="B2649" s="16" t="s">
        <v>10527</v>
      </c>
      <c r="C2649" s="20" t="s">
        <v>10528</v>
      </c>
      <c r="D2649" s="21"/>
      <c r="E2649" s="22" t="s">
        <v>10529</v>
      </c>
      <c r="H2649" s="23" t="s">
        <v>10530</v>
      </c>
      <c r="I2649" s="21"/>
      <c r="J2649" s="25"/>
      <c r="K2649" s="26" t="s">
        <v>44</v>
      </c>
      <c r="L2649" s="16"/>
      <c r="M2649" s="21"/>
    </row>
    <row r="2650">
      <c r="A2650" s="28">
        <v>46232.0</v>
      </c>
      <c r="B2650" s="16" t="s">
        <v>10531</v>
      </c>
      <c r="C2650" s="20" t="s">
        <v>10532</v>
      </c>
      <c r="D2650" s="21"/>
      <c r="E2650" s="22" t="s">
        <v>10533</v>
      </c>
      <c r="H2650" s="23" t="s">
        <v>48</v>
      </c>
      <c r="I2650" s="21"/>
      <c r="J2650" s="25"/>
      <c r="K2650" s="26" t="s">
        <v>44</v>
      </c>
      <c r="L2650" s="16"/>
      <c r="M2650" s="21"/>
    </row>
    <row r="2651">
      <c r="A2651" s="28">
        <v>46232.0</v>
      </c>
      <c r="B2651" s="16" t="s">
        <v>10534</v>
      </c>
      <c r="C2651" s="20" t="s">
        <v>10535</v>
      </c>
      <c r="D2651" s="21"/>
      <c r="E2651" s="22" t="s">
        <v>10536</v>
      </c>
      <c r="H2651" s="23" t="s">
        <v>10537</v>
      </c>
      <c r="I2651" s="21"/>
      <c r="J2651" s="25"/>
      <c r="K2651" s="26" t="s">
        <v>44</v>
      </c>
      <c r="L2651" s="16"/>
      <c r="M2651" s="21"/>
    </row>
    <row r="2652">
      <c r="A2652" s="28">
        <v>46232.0</v>
      </c>
      <c r="B2652" s="16" t="s">
        <v>10538</v>
      </c>
      <c r="C2652" s="20" t="s">
        <v>10539</v>
      </c>
      <c r="D2652" s="21"/>
      <c r="E2652" s="22" t="s">
        <v>10540</v>
      </c>
      <c r="H2652" s="23" t="s">
        <v>57</v>
      </c>
      <c r="I2652" s="21"/>
      <c r="J2652" s="25"/>
      <c r="K2652" s="26" t="s">
        <v>44</v>
      </c>
      <c r="L2652" s="16"/>
      <c r="M2652" s="21"/>
    </row>
    <row r="2653">
      <c r="A2653" s="28">
        <v>46232.0</v>
      </c>
      <c r="B2653" s="16" t="s">
        <v>10541</v>
      </c>
      <c r="C2653" s="20" t="s">
        <v>10542</v>
      </c>
      <c r="D2653" s="21"/>
      <c r="E2653" s="22" t="s">
        <v>10543</v>
      </c>
      <c r="H2653" s="23" t="s">
        <v>10544</v>
      </c>
      <c r="I2653" s="21"/>
      <c r="J2653" s="25"/>
      <c r="K2653" s="26" t="s">
        <v>44</v>
      </c>
      <c r="L2653" s="16"/>
      <c r="M2653" s="21"/>
    </row>
    <row r="2654">
      <c r="A2654" s="28">
        <v>46232.0</v>
      </c>
      <c r="B2654" s="16" t="s">
        <v>10545</v>
      </c>
      <c r="C2654" s="20" t="s">
        <v>10546</v>
      </c>
      <c r="D2654" s="21"/>
      <c r="E2654" s="22" t="s">
        <v>10547</v>
      </c>
      <c r="H2654" s="23" t="s">
        <v>10548</v>
      </c>
      <c r="I2654" s="21"/>
      <c r="J2654" s="25"/>
      <c r="K2654" s="26" t="s">
        <v>44</v>
      </c>
      <c r="L2654" s="16"/>
      <c r="M2654" s="21"/>
    </row>
    <row r="2655">
      <c r="A2655" s="28">
        <v>46232.0</v>
      </c>
      <c r="B2655" s="16" t="s">
        <v>10549</v>
      </c>
      <c r="C2655" s="20" t="s">
        <v>10550</v>
      </c>
      <c r="D2655" s="21"/>
      <c r="E2655" s="22" t="s">
        <v>10551</v>
      </c>
      <c r="H2655" s="23" t="s">
        <v>48</v>
      </c>
      <c r="I2655" s="21"/>
      <c r="J2655" s="25"/>
      <c r="K2655" s="26" t="s">
        <v>44</v>
      </c>
      <c r="L2655" s="16"/>
      <c r="M2655" s="21"/>
    </row>
    <row r="2656">
      <c r="A2656" s="28">
        <v>46232.0</v>
      </c>
      <c r="B2656" s="16" t="s">
        <v>10552</v>
      </c>
      <c r="C2656" s="20" t="s">
        <v>10553</v>
      </c>
      <c r="D2656" s="21"/>
      <c r="E2656" s="22" t="s">
        <v>10554</v>
      </c>
      <c r="H2656" s="23" t="s">
        <v>904</v>
      </c>
      <c r="I2656" s="21"/>
      <c r="J2656" s="25"/>
      <c r="K2656" s="26" t="s">
        <v>44</v>
      </c>
      <c r="L2656" s="16"/>
      <c r="M2656" s="21"/>
    </row>
    <row r="2657">
      <c r="A2657" s="28">
        <v>46232.0</v>
      </c>
      <c r="B2657" s="16" t="s">
        <v>10555</v>
      </c>
      <c r="C2657" s="20" t="s">
        <v>10556</v>
      </c>
      <c r="D2657" s="21"/>
      <c r="E2657" s="22" t="s">
        <v>10557</v>
      </c>
      <c r="H2657" s="23" t="s">
        <v>1534</v>
      </c>
      <c r="I2657" s="21"/>
      <c r="J2657" s="25"/>
      <c r="K2657" s="26" t="s">
        <v>44</v>
      </c>
      <c r="L2657" s="16"/>
      <c r="M2657" s="21"/>
    </row>
    <row r="2658">
      <c r="A2658" s="28">
        <v>46232.0</v>
      </c>
      <c r="B2658" s="16" t="s">
        <v>10558</v>
      </c>
      <c r="C2658" s="20" t="s">
        <v>10559</v>
      </c>
      <c r="D2658" s="21"/>
      <c r="E2658" s="22" t="s">
        <v>10560</v>
      </c>
      <c r="H2658" s="23" t="s">
        <v>10561</v>
      </c>
      <c r="I2658" s="21"/>
      <c r="J2658" s="25"/>
      <c r="K2658" s="26" t="s">
        <v>44</v>
      </c>
      <c r="L2658" s="16"/>
      <c r="M2658" s="21"/>
    </row>
    <row r="2659">
      <c r="A2659" s="28">
        <v>46232.0</v>
      </c>
      <c r="B2659" s="16" t="s">
        <v>10562</v>
      </c>
      <c r="C2659" s="20" t="s">
        <v>10563</v>
      </c>
      <c r="D2659" s="21"/>
      <c r="E2659" s="22" t="s">
        <v>10564</v>
      </c>
      <c r="H2659" s="23" t="s">
        <v>412</v>
      </c>
      <c r="I2659" s="21"/>
      <c r="J2659" s="25"/>
      <c r="K2659" s="26" t="s">
        <v>44</v>
      </c>
      <c r="L2659" s="16"/>
      <c r="M2659" s="21"/>
    </row>
    <row r="2660">
      <c r="A2660" s="28">
        <v>46232.0</v>
      </c>
      <c r="B2660" s="16" t="s">
        <v>10565</v>
      </c>
      <c r="C2660" s="20" t="s">
        <v>10566</v>
      </c>
      <c r="D2660" s="21"/>
      <c r="E2660" s="22" t="s">
        <v>10567</v>
      </c>
      <c r="H2660" s="23" t="s">
        <v>48</v>
      </c>
      <c r="I2660" s="21"/>
      <c r="J2660" s="25"/>
      <c r="K2660" s="26" t="s">
        <v>44</v>
      </c>
      <c r="L2660" s="16"/>
      <c r="M2660" s="21"/>
    </row>
    <row r="2661">
      <c r="A2661" s="28">
        <v>46232.0</v>
      </c>
      <c r="B2661" s="16" t="s">
        <v>10568</v>
      </c>
      <c r="C2661" s="20" t="s">
        <v>10569</v>
      </c>
      <c r="D2661" s="21"/>
      <c r="E2661" s="22" t="s">
        <v>10570</v>
      </c>
      <c r="H2661" s="23" t="s">
        <v>10571</v>
      </c>
      <c r="I2661" s="21"/>
      <c r="J2661" s="25"/>
      <c r="K2661" s="26" t="s">
        <v>44</v>
      </c>
      <c r="L2661" s="16"/>
      <c r="M2661" s="21"/>
    </row>
    <row r="2662">
      <c r="A2662" s="28">
        <v>46232.0</v>
      </c>
      <c r="B2662" s="16" t="s">
        <v>10572</v>
      </c>
      <c r="C2662" s="20" t="s">
        <v>10573</v>
      </c>
      <c r="D2662" s="21"/>
      <c r="E2662" s="22" t="s">
        <v>10574</v>
      </c>
      <c r="H2662" s="23" t="s">
        <v>10575</v>
      </c>
      <c r="I2662" s="21"/>
      <c r="J2662" s="25"/>
      <c r="K2662" s="26" t="s">
        <v>44</v>
      </c>
      <c r="L2662" s="16"/>
      <c r="M2662" s="21"/>
    </row>
    <row r="2663">
      <c r="A2663" s="28">
        <v>46232.0</v>
      </c>
      <c r="B2663" s="16" t="s">
        <v>10576</v>
      </c>
      <c r="C2663" s="20" t="s">
        <v>10577</v>
      </c>
      <c r="D2663" s="21"/>
      <c r="E2663" s="22" t="s">
        <v>10578</v>
      </c>
      <c r="H2663" s="23" t="s">
        <v>94</v>
      </c>
      <c r="I2663" s="21"/>
      <c r="J2663" s="25"/>
      <c r="K2663" s="26" t="s">
        <v>44</v>
      </c>
      <c r="L2663" s="16"/>
      <c r="M2663" s="21"/>
    </row>
    <row r="2664">
      <c r="A2664" s="28">
        <v>46232.0</v>
      </c>
      <c r="B2664" s="16" t="s">
        <v>10579</v>
      </c>
      <c r="C2664" s="20" t="s">
        <v>10580</v>
      </c>
      <c r="D2664" s="21"/>
      <c r="E2664" s="22" t="s">
        <v>10581</v>
      </c>
      <c r="H2664" s="23" t="s">
        <v>118</v>
      </c>
      <c r="I2664" s="21"/>
      <c r="J2664" s="25"/>
      <c r="K2664" s="26" t="s">
        <v>44</v>
      </c>
      <c r="L2664" s="16"/>
      <c r="M2664" s="21"/>
    </row>
    <row r="2665">
      <c r="A2665" s="28">
        <v>46232.0</v>
      </c>
      <c r="B2665" s="16" t="s">
        <v>10582</v>
      </c>
      <c r="C2665" s="20" t="s">
        <v>10583</v>
      </c>
      <c r="D2665" s="21"/>
      <c r="E2665" s="22" t="s">
        <v>10584</v>
      </c>
      <c r="H2665" s="23" t="s">
        <v>536</v>
      </c>
      <c r="I2665" s="21"/>
      <c r="J2665" s="25"/>
      <c r="K2665" s="26" t="s">
        <v>44</v>
      </c>
      <c r="L2665" s="16"/>
      <c r="M2665" s="21"/>
    </row>
    <row r="2666">
      <c r="A2666" s="28">
        <v>46232.0</v>
      </c>
      <c r="B2666" s="16" t="s">
        <v>10585</v>
      </c>
      <c r="C2666" s="20" t="s">
        <v>10586</v>
      </c>
      <c r="D2666" s="21"/>
      <c r="E2666" s="22" t="s">
        <v>10587</v>
      </c>
      <c r="H2666" s="23" t="s">
        <v>10588</v>
      </c>
      <c r="I2666" s="21"/>
      <c r="J2666" s="25"/>
      <c r="K2666" s="26" t="s">
        <v>44</v>
      </c>
      <c r="L2666" s="16"/>
      <c r="M2666" s="21"/>
    </row>
    <row r="2667">
      <c r="A2667" s="28">
        <v>46232.0</v>
      </c>
      <c r="B2667" s="16" t="s">
        <v>10589</v>
      </c>
      <c r="C2667" s="20" t="s">
        <v>10590</v>
      </c>
      <c r="D2667" s="21"/>
      <c r="E2667" s="22" t="s">
        <v>10591</v>
      </c>
      <c r="H2667" s="23" t="s">
        <v>10592</v>
      </c>
      <c r="I2667" s="21"/>
      <c r="J2667" s="25"/>
      <c r="K2667" s="26" t="s">
        <v>44</v>
      </c>
      <c r="L2667" s="16"/>
      <c r="M2667" s="21"/>
    </row>
    <row r="2668">
      <c r="A2668" s="28">
        <v>46232.0</v>
      </c>
      <c r="B2668" s="16" t="s">
        <v>10593</v>
      </c>
      <c r="C2668" s="20" t="s">
        <v>10594</v>
      </c>
      <c r="D2668" s="21"/>
      <c r="E2668" s="22" t="s">
        <v>10595</v>
      </c>
      <c r="H2668" s="23" t="s">
        <v>10596</v>
      </c>
      <c r="I2668" s="21"/>
      <c r="J2668" s="25"/>
      <c r="K2668" s="26" t="s">
        <v>44</v>
      </c>
      <c r="L2668" s="16"/>
      <c r="M2668" s="21"/>
    </row>
    <row r="2669">
      <c r="A2669" s="28">
        <v>46232.0</v>
      </c>
      <c r="B2669" s="16" t="s">
        <v>10597</v>
      </c>
      <c r="C2669" s="20" t="s">
        <v>10598</v>
      </c>
      <c r="D2669" s="21"/>
      <c r="E2669" s="22" t="s">
        <v>10599</v>
      </c>
      <c r="H2669" s="23" t="s">
        <v>48</v>
      </c>
      <c r="I2669" s="21"/>
      <c r="J2669" s="25"/>
      <c r="K2669" s="26" t="s">
        <v>44</v>
      </c>
      <c r="L2669" s="16"/>
      <c r="M2669" s="21"/>
    </row>
    <row r="2670">
      <c r="A2670" s="28">
        <v>46232.0</v>
      </c>
      <c r="B2670" s="16" t="s">
        <v>10600</v>
      </c>
      <c r="C2670" s="20" t="s">
        <v>10601</v>
      </c>
      <c r="D2670" s="21"/>
      <c r="E2670" s="22" t="s">
        <v>10602</v>
      </c>
      <c r="H2670" s="23" t="s">
        <v>2445</v>
      </c>
      <c r="I2670" s="21"/>
      <c r="J2670" s="25"/>
      <c r="K2670" s="26" t="s">
        <v>44</v>
      </c>
      <c r="L2670" s="16"/>
      <c r="M2670" s="21"/>
    </row>
    <row r="2671">
      <c r="A2671" s="28">
        <v>46232.0</v>
      </c>
      <c r="B2671" s="16" t="s">
        <v>10603</v>
      </c>
      <c r="C2671" s="20" t="s">
        <v>10604</v>
      </c>
      <c r="D2671" s="21"/>
      <c r="E2671" s="22" t="s">
        <v>10605</v>
      </c>
      <c r="H2671" s="23" t="s">
        <v>1335</v>
      </c>
      <c r="I2671" s="21"/>
      <c r="J2671" s="25"/>
      <c r="K2671" s="26" t="s">
        <v>44</v>
      </c>
      <c r="L2671" s="16"/>
      <c r="M2671" s="21"/>
    </row>
    <row r="2672">
      <c r="A2672" s="28">
        <v>46232.0</v>
      </c>
      <c r="B2672" s="16" t="s">
        <v>10606</v>
      </c>
      <c r="C2672" s="20" t="s">
        <v>10607</v>
      </c>
      <c r="D2672" s="21"/>
      <c r="E2672" s="22" t="s">
        <v>10608</v>
      </c>
      <c r="H2672" s="23" t="s">
        <v>10609</v>
      </c>
      <c r="I2672" s="21"/>
      <c r="J2672" s="25"/>
      <c r="K2672" s="26" t="s">
        <v>44</v>
      </c>
      <c r="L2672" s="16"/>
      <c r="M2672" s="21"/>
    </row>
    <row r="2673">
      <c r="A2673" s="28">
        <v>46232.0</v>
      </c>
      <c r="B2673" s="16" t="s">
        <v>10610</v>
      </c>
      <c r="C2673" s="20" t="s">
        <v>10611</v>
      </c>
      <c r="D2673" s="21"/>
      <c r="E2673" s="22" t="s">
        <v>10612</v>
      </c>
      <c r="H2673" s="23" t="s">
        <v>10613</v>
      </c>
      <c r="I2673" s="21"/>
      <c r="J2673" s="25"/>
      <c r="K2673" s="26" t="s">
        <v>44</v>
      </c>
      <c r="L2673" s="16"/>
      <c r="M2673" s="21"/>
    </row>
    <row r="2674">
      <c r="A2674" s="28">
        <v>46232.0</v>
      </c>
      <c r="B2674" s="16" t="s">
        <v>10614</v>
      </c>
      <c r="C2674" s="20" t="s">
        <v>3487</v>
      </c>
      <c r="D2674" s="21"/>
      <c r="E2674" s="22" t="s">
        <v>10615</v>
      </c>
      <c r="H2674" s="23" t="s">
        <v>69</v>
      </c>
      <c r="I2674" s="21"/>
      <c r="J2674" s="25"/>
      <c r="K2674" s="26" t="s">
        <v>44</v>
      </c>
      <c r="L2674" s="16"/>
      <c r="M2674" s="21"/>
    </row>
    <row r="2675">
      <c r="A2675" s="28">
        <v>46232.0</v>
      </c>
      <c r="B2675" s="16" t="s">
        <v>10616</v>
      </c>
      <c r="C2675" s="20" t="s">
        <v>10617</v>
      </c>
      <c r="D2675" s="21"/>
      <c r="E2675" s="22" t="s">
        <v>10618</v>
      </c>
      <c r="H2675" s="23" t="s">
        <v>69</v>
      </c>
      <c r="I2675" s="21"/>
      <c r="J2675" s="25"/>
      <c r="K2675" s="26" t="s">
        <v>44</v>
      </c>
      <c r="L2675" s="16"/>
      <c r="M2675" s="21"/>
    </row>
    <row r="2676">
      <c r="A2676" s="28">
        <v>46232.0</v>
      </c>
      <c r="B2676" s="16" t="s">
        <v>10619</v>
      </c>
      <c r="C2676" s="20" t="s">
        <v>10620</v>
      </c>
      <c r="D2676" s="21"/>
      <c r="E2676" s="22" t="s">
        <v>10621</v>
      </c>
      <c r="H2676" s="23" t="s">
        <v>10622</v>
      </c>
      <c r="I2676" s="21"/>
      <c r="J2676" s="25"/>
      <c r="K2676" s="26" t="s">
        <v>44</v>
      </c>
      <c r="L2676" s="16"/>
      <c r="M2676" s="21"/>
    </row>
    <row r="2677">
      <c r="A2677" s="28">
        <v>46232.0</v>
      </c>
      <c r="B2677" s="16" t="s">
        <v>10623</v>
      </c>
      <c r="C2677" s="20" t="s">
        <v>10624</v>
      </c>
      <c r="D2677" s="21"/>
      <c r="E2677" s="22" t="s">
        <v>10625</v>
      </c>
      <c r="H2677" s="23" t="s">
        <v>2606</v>
      </c>
      <c r="I2677" s="21"/>
      <c r="J2677" s="25"/>
      <c r="K2677" s="26" t="s">
        <v>44</v>
      </c>
      <c r="L2677" s="16"/>
      <c r="M2677" s="21"/>
    </row>
    <row r="2678">
      <c r="A2678" s="28">
        <v>46232.0</v>
      </c>
      <c r="B2678" s="16" t="s">
        <v>10626</v>
      </c>
      <c r="C2678" s="20" t="s">
        <v>10627</v>
      </c>
      <c r="D2678" s="21"/>
      <c r="E2678" s="22" t="s">
        <v>10628</v>
      </c>
      <c r="H2678" s="23" t="s">
        <v>5067</v>
      </c>
      <c r="I2678" s="21"/>
      <c r="J2678" s="25"/>
      <c r="K2678" s="26" t="s">
        <v>44</v>
      </c>
      <c r="L2678" s="16"/>
      <c r="M2678" s="21"/>
    </row>
    <row r="2679">
      <c r="A2679" s="28">
        <v>46232.0</v>
      </c>
      <c r="B2679" s="16" t="s">
        <v>10629</v>
      </c>
      <c r="C2679" s="20" t="s">
        <v>10630</v>
      </c>
      <c r="D2679" s="21"/>
      <c r="E2679" s="22" t="s">
        <v>10631</v>
      </c>
      <c r="H2679" s="23" t="s">
        <v>622</v>
      </c>
      <c r="I2679" s="21"/>
      <c r="J2679" s="25"/>
      <c r="K2679" s="26" t="s">
        <v>44</v>
      </c>
      <c r="L2679" s="16"/>
      <c r="M2679" s="21"/>
    </row>
    <row r="2680">
      <c r="A2680" s="28">
        <v>46232.0</v>
      </c>
      <c r="B2680" s="16" t="s">
        <v>10632</v>
      </c>
      <c r="C2680" s="20" t="s">
        <v>10633</v>
      </c>
      <c r="D2680" s="21"/>
      <c r="E2680" s="22" t="s">
        <v>10634</v>
      </c>
      <c r="H2680" s="23" t="s">
        <v>800</v>
      </c>
      <c r="I2680" s="21"/>
      <c r="J2680" s="25"/>
      <c r="K2680" s="26" t="s">
        <v>44</v>
      </c>
      <c r="L2680" s="16"/>
      <c r="M2680" s="21"/>
    </row>
    <row r="2681">
      <c r="A2681" s="28">
        <v>46232.0</v>
      </c>
      <c r="B2681" s="16" t="s">
        <v>10635</v>
      </c>
      <c r="C2681" s="20" t="s">
        <v>10636</v>
      </c>
      <c r="D2681" s="21"/>
      <c r="E2681" s="22" t="s">
        <v>10637</v>
      </c>
      <c r="H2681" s="23" t="s">
        <v>69</v>
      </c>
      <c r="I2681" s="21"/>
      <c r="J2681" s="25"/>
      <c r="K2681" s="26" t="s">
        <v>44</v>
      </c>
      <c r="L2681" s="16"/>
      <c r="M2681" s="21"/>
    </row>
    <row r="2682">
      <c r="A2682" s="28">
        <v>46232.0</v>
      </c>
      <c r="B2682" s="16" t="s">
        <v>10638</v>
      </c>
      <c r="C2682" s="20" t="s">
        <v>10639</v>
      </c>
      <c r="D2682" s="21"/>
      <c r="E2682" s="22" t="s">
        <v>10640</v>
      </c>
      <c r="H2682" s="23" t="s">
        <v>10641</v>
      </c>
      <c r="I2682" s="21"/>
      <c r="J2682" s="25"/>
      <c r="K2682" s="26" t="s">
        <v>44</v>
      </c>
      <c r="L2682" s="16"/>
      <c r="M2682" s="21"/>
    </row>
    <row r="2683">
      <c r="A2683" s="28">
        <v>46232.0</v>
      </c>
      <c r="B2683" s="16" t="s">
        <v>10642</v>
      </c>
      <c r="C2683" s="20" t="s">
        <v>10643</v>
      </c>
      <c r="D2683" s="21"/>
      <c r="E2683" s="22" t="s">
        <v>10644</v>
      </c>
      <c r="H2683" s="23" t="s">
        <v>10645</v>
      </c>
      <c r="I2683" s="21"/>
      <c r="J2683" s="25"/>
      <c r="K2683" s="26" t="s">
        <v>44</v>
      </c>
      <c r="L2683" s="16"/>
      <c r="M2683" s="21"/>
    </row>
    <row r="2684">
      <c r="A2684" s="28">
        <v>46232.0</v>
      </c>
      <c r="B2684" s="16" t="s">
        <v>10646</v>
      </c>
      <c r="C2684" s="20" t="s">
        <v>10647</v>
      </c>
      <c r="D2684" s="21"/>
      <c r="E2684" s="22" t="s">
        <v>10648</v>
      </c>
      <c r="H2684" s="23" t="s">
        <v>42</v>
      </c>
      <c r="I2684" s="21"/>
      <c r="J2684" s="25"/>
      <c r="K2684" s="26" t="s">
        <v>44</v>
      </c>
      <c r="L2684" s="16"/>
      <c r="M2684" s="21"/>
    </row>
    <row r="2685">
      <c r="A2685" s="28">
        <v>46232.0</v>
      </c>
      <c r="B2685" s="16" t="s">
        <v>10649</v>
      </c>
      <c r="C2685" s="20" t="s">
        <v>10650</v>
      </c>
      <c r="D2685" s="21"/>
      <c r="E2685" s="22" t="s">
        <v>10651</v>
      </c>
      <c r="H2685" s="23" t="s">
        <v>148</v>
      </c>
      <c r="I2685" s="21"/>
      <c r="J2685" s="25"/>
      <c r="K2685" s="26" t="s">
        <v>44</v>
      </c>
      <c r="L2685" s="16"/>
      <c r="M2685" s="21"/>
    </row>
    <row r="2686">
      <c r="A2686" s="28">
        <v>46232.0</v>
      </c>
      <c r="B2686" s="16" t="s">
        <v>10652</v>
      </c>
      <c r="C2686" s="20" t="s">
        <v>10653</v>
      </c>
      <c r="D2686" s="21"/>
      <c r="E2686" s="22" t="s">
        <v>10654</v>
      </c>
      <c r="H2686" s="23" t="s">
        <v>10655</v>
      </c>
      <c r="I2686" s="21"/>
      <c r="J2686" s="25"/>
      <c r="K2686" s="26" t="s">
        <v>44</v>
      </c>
      <c r="L2686" s="16"/>
      <c r="M2686" s="21"/>
    </row>
    <row r="2687">
      <c r="A2687" s="28">
        <v>46232.0</v>
      </c>
      <c r="B2687" s="16" t="s">
        <v>10656</v>
      </c>
      <c r="C2687" s="20" t="s">
        <v>10657</v>
      </c>
      <c r="D2687" s="21"/>
      <c r="E2687" s="22" t="s">
        <v>10658</v>
      </c>
      <c r="H2687" s="23" t="s">
        <v>10659</v>
      </c>
      <c r="I2687" s="21"/>
      <c r="J2687" s="25"/>
      <c r="K2687" s="26" t="s">
        <v>44</v>
      </c>
      <c r="L2687" s="16"/>
      <c r="M2687" s="21"/>
    </row>
    <row r="2688">
      <c r="A2688" s="28">
        <v>46232.0</v>
      </c>
      <c r="B2688" s="16" t="s">
        <v>10660</v>
      </c>
      <c r="C2688" s="20" t="s">
        <v>10661</v>
      </c>
      <c r="D2688" s="21"/>
      <c r="E2688" s="22" t="s">
        <v>10662</v>
      </c>
      <c r="H2688" s="23" t="s">
        <v>10663</v>
      </c>
      <c r="I2688" s="21"/>
      <c r="J2688" s="25"/>
      <c r="K2688" s="26" t="s">
        <v>44</v>
      </c>
      <c r="L2688" s="16"/>
      <c r="M2688" s="21"/>
    </row>
    <row r="2689">
      <c r="A2689" s="28">
        <v>46232.0</v>
      </c>
      <c r="B2689" s="16" t="s">
        <v>10664</v>
      </c>
      <c r="C2689" s="20" t="s">
        <v>10665</v>
      </c>
      <c r="D2689" s="21"/>
      <c r="E2689" s="22" t="s">
        <v>10666</v>
      </c>
      <c r="H2689" s="23" t="s">
        <v>47</v>
      </c>
      <c r="I2689" s="21"/>
      <c r="J2689" s="25"/>
      <c r="K2689" s="26" t="s">
        <v>44</v>
      </c>
      <c r="L2689" s="16"/>
      <c r="M2689" s="21"/>
    </row>
    <row r="2690">
      <c r="A2690" s="28">
        <v>46232.0</v>
      </c>
      <c r="B2690" s="16" t="s">
        <v>10667</v>
      </c>
      <c r="C2690" s="20" t="s">
        <v>10668</v>
      </c>
      <c r="D2690" s="21"/>
      <c r="E2690" s="22" t="s">
        <v>10669</v>
      </c>
      <c r="H2690" s="23" t="s">
        <v>10670</v>
      </c>
      <c r="I2690" s="21"/>
      <c r="J2690" s="25"/>
      <c r="K2690" s="26" t="s">
        <v>44</v>
      </c>
      <c r="L2690" s="16"/>
      <c r="M2690" s="21"/>
    </row>
    <row r="2691">
      <c r="A2691" s="28">
        <v>46232.0</v>
      </c>
      <c r="B2691" s="16" t="s">
        <v>10671</v>
      </c>
      <c r="C2691" s="20" t="s">
        <v>10672</v>
      </c>
      <c r="D2691" s="21"/>
      <c r="E2691" s="22" t="s">
        <v>10673</v>
      </c>
      <c r="H2691" s="23" t="s">
        <v>960</v>
      </c>
      <c r="I2691" s="21"/>
      <c r="J2691" s="25"/>
      <c r="K2691" s="26" t="s">
        <v>44</v>
      </c>
      <c r="L2691" s="16"/>
      <c r="M2691" s="21"/>
    </row>
    <row r="2692">
      <c r="A2692" s="28">
        <v>46232.0</v>
      </c>
      <c r="B2692" s="16" t="s">
        <v>10674</v>
      </c>
      <c r="C2692" s="20" t="s">
        <v>10675</v>
      </c>
      <c r="D2692" s="21"/>
      <c r="E2692" s="22" t="s">
        <v>10676</v>
      </c>
      <c r="H2692" s="23" t="s">
        <v>10677</v>
      </c>
      <c r="I2692" s="21"/>
      <c r="J2692" s="25"/>
      <c r="K2692" s="26" t="s">
        <v>44</v>
      </c>
      <c r="L2692" s="16"/>
      <c r="M2692" s="21"/>
    </row>
    <row r="2693">
      <c r="A2693" s="28">
        <v>46232.0</v>
      </c>
      <c r="B2693" s="16" t="s">
        <v>10678</v>
      </c>
      <c r="C2693" s="20" t="s">
        <v>10679</v>
      </c>
      <c r="D2693" s="21"/>
      <c r="E2693" s="22" t="s">
        <v>10680</v>
      </c>
      <c r="H2693" s="23" t="s">
        <v>7694</v>
      </c>
      <c r="I2693" s="21"/>
      <c r="J2693" s="25"/>
      <c r="K2693" s="26" t="s">
        <v>44</v>
      </c>
      <c r="L2693" s="16"/>
      <c r="M2693" s="21"/>
    </row>
    <row r="2694">
      <c r="A2694" s="28">
        <v>46232.0</v>
      </c>
      <c r="B2694" s="16" t="s">
        <v>10681</v>
      </c>
      <c r="C2694" s="20" t="s">
        <v>10682</v>
      </c>
      <c r="D2694" s="21"/>
      <c r="E2694" s="22" t="s">
        <v>10683</v>
      </c>
      <c r="H2694" s="23" t="s">
        <v>9461</v>
      </c>
      <c r="I2694" s="21"/>
      <c r="J2694" s="25"/>
      <c r="K2694" s="26" t="s">
        <v>44</v>
      </c>
      <c r="L2694" s="16"/>
      <c r="M2694" s="21"/>
    </row>
    <row r="2695">
      <c r="A2695" s="28">
        <v>46232.0</v>
      </c>
      <c r="B2695" s="16" t="s">
        <v>10684</v>
      </c>
      <c r="C2695" s="20" t="s">
        <v>10685</v>
      </c>
      <c r="D2695" s="21"/>
      <c r="E2695" s="22" t="s">
        <v>10686</v>
      </c>
      <c r="H2695" s="23" t="s">
        <v>6176</v>
      </c>
      <c r="I2695" s="21"/>
      <c r="J2695" s="25"/>
      <c r="K2695" s="26" t="s">
        <v>44</v>
      </c>
      <c r="L2695" s="16"/>
      <c r="M2695" s="21"/>
    </row>
    <row r="2696">
      <c r="A2696" s="28">
        <v>46232.0</v>
      </c>
      <c r="B2696" s="16" t="s">
        <v>10687</v>
      </c>
      <c r="C2696" s="20" t="s">
        <v>10688</v>
      </c>
      <c r="D2696" s="21"/>
      <c r="E2696" s="22" t="s">
        <v>10689</v>
      </c>
      <c r="H2696" s="23" t="s">
        <v>1093</v>
      </c>
      <c r="I2696" s="21"/>
      <c r="J2696" s="25"/>
      <c r="K2696" s="26" t="s">
        <v>44</v>
      </c>
      <c r="L2696" s="16"/>
      <c r="M2696" s="21"/>
    </row>
    <row r="2697">
      <c r="A2697" s="28">
        <v>46232.0</v>
      </c>
      <c r="B2697" s="16" t="s">
        <v>10690</v>
      </c>
      <c r="C2697" s="20" t="s">
        <v>10691</v>
      </c>
      <c r="D2697" s="21"/>
      <c r="E2697" s="22" t="s">
        <v>10692</v>
      </c>
      <c r="H2697" s="23" t="s">
        <v>10693</v>
      </c>
      <c r="I2697" s="21"/>
      <c r="J2697" s="25"/>
      <c r="K2697" s="26" t="s">
        <v>44</v>
      </c>
      <c r="L2697" s="16"/>
      <c r="M2697" s="21"/>
    </row>
    <row r="2698">
      <c r="A2698" s="28">
        <v>46232.0</v>
      </c>
      <c r="B2698" s="16" t="s">
        <v>10694</v>
      </c>
      <c r="C2698" s="20" t="s">
        <v>10695</v>
      </c>
      <c r="D2698" s="21"/>
      <c r="E2698" s="22" t="s">
        <v>10696</v>
      </c>
      <c r="H2698" s="23" t="s">
        <v>1266</v>
      </c>
      <c r="I2698" s="21"/>
      <c r="J2698" s="25"/>
      <c r="K2698" s="26" t="s">
        <v>44</v>
      </c>
      <c r="L2698" s="16"/>
      <c r="M2698" s="21"/>
    </row>
    <row r="2699">
      <c r="A2699" s="28">
        <v>46232.0</v>
      </c>
      <c r="B2699" s="16" t="s">
        <v>10697</v>
      </c>
      <c r="C2699" s="20" t="s">
        <v>10698</v>
      </c>
      <c r="D2699" s="21"/>
      <c r="E2699" s="22" t="s">
        <v>10699</v>
      </c>
      <c r="H2699" s="23" t="s">
        <v>751</v>
      </c>
      <c r="I2699" s="21"/>
      <c r="J2699" s="25"/>
      <c r="K2699" s="26" t="s">
        <v>44</v>
      </c>
      <c r="L2699" s="16"/>
      <c r="M2699" s="21"/>
    </row>
    <row r="2700">
      <c r="A2700" s="28">
        <v>46232.0</v>
      </c>
      <c r="B2700" s="16" t="s">
        <v>10700</v>
      </c>
      <c r="C2700" s="20" t="s">
        <v>10701</v>
      </c>
      <c r="D2700" s="21"/>
      <c r="E2700" s="22" t="s">
        <v>10702</v>
      </c>
      <c r="H2700" s="23" t="s">
        <v>5502</v>
      </c>
      <c r="I2700" s="21"/>
      <c r="J2700" s="25"/>
      <c r="K2700" s="26" t="s">
        <v>44</v>
      </c>
      <c r="L2700" s="16"/>
      <c r="M2700" s="21"/>
    </row>
    <row r="2701">
      <c r="A2701" s="28">
        <v>46232.0</v>
      </c>
      <c r="B2701" s="16" t="s">
        <v>10703</v>
      </c>
      <c r="C2701" s="20" t="s">
        <v>10704</v>
      </c>
      <c r="D2701" s="21"/>
      <c r="E2701" s="22" t="s">
        <v>10705</v>
      </c>
      <c r="H2701" s="23" t="s">
        <v>148</v>
      </c>
      <c r="I2701" s="21"/>
      <c r="J2701" s="25"/>
      <c r="K2701" s="26" t="s">
        <v>44</v>
      </c>
      <c r="L2701" s="16"/>
      <c r="M2701" s="21"/>
    </row>
    <row r="2702">
      <c r="A2702" s="28">
        <v>46232.0</v>
      </c>
      <c r="B2702" s="16" t="s">
        <v>10706</v>
      </c>
      <c r="C2702" s="20" t="s">
        <v>10707</v>
      </c>
      <c r="D2702" s="21"/>
      <c r="E2702" s="22" t="s">
        <v>10708</v>
      </c>
      <c r="H2702" s="23" t="s">
        <v>487</v>
      </c>
      <c r="I2702" s="21"/>
      <c r="J2702" s="25"/>
      <c r="K2702" s="26" t="s">
        <v>44</v>
      </c>
      <c r="L2702" s="16"/>
      <c r="M2702" s="21"/>
    </row>
    <row r="2703">
      <c r="A2703" s="28">
        <v>46232.0</v>
      </c>
      <c r="B2703" s="16" t="s">
        <v>10709</v>
      </c>
      <c r="C2703" s="20" t="s">
        <v>10710</v>
      </c>
      <c r="D2703" s="21"/>
      <c r="E2703" s="22" t="s">
        <v>10711</v>
      </c>
      <c r="H2703" s="23" t="s">
        <v>10712</v>
      </c>
      <c r="I2703" s="21"/>
      <c r="J2703" s="25"/>
      <c r="K2703" s="26" t="s">
        <v>44</v>
      </c>
      <c r="L2703" s="16"/>
      <c r="M2703" s="21"/>
    </row>
    <row r="2704">
      <c r="A2704" s="28">
        <v>46232.0</v>
      </c>
      <c r="B2704" s="16" t="s">
        <v>10713</v>
      </c>
      <c r="C2704" s="20" t="s">
        <v>10714</v>
      </c>
      <c r="D2704" s="21"/>
      <c r="E2704" s="22" t="s">
        <v>10715</v>
      </c>
      <c r="H2704" s="23" t="s">
        <v>1963</v>
      </c>
      <c r="I2704" s="21"/>
      <c r="J2704" s="25"/>
      <c r="K2704" s="26" t="s">
        <v>44</v>
      </c>
      <c r="L2704" s="16"/>
      <c r="M2704" s="21"/>
    </row>
    <row r="2705">
      <c r="A2705" s="28">
        <v>46232.0</v>
      </c>
      <c r="B2705" s="16" t="s">
        <v>10716</v>
      </c>
      <c r="C2705" s="20" t="s">
        <v>10717</v>
      </c>
      <c r="D2705" s="21"/>
      <c r="E2705" s="22" t="s">
        <v>10718</v>
      </c>
      <c r="H2705" s="23" t="s">
        <v>279</v>
      </c>
      <c r="I2705" s="21"/>
      <c r="J2705" s="25"/>
      <c r="K2705" s="26" t="s">
        <v>44</v>
      </c>
      <c r="L2705" s="16"/>
      <c r="M2705" s="21"/>
    </row>
    <row r="2706">
      <c r="A2706" s="28">
        <v>46232.0</v>
      </c>
      <c r="B2706" s="16" t="s">
        <v>10719</v>
      </c>
      <c r="C2706" s="20" t="s">
        <v>10720</v>
      </c>
      <c r="D2706" s="21"/>
      <c r="E2706" s="22" t="s">
        <v>10721</v>
      </c>
      <c r="H2706" s="23" t="s">
        <v>69</v>
      </c>
      <c r="I2706" s="21"/>
      <c r="J2706" s="25"/>
      <c r="K2706" s="26" t="s">
        <v>44</v>
      </c>
      <c r="L2706" s="16"/>
      <c r="M2706" s="21"/>
    </row>
    <row r="2707">
      <c r="A2707" s="28">
        <v>46232.0</v>
      </c>
      <c r="B2707" s="16" t="s">
        <v>10722</v>
      </c>
      <c r="C2707" s="20" t="s">
        <v>10723</v>
      </c>
      <c r="D2707" s="21"/>
      <c r="E2707" s="22" t="s">
        <v>10724</v>
      </c>
      <c r="H2707" s="23" t="s">
        <v>10725</v>
      </c>
      <c r="I2707" s="21"/>
      <c r="J2707" s="25"/>
      <c r="K2707" s="26" t="s">
        <v>44</v>
      </c>
      <c r="L2707" s="16"/>
      <c r="M2707" s="21"/>
    </row>
    <row r="2708">
      <c r="A2708" s="28">
        <v>46232.0</v>
      </c>
      <c r="B2708" s="16" t="s">
        <v>10726</v>
      </c>
      <c r="C2708" s="46" t="s">
        <v>10727</v>
      </c>
      <c r="D2708" s="21"/>
      <c r="E2708" s="22" t="s">
        <v>10728</v>
      </c>
      <c r="H2708" s="23" t="s">
        <v>69</v>
      </c>
      <c r="I2708" s="21"/>
      <c r="J2708" s="25"/>
      <c r="K2708" s="26" t="s">
        <v>44</v>
      </c>
      <c r="L2708" s="16"/>
      <c r="M2708" s="21"/>
    </row>
    <row r="2709">
      <c r="A2709" s="28">
        <v>46232.0</v>
      </c>
      <c r="B2709" s="16" t="s">
        <v>10729</v>
      </c>
      <c r="C2709" s="20" t="s">
        <v>10730</v>
      </c>
      <c r="D2709" s="21"/>
      <c r="E2709" s="22" t="s">
        <v>10731</v>
      </c>
      <c r="H2709" s="23" t="s">
        <v>10732</v>
      </c>
      <c r="I2709" s="21"/>
      <c r="J2709" s="25"/>
      <c r="K2709" s="26" t="s">
        <v>44</v>
      </c>
      <c r="L2709" s="16"/>
      <c r="M2709" s="21"/>
    </row>
    <row r="2710">
      <c r="A2710" s="28">
        <v>46232.0</v>
      </c>
      <c r="B2710" s="16" t="s">
        <v>10733</v>
      </c>
      <c r="C2710" s="20" t="s">
        <v>10734</v>
      </c>
      <c r="D2710" s="21"/>
      <c r="E2710" s="22" t="s">
        <v>10735</v>
      </c>
      <c r="H2710" s="23" t="s">
        <v>6090</v>
      </c>
      <c r="I2710" s="21"/>
      <c r="J2710" s="25"/>
      <c r="K2710" s="26" t="s">
        <v>44</v>
      </c>
      <c r="L2710" s="16"/>
      <c r="M2710" s="21"/>
    </row>
    <row r="2711">
      <c r="A2711" s="28">
        <v>46232.0</v>
      </c>
      <c r="B2711" s="16" t="s">
        <v>10736</v>
      </c>
      <c r="C2711" s="20" t="s">
        <v>10737</v>
      </c>
      <c r="D2711" s="21"/>
      <c r="E2711" s="22" t="s">
        <v>10738</v>
      </c>
      <c r="H2711" s="23" t="s">
        <v>48</v>
      </c>
      <c r="I2711" s="21"/>
      <c r="J2711" s="25"/>
      <c r="K2711" s="26" t="s">
        <v>44</v>
      </c>
      <c r="L2711" s="16"/>
      <c r="M2711" s="21"/>
    </row>
    <row r="2712">
      <c r="A2712" s="28">
        <v>46232.0</v>
      </c>
      <c r="B2712" s="16" t="s">
        <v>10739</v>
      </c>
      <c r="C2712" s="20" t="s">
        <v>10740</v>
      </c>
      <c r="D2712" s="21"/>
      <c r="E2712" s="22" t="s">
        <v>10741</v>
      </c>
      <c r="H2712" s="23" t="s">
        <v>10742</v>
      </c>
      <c r="I2712" s="21"/>
      <c r="J2712" s="25"/>
      <c r="K2712" s="26" t="s">
        <v>44</v>
      </c>
      <c r="L2712" s="16"/>
      <c r="M2712" s="21"/>
    </row>
    <row r="2713">
      <c r="A2713" s="28">
        <v>46232.0</v>
      </c>
      <c r="B2713" s="16" t="s">
        <v>10743</v>
      </c>
      <c r="C2713" s="20" t="s">
        <v>10744</v>
      </c>
      <c r="D2713" s="21"/>
      <c r="E2713" s="22" t="s">
        <v>10745</v>
      </c>
      <c r="H2713" s="23" t="s">
        <v>69</v>
      </c>
      <c r="I2713" s="21"/>
      <c r="J2713" s="25"/>
      <c r="K2713" s="26" t="s">
        <v>44</v>
      </c>
      <c r="L2713" s="16"/>
      <c r="M2713" s="21"/>
    </row>
    <row r="2714">
      <c r="A2714" s="28">
        <v>46232.0</v>
      </c>
      <c r="B2714" s="16" t="s">
        <v>10746</v>
      </c>
      <c r="C2714" s="20" t="s">
        <v>10747</v>
      </c>
      <c r="D2714" s="21"/>
      <c r="E2714" s="22" t="s">
        <v>10748</v>
      </c>
      <c r="H2714" s="23" t="s">
        <v>1776</v>
      </c>
      <c r="I2714" s="21"/>
      <c r="J2714" s="25"/>
      <c r="K2714" s="26" t="s">
        <v>44</v>
      </c>
      <c r="L2714" s="16"/>
      <c r="M2714" s="21"/>
    </row>
    <row r="2715">
      <c r="A2715" s="28">
        <v>46232.0</v>
      </c>
      <c r="B2715" s="16" t="s">
        <v>10749</v>
      </c>
      <c r="C2715" s="20" t="s">
        <v>10750</v>
      </c>
      <c r="D2715" s="21"/>
      <c r="E2715" s="22" t="s">
        <v>10751</v>
      </c>
      <c r="H2715" s="23" t="s">
        <v>10752</v>
      </c>
      <c r="I2715" s="21"/>
      <c r="J2715" s="25"/>
      <c r="K2715" s="26" t="s">
        <v>44</v>
      </c>
      <c r="L2715" s="16"/>
      <c r="M2715" s="21"/>
    </row>
    <row r="2716">
      <c r="A2716" s="28">
        <v>46232.0</v>
      </c>
      <c r="B2716" s="16" t="s">
        <v>10753</v>
      </c>
      <c r="C2716" s="20" t="s">
        <v>10754</v>
      </c>
      <c r="D2716" s="21"/>
      <c r="E2716" s="22" t="s">
        <v>10755</v>
      </c>
      <c r="H2716" s="23" t="s">
        <v>1411</v>
      </c>
      <c r="I2716" s="21"/>
      <c r="J2716" s="25"/>
      <c r="K2716" s="26" t="s">
        <v>44</v>
      </c>
      <c r="L2716" s="16"/>
      <c r="M2716" s="21"/>
    </row>
    <row r="2717">
      <c r="A2717" s="28">
        <v>46232.0</v>
      </c>
      <c r="B2717" s="16" t="s">
        <v>10756</v>
      </c>
      <c r="C2717" s="20" t="s">
        <v>10757</v>
      </c>
      <c r="D2717" s="21"/>
      <c r="E2717" s="22" t="s">
        <v>10758</v>
      </c>
      <c r="H2717" s="23" t="s">
        <v>10759</v>
      </c>
      <c r="I2717" s="21"/>
      <c r="J2717" s="25"/>
      <c r="K2717" s="26" t="s">
        <v>44</v>
      </c>
      <c r="L2717" s="16"/>
      <c r="M2717" s="21"/>
    </row>
    <row r="2718">
      <c r="A2718" s="28">
        <v>46232.0</v>
      </c>
      <c r="B2718" s="16" t="s">
        <v>10760</v>
      </c>
      <c r="C2718" s="20" t="s">
        <v>10761</v>
      </c>
      <c r="D2718" s="21"/>
      <c r="E2718" s="22" t="s">
        <v>10762</v>
      </c>
      <c r="H2718" s="23" t="s">
        <v>751</v>
      </c>
      <c r="I2718" s="21"/>
      <c r="J2718" s="25"/>
      <c r="K2718" s="26" t="s">
        <v>44</v>
      </c>
      <c r="L2718" s="16"/>
      <c r="M2718" s="21"/>
    </row>
    <row r="2719">
      <c r="A2719" s="28">
        <v>46232.0</v>
      </c>
      <c r="B2719" s="16" t="s">
        <v>10763</v>
      </c>
      <c r="C2719" s="20" t="s">
        <v>10764</v>
      </c>
      <c r="D2719" s="21"/>
      <c r="E2719" s="22" t="s">
        <v>10765</v>
      </c>
      <c r="H2719" s="23" t="s">
        <v>69</v>
      </c>
      <c r="I2719" s="21"/>
      <c r="J2719" s="25"/>
      <c r="K2719" s="26" t="s">
        <v>44</v>
      </c>
      <c r="L2719" s="16"/>
      <c r="M2719" s="21"/>
    </row>
    <row r="2720">
      <c r="A2720" s="28">
        <v>46232.0</v>
      </c>
      <c r="B2720" s="16" t="s">
        <v>10766</v>
      </c>
      <c r="C2720" s="20" t="s">
        <v>10767</v>
      </c>
      <c r="D2720" s="21"/>
      <c r="E2720" s="22" t="s">
        <v>10768</v>
      </c>
      <c r="H2720" s="23" t="s">
        <v>10769</v>
      </c>
      <c r="I2720" s="21"/>
      <c r="J2720" s="25"/>
      <c r="K2720" s="26" t="s">
        <v>44</v>
      </c>
      <c r="L2720" s="16"/>
      <c r="M2720" s="21"/>
    </row>
    <row r="2721">
      <c r="A2721" s="28">
        <v>46232.0</v>
      </c>
      <c r="B2721" s="16" t="s">
        <v>10770</v>
      </c>
      <c r="C2721" s="20" t="s">
        <v>10771</v>
      </c>
      <c r="D2721" s="21"/>
      <c r="E2721" s="22" t="s">
        <v>10772</v>
      </c>
      <c r="H2721" s="23" t="s">
        <v>6342</v>
      </c>
      <c r="I2721" s="21"/>
      <c r="J2721" s="25"/>
      <c r="K2721" s="26" t="s">
        <v>44</v>
      </c>
      <c r="L2721" s="16"/>
      <c r="M2721" s="21"/>
    </row>
    <row r="2722">
      <c r="A2722" s="28">
        <v>46232.0</v>
      </c>
      <c r="B2722" s="16" t="s">
        <v>10773</v>
      </c>
      <c r="C2722" s="20" t="s">
        <v>10774</v>
      </c>
      <c r="D2722" s="21"/>
      <c r="E2722" s="22" t="s">
        <v>10775</v>
      </c>
      <c r="H2722" s="23" t="s">
        <v>2549</v>
      </c>
      <c r="I2722" s="21"/>
      <c r="J2722" s="25"/>
      <c r="K2722" s="26" t="s">
        <v>44</v>
      </c>
      <c r="L2722" s="16"/>
      <c r="M2722" s="21"/>
    </row>
    <row r="2723">
      <c r="A2723" s="28">
        <v>46232.0</v>
      </c>
      <c r="B2723" s="16" t="s">
        <v>10776</v>
      </c>
      <c r="C2723" s="20" t="s">
        <v>10777</v>
      </c>
      <c r="D2723" s="21"/>
      <c r="E2723" s="22" t="s">
        <v>10778</v>
      </c>
      <c r="H2723" s="23" t="s">
        <v>69</v>
      </c>
      <c r="I2723" s="21"/>
      <c r="J2723" s="25"/>
      <c r="K2723" s="26" t="s">
        <v>44</v>
      </c>
      <c r="L2723" s="16"/>
      <c r="M2723" s="21"/>
    </row>
    <row r="2724">
      <c r="A2724" s="28">
        <v>46232.0</v>
      </c>
      <c r="B2724" s="16" t="s">
        <v>10779</v>
      </c>
      <c r="C2724" s="20" t="s">
        <v>10780</v>
      </c>
      <c r="D2724" s="21"/>
      <c r="E2724" s="22" t="s">
        <v>10781</v>
      </c>
      <c r="H2724" s="23" t="s">
        <v>1433</v>
      </c>
      <c r="I2724" s="21"/>
      <c r="J2724" s="25"/>
      <c r="K2724" s="26" t="s">
        <v>44</v>
      </c>
      <c r="L2724" s="16"/>
      <c r="M2724" s="21"/>
    </row>
    <row r="2725">
      <c r="A2725" s="28">
        <v>46232.0</v>
      </c>
      <c r="B2725" s="16" t="s">
        <v>10782</v>
      </c>
      <c r="C2725" s="20" t="s">
        <v>10783</v>
      </c>
      <c r="D2725" s="21"/>
      <c r="E2725" s="22" t="s">
        <v>10784</v>
      </c>
      <c r="H2725" s="23" t="s">
        <v>2549</v>
      </c>
      <c r="I2725" s="21"/>
      <c r="J2725" s="25"/>
      <c r="K2725" s="26" t="s">
        <v>44</v>
      </c>
      <c r="L2725" s="16"/>
      <c r="M2725" s="21"/>
    </row>
    <row r="2726">
      <c r="A2726" s="28">
        <v>46232.0</v>
      </c>
      <c r="B2726" s="16" t="s">
        <v>10785</v>
      </c>
      <c r="C2726" s="20" t="s">
        <v>10786</v>
      </c>
      <c r="D2726" s="21"/>
      <c r="E2726" s="22" t="s">
        <v>10787</v>
      </c>
      <c r="H2726" s="23" t="s">
        <v>69</v>
      </c>
      <c r="I2726" s="21"/>
      <c r="J2726" s="25"/>
      <c r="K2726" s="26" t="s">
        <v>44</v>
      </c>
      <c r="L2726" s="16"/>
      <c r="M2726" s="21"/>
    </row>
    <row r="2727">
      <c r="A2727" s="28">
        <v>46232.0</v>
      </c>
      <c r="B2727" s="16" t="s">
        <v>10788</v>
      </c>
      <c r="C2727" s="20" t="s">
        <v>10789</v>
      </c>
      <c r="D2727" s="21"/>
      <c r="E2727" s="22" t="s">
        <v>10790</v>
      </c>
      <c r="H2727" s="23" t="s">
        <v>2797</v>
      </c>
      <c r="I2727" s="21"/>
      <c r="J2727" s="25"/>
      <c r="K2727" s="26" t="s">
        <v>44</v>
      </c>
      <c r="L2727" s="16"/>
      <c r="M2727" s="21"/>
    </row>
    <row r="2728">
      <c r="A2728" s="28">
        <v>46232.0</v>
      </c>
      <c r="B2728" s="16" t="s">
        <v>10791</v>
      </c>
      <c r="C2728" s="20" t="s">
        <v>10792</v>
      </c>
      <c r="D2728" s="21"/>
      <c r="E2728" s="22" t="s">
        <v>10793</v>
      </c>
      <c r="H2728" s="23" t="s">
        <v>5665</v>
      </c>
      <c r="I2728" s="21"/>
      <c r="J2728" s="25"/>
      <c r="K2728" s="26" t="s">
        <v>44</v>
      </c>
      <c r="L2728" s="16"/>
      <c r="M2728" s="21"/>
    </row>
    <row r="2729">
      <c r="A2729" s="28">
        <v>46232.0</v>
      </c>
      <c r="B2729" s="16" t="s">
        <v>10794</v>
      </c>
      <c r="C2729" s="20" t="s">
        <v>10795</v>
      </c>
      <c r="D2729" s="21"/>
      <c r="E2729" s="22" t="s">
        <v>10796</v>
      </c>
      <c r="H2729" s="23" t="s">
        <v>57</v>
      </c>
      <c r="I2729" s="21"/>
      <c r="J2729" s="25"/>
      <c r="K2729" s="26" t="s">
        <v>44</v>
      </c>
      <c r="L2729" s="16"/>
      <c r="M2729" s="21"/>
    </row>
    <row r="2730">
      <c r="A2730" s="28">
        <v>46232.0</v>
      </c>
      <c r="B2730" s="16" t="s">
        <v>10797</v>
      </c>
      <c r="C2730" s="20" t="s">
        <v>10798</v>
      </c>
      <c r="D2730" s="21"/>
      <c r="E2730" s="22" t="s">
        <v>10799</v>
      </c>
      <c r="H2730" s="23" t="s">
        <v>10800</v>
      </c>
      <c r="I2730" s="21"/>
      <c r="J2730" s="25"/>
      <c r="K2730" s="26" t="s">
        <v>44</v>
      </c>
      <c r="L2730" s="16"/>
      <c r="M2730" s="21"/>
    </row>
    <row r="2731">
      <c r="A2731" s="28">
        <v>46232.0</v>
      </c>
      <c r="B2731" s="16" t="s">
        <v>10801</v>
      </c>
      <c r="C2731" s="20" t="s">
        <v>10802</v>
      </c>
      <c r="D2731" s="21"/>
      <c r="E2731" s="22" t="s">
        <v>10803</v>
      </c>
      <c r="H2731" s="23" t="s">
        <v>5502</v>
      </c>
      <c r="I2731" s="21"/>
      <c r="J2731" s="25"/>
      <c r="K2731" s="26" t="s">
        <v>44</v>
      </c>
      <c r="L2731" s="16"/>
      <c r="M2731" s="21"/>
    </row>
    <row r="2732">
      <c r="A2732" s="28">
        <v>46232.0</v>
      </c>
      <c r="B2732" s="16" t="s">
        <v>10804</v>
      </c>
      <c r="C2732" s="20" t="s">
        <v>10805</v>
      </c>
      <c r="D2732" s="21"/>
      <c r="E2732" s="22" t="s">
        <v>10806</v>
      </c>
      <c r="H2732" s="23" t="s">
        <v>10807</v>
      </c>
      <c r="I2732" s="21"/>
      <c r="J2732" s="25"/>
      <c r="K2732" s="26" t="s">
        <v>44</v>
      </c>
      <c r="L2732" s="16"/>
      <c r="M2732" s="21"/>
    </row>
    <row r="2733">
      <c r="A2733" s="28">
        <v>46232.0</v>
      </c>
      <c r="B2733" s="16" t="s">
        <v>10808</v>
      </c>
      <c r="C2733" s="20" t="s">
        <v>10809</v>
      </c>
      <c r="D2733" s="21"/>
      <c r="E2733" s="22" t="s">
        <v>10810</v>
      </c>
      <c r="H2733" s="23" t="s">
        <v>10811</v>
      </c>
      <c r="I2733" s="21"/>
      <c r="J2733" s="25"/>
      <c r="K2733" s="26" t="s">
        <v>44</v>
      </c>
      <c r="L2733" s="16"/>
      <c r="M2733" s="21"/>
    </row>
    <row r="2734">
      <c r="A2734" s="28">
        <v>46232.0</v>
      </c>
      <c r="B2734" s="16" t="s">
        <v>10812</v>
      </c>
      <c r="C2734" s="20" t="s">
        <v>10813</v>
      </c>
      <c r="D2734" s="21"/>
      <c r="E2734" s="22" t="s">
        <v>10814</v>
      </c>
      <c r="H2734" s="23" t="s">
        <v>5527</v>
      </c>
      <c r="I2734" s="21"/>
      <c r="J2734" s="25"/>
      <c r="K2734" s="26" t="s">
        <v>44</v>
      </c>
      <c r="L2734" s="16"/>
      <c r="M2734" s="21"/>
    </row>
    <row r="2735">
      <c r="A2735" s="28">
        <v>46232.0</v>
      </c>
      <c r="B2735" s="16" t="s">
        <v>10815</v>
      </c>
      <c r="C2735" s="20" t="s">
        <v>10816</v>
      </c>
      <c r="D2735" s="21"/>
      <c r="E2735" s="22" t="s">
        <v>10817</v>
      </c>
      <c r="H2735" s="23" t="s">
        <v>3396</v>
      </c>
      <c r="I2735" s="21"/>
      <c r="J2735" s="25"/>
      <c r="K2735" s="26" t="s">
        <v>44</v>
      </c>
      <c r="L2735" s="16"/>
      <c r="M2735" s="21"/>
    </row>
    <row r="2736">
      <c r="A2736" s="28">
        <v>46232.0</v>
      </c>
      <c r="B2736" s="16" t="s">
        <v>10818</v>
      </c>
      <c r="C2736" s="20" t="s">
        <v>10819</v>
      </c>
      <c r="D2736" s="21"/>
      <c r="E2736" s="22" t="s">
        <v>10820</v>
      </c>
      <c r="H2736" s="23" t="s">
        <v>10821</v>
      </c>
      <c r="I2736" s="21"/>
      <c r="J2736" s="25"/>
      <c r="K2736" s="26" t="s">
        <v>44</v>
      </c>
      <c r="L2736" s="16"/>
      <c r="M2736" s="21"/>
    </row>
    <row r="2737">
      <c r="A2737" s="28">
        <v>46232.0</v>
      </c>
      <c r="B2737" s="16" t="s">
        <v>10822</v>
      </c>
      <c r="C2737" s="20" t="s">
        <v>10823</v>
      </c>
      <c r="D2737" s="21"/>
      <c r="E2737" s="22" t="s">
        <v>10824</v>
      </c>
      <c r="H2737" s="23" t="s">
        <v>10825</v>
      </c>
      <c r="I2737" s="21"/>
      <c r="J2737" s="25"/>
      <c r="K2737" s="26" t="s">
        <v>44</v>
      </c>
      <c r="L2737" s="16"/>
      <c r="M2737" s="21"/>
    </row>
    <row r="2738">
      <c r="A2738" s="28">
        <v>46232.0</v>
      </c>
      <c r="B2738" s="16" t="s">
        <v>10826</v>
      </c>
      <c r="C2738" s="20" t="s">
        <v>10827</v>
      </c>
      <c r="D2738" s="21"/>
      <c r="E2738" s="22" t="s">
        <v>10828</v>
      </c>
      <c r="H2738" s="23" t="s">
        <v>279</v>
      </c>
      <c r="I2738" s="21"/>
      <c r="J2738" s="25"/>
      <c r="K2738" s="26" t="s">
        <v>44</v>
      </c>
      <c r="L2738" s="16"/>
      <c r="M2738" s="21"/>
    </row>
    <row r="2739">
      <c r="A2739" s="28">
        <v>46232.0</v>
      </c>
      <c r="B2739" s="16" t="s">
        <v>10829</v>
      </c>
      <c r="C2739" s="20" t="s">
        <v>10830</v>
      </c>
      <c r="D2739" s="21"/>
      <c r="E2739" s="22" t="s">
        <v>10831</v>
      </c>
      <c r="H2739" s="23" t="s">
        <v>10832</v>
      </c>
      <c r="I2739" s="21"/>
      <c r="J2739" s="25"/>
      <c r="K2739" s="26" t="s">
        <v>44</v>
      </c>
      <c r="L2739" s="16"/>
      <c r="M2739" s="21"/>
    </row>
    <row r="2740">
      <c r="A2740" s="28">
        <v>46232.0</v>
      </c>
      <c r="B2740" s="16" t="s">
        <v>10833</v>
      </c>
      <c r="C2740" s="20" t="s">
        <v>10834</v>
      </c>
      <c r="D2740" s="21"/>
      <c r="E2740" s="22" t="s">
        <v>10835</v>
      </c>
      <c r="H2740" s="23" t="s">
        <v>10836</v>
      </c>
      <c r="I2740" s="21"/>
      <c r="J2740" s="25"/>
      <c r="K2740" s="26" t="s">
        <v>44</v>
      </c>
      <c r="L2740" s="16"/>
      <c r="M2740" s="21"/>
    </row>
    <row r="2741">
      <c r="A2741" s="28">
        <v>46232.0</v>
      </c>
      <c r="B2741" s="16" t="s">
        <v>10837</v>
      </c>
      <c r="C2741" s="20" t="s">
        <v>10838</v>
      </c>
      <c r="D2741" s="21"/>
      <c r="E2741" s="22" t="s">
        <v>10839</v>
      </c>
      <c r="H2741" s="23" t="s">
        <v>936</v>
      </c>
      <c r="I2741" s="21"/>
      <c r="J2741" s="25"/>
      <c r="K2741" s="26" t="s">
        <v>44</v>
      </c>
      <c r="L2741" s="16"/>
      <c r="M2741" s="21"/>
    </row>
    <row r="2742">
      <c r="A2742" s="28">
        <v>46232.0</v>
      </c>
      <c r="B2742" s="16" t="s">
        <v>10840</v>
      </c>
      <c r="C2742" s="20" t="s">
        <v>10841</v>
      </c>
      <c r="D2742" s="21"/>
      <c r="E2742" s="22" t="s">
        <v>10842</v>
      </c>
      <c r="H2742" s="23" t="s">
        <v>10843</v>
      </c>
      <c r="I2742" s="21"/>
      <c r="J2742" s="25"/>
      <c r="K2742" s="26" t="s">
        <v>44</v>
      </c>
      <c r="L2742" s="16"/>
      <c r="M2742" s="21"/>
    </row>
    <row r="2743">
      <c r="A2743" s="28">
        <v>46232.0</v>
      </c>
      <c r="B2743" s="16" t="s">
        <v>10844</v>
      </c>
      <c r="C2743" s="46" t="s">
        <v>10845</v>
      </c>
      <c r="D2743" s="21"/>
      <c r="E2743" s="22" t="s">
        <v>10846</v>
      </c>
      <c r="H2743" s="23" t="s">
        <v>10847</v>
      </c>
      <c r="I2743" s="21"/>
      <c r="J2743" s="25"/>
      <c r="K2743" s="26" t="s">
        <v>44</v>
      </c>
      <c r="L2743" s="16"/>
      <c r="M2743" s="21"/>
    </row>
    <row r="2744">
      <c r="A2744" s="28">
        <v>46232.0</v>
      </c>
      <c r="B2744" s="16" t="s">
        <v>10848</v>
      </c>
      <c r="C2744" s="20" t="s">
        <v>10849</v>
      </c>
      <c r="D2744" s="21"/>
      <c r="E2744" s="22" t="s">
        <v>10850</v>
      </c>
      <c r="H2744" s="23" t="s">
        <v>10851</v>
      </c>
      <c r="I2744" s="21"/>
      <c r="J2744" s="25"/>
      <c r="K2744" s="26" t="s">
        <v>44</v>
      </c>
      <c r="L2744" s="16"/>
      <c r="M2744" s="21"/>
    </row>
    <row r="2745">
      <c r="A2745" s="28">
        <v>46232.0</v>
      </c>
      <c r="B2745" s="16" t="s">
        <v>10852</v>
      </c>
      <c r="C2745" s="20" t="s">
        <v>10853</v>
      </c>
      <c r="D2745" s="21"/>
      <c r="E2745" s="22" t="s">
        <v>10854</v>
      </c>
      <c r="H2745" s="23" t="s">
        <v>10855</v>
      </c>
      <c r="I2745" s="21"/>
      <c r="J2745" s="25"/>
      <c r="K2745" s="26" t="s">
        <v>44</v>
      </c>
      <c r="L2745" s="16"/>
      <c r="M2745" s="21"/>
    </row>
    <row r="2746">
      <c r="A2746" s="28">
        <v>46232.0</v>
      </c>
      <c r="B2746" s="16" t="s">
        <v>10856</v>
      </c>
      <c r="C2746" s="20" t="s">
        <v>10857</v>
      </c>
      <c r="D2746" s="21"/>
      <c r="E2746" s="22" t="s">
        <v>10858</v>
      </c>
      <c r="H2746" s="23" t="s">
        <v>1619</v>
      </c>
      <c r="I2746" s="21"/>
      <c r="J2746" s="25"/>
      <c r="K2746" s="26" t="s">
        <v>44</v>
      </c>
      <c r="L2746" s="16"/>
      <c r="M2746" s="21"/>
    </row>
    <row r="2747">
      <c r="A2747" s="28">
        <v>46232.0</v>
      </c>
      <c r="B2747" s="16" t="s">
        <v>10859</v>
      </c>
      <c r="C2747" s="20" t="s">
        <v>10860</v>
      </c>
      <c r="D2747" s="21"/>
      <c r="E2747" s="22" t="s">
        <v>10861</v>
      </c>
      <c r="H2747" s="23" t="s">
        <v>9183</v>
      </c>
      <c r="I2747" s="21"/>
      <c r="J2747" s="25"/>
      <c r="K2747" s="26" t="s">
        <v>44</v>
      </c>
      <c r="L2747" s="16"/>
      <c r="M2747" s="21"/>
    </row>
    <row r="2748">
      <c r="A2748" s="28">
        <v>46232.0</v>
      </c>
      <c r="B2748" s="16" t="s">
        <v>10862</v>
      </c>
      <c r="C2748" s="20" t="s">
        <v>10863</v>
      </c>
      <c r="D2748" s="21"/>
      <c r="E2748" s="22" t="s">
        <v>10864</v>
      </c>
      <c r="H2748" s="23" t="s">
        <v>69</v>
      </c>
      <c r="I2748" s="21"/>
      <c r="J2748" s="25"/>
      <c r="K2748" s="26" t="s">
        <v>44</v>
      </c>
      <c r="L2748" s="16"/>
      <c r="M2748" s="21"/>
    </row>
    <row r="2749">
      <c r="A2749" s="28">
        <v>46232.0</v>
      </c>
      <c r="B2749" s="16" t="s">
        <v>10865</v>
      </c>
      <c r="C2749" s="20" t="s">
        <v>10866</v>
      </c>
      <c r="D2749" s="21"/>
      <c r="E2749" s="22" t="s">
        <v>10867</v>
      </c>
      <c r="H2749" s="23" t="s">
        <v>57</v>
      </c>
      <c r="I2749" s="21"/>
      <c r="J2749" s="25"/>
      <c r="K2749" s="26" t="s">
        <v>44</v>
      </c>
      <c r="L2749" s="16"/>
      <c r="M2749" s="21"/>
    </row>
    <row r="2750">
      <c r="A2750" s="28">
        <v>46232.0</v>
      </c>
      <c r="B2750" s="16" t="s">
        <v>10868</v>
      </c>
      <c r="C2750" s="20" t="s">
        <v>10869</v>
      </c>
      <c r="D2750" s="21"/>
      <c r="E2750" s="22" t="s">
        <v>10870</v>
      </c>
      <c r="H2750" s="23" t="s">
        <v>10871</v>
      </c>
      <c r="I2750" s="21"/>
      <c r="J2750" s="25"/>
      <c r="K2750" s="26" t="s">
        <v>44</v>
      </c>
      <c r="L2750" s="16"/>
      <c r="M2750" s="21"/>
    </row>
    <row r="2751">
      <c r="A2751" s="28">
        <v>46232.0</v>
      </c>
      <c r="B2751" s="16" t="s">
        <v>10872</v>
      </c>
      <c r="C2751" s="20" t="s">
        <v>10873</v>
      </c>
      <c r="D2751" s="21"/>
      <c r="E2751" s="22" t="s">
        <v>10874</v>
      </c>
      <c r="H2751" s="23" t="s">
        <v>10875</v>
      </c>
      <c r="I2751" s="21"/>
      <c r="J2751" s="25"/>
      <c r="K2751" s="26" t="s">
        <v>44</v>
      </c>
      <c r="L2751" s="16"/>
      <c r="M2751" s="21"/>
    </row>
    <row r="2752">
      <c r="A2752" s="28">
        <v>46232.0</v>
      </c>
      <c r="B2752" s="16" t="s">
        <v>10876</v>
      </c>
      <c r="C2752" s="20" t="s">
        <v>10877</v>
      </c>
      <c r="D2752" s="21"/>
      <c r="E2752" s="22" t="s">
        <v>10878</v>
      </c>
      <c r="H2752" s="23" t="s">
        <v>404</v>
      </c>
      <c r="I2752" s="21"/>
      <c r="J2752" s="25"/>
      <c r="K2752" s="26" t="s">
        <v>44</v>
      </c>
      <c r="L2752" s="16"/>
      <c r="M2752" s="21"/>
    </row>
    <row r="2753">
      <c r="A2753" s="28">
        <v>46232.0</v>
      </c>
      <c r="B2753" s="16" t="s">
        <v>10879</v>
      </c>
      <c r="C2753" s="20" t="s">
        <v>10880</v>
      </c>
      <c r="D2753" s="21"/>
      <c r="E2753" s="22" t="s">
        <v>10881</v>
      </c>
      <c r="H2753" s="23" t="s">
        <v>10882</v>
      </c>
      <c r="I2753" s="21"/>
      <c r="J2753" s="25"/>
      <c r="K2753" s="26" t="s">
        <v>44</v>
      </c>
      <c r="L2753" s="16"/>
      <c r="M2753" s="21"/>
    </row>
    <row r="2754">
      <c r="A2754" s="28">
        <v>46232.0</v>
      </c>
      <c r="B2754" s="16" t="s">
        <v>10883</v>
      </c>
      <c r="C2754" s="20" t="s">
        <v>10884</v>
      </c>
      <c r="D2754" s="21"/>
      <c r="E2754" s="22" t="s">
        <v>10885</v>
      </c>
      <c r="H2754" s="23" t="s">
        <v>1060</v>
      </c>
      <c r="I2754" s="21"/>
      <c r="J2754" s="25"/>
      <c r="K2754" s="26" t="s">
        <v>44</v>
      </c>
      <c r="L2754" s="16"/>
      <c r="M2754" s="21"/>
    </row>
    <row r="2755">
      <c r="A2755" s="28">
        <v>46232.0</v>
      </c>
      <c r="B2755" s="16" t="s">
        <v>10886</v>
      </c>
      <c r="C2755" s="20" t="s">
        <v>10887</v>
      </c>
      <c r="D2755" s="21"/>
      <c r="E2755" s="22" t="s">
        <v>10888</v>
      </c>
      <c r="H2755" s="23" t="s">
        <v>10889</v>
      </c>
      <c r="I2755" s="21"/>
      <c r="J2755" s="25"/>
      <c r="K2755" s="26" t="s">
        <v>44</v>
      </c>
      <c r="L2755" s="16"/>
      <c r="M2755" s="21"/>
    </row>
    <row r="2756">
      <c r="A2756" s="28">
        <v>46232.0</v>
      </c>
      <c r="B2756" s="16" t="s">
        <v>10890</v>
      </c>
      <c r="C2756" s="20" t="s">
        <v>10891</v>
      </c>
      <c r="D2756" s="21"/>
      <c r="E2756" s="22" t="s">
        <v>10892</v>
      </c>
      <c r="H2756" s="23" t="s">
        <v>10893</v>
      </c>
      <c r="I2756" s="21"/>
      <c r="J2756" s="25"/>
      <c r="K2756" s="26" t="s">
        <v>44</v>
      </c>
      <c r="L2756" s="16"/>
      <c r="M2756" s="21"/>
    </row>
    <row r="2757">
      <c r="A2757" s="28">
        <v>46232.0</v>
      </c>
      <c r="B2757" s="16" t="s">
        <v>10894</v>
      </c>
      <c r="C2757" s="20" t="s">
        <v>10895</v>
      </c>
      <c r="D2757" s="21"/>
      <c r="E2757" s="22" t="s">
        <v>10896</v>
      </c>
      <c r="H2757" s="23" t="s">
        <v>10897</v>
      </c>
      <c r="I2757" s="21"/>
      <c r="J2757" s="25"/>
      <c r="K2757" s="26" t="s">
        <v>44</v>
      </c>
      <c r="L2757" s="16"/>
      <c r="M2757" s="21"/>
    </row>
    <row r="2758">
      <c r="A2758" s="28">
        <v>46232.0</v>
      </c>
      <c r="B2758" s="16" t="s">
        <v>10898</v>
      </c>
      <c r="C2758" s="20" t="s">
        <v>10899</v>
      </c>
      <c r="D2758" s="21"/>
      <c r="E2758" s="22" t="s">
        <v>10900</v>
      </c>
      <c r="H2758" s="23" t="s">
        <v>10901</v>
      </c>
      <c r="I2758" s="21"/>
      <c r="J2758" s="25"/>
      <c r="K2758" s="26" t="s">
        <v>44</v>
      </c>
      <c r="L2758" s="16"/>
      <c r="M2758" s="21"/>
    </row>
    <row r="2759">
      <c r="A2759" s="28">
        <v>46232.0</v>
      </c>
      <c r="B2759" s="16" t="s">
        <v>10902</v>
      </c>
      <c r="C2759" s="20" t="s">
        <v>10903</v>
      </c>
      <c r="D2759" s="21"/>
      <c r="E2759" s="22" t="s">
        <v>10904</v>
      </c>
      <c r="H2759" s="23" t="s">
        <v>479</v>
      </c>
      <c r="I2759" s="21"/>
      <c r="J2759" s="25"/>
      <c r="K2759" s="26" t="s">
        <v>44</v>
      </c>
      <c r="L2759" s="16"/>
      <c r="M2759" s="21"/>
    </row>
    <row r="2760">
      <c r="A2760" s="28">
        <v>46232.0</v>
      </c>
      <c r="B2760" s="16" t="s">
        <v>10905</v>
      </c>
      <c r="C2760" s="20" t="s">
        <v>10906</v>
      </c>
      <c r="D2760" s="21"/>
      <c r="E2760" s="22" t="s">
        <v>10907</v>
      </c>
      <c r="H2760" s="23" t="s">
        <v>10908</v>
      </c>
      <c r="I2760" s="21"/>
      <c r="J2760" s="25"/>
      <c r="K2760" s="26" t="s">
        <v>44</v>
      </c>
      <c r="L2760" s="16"/>
      <c r="M2760" s="21"/>
    </row>
    <row r="2761">
      <c r="A2761" s="28">
        <v>46232.0</v>
      </c>
      <c r="B2761" s="16" t="s">
        <v>10909</v>
      </c>
      <c r="C2761" s="20" t="s">
        <v>10910</v>
      </c>
      <c r="D2761" s="21"/>
      <c r="E2761" s="22" t="s">
        <v>10911</v>
      </c>
      <c r="H2761" s="23" t="s">
        <v>10912</v>
      </c>
      <c r="I2761" s="21"/>
      <c r="J2761" s="25"/>
      <c r="K2761" s="26" t="s">
        <v>44</v>
      </c>
      <c r="L2761" s="16"/>
      <c r="M2761" s="21"/>
    </row>
    <row r="2762">
      <c r="A2762" s="28">
        <v>46232.0</v>
      </c>
      <c r="B2762" s="16" t="s">
        <v>10913</v>
      </c>
      <c r="C2762" s="20" t="s">
        <v>10914</v>
      </c>
      <c r="D2762" s="21"/>
      <c r="E2762" s="22" t="s">
        <v>10915</v>
      </c>
      <c r="H2762" s="23" t="s">
        <v>1331</v>
      </c>
      <c r="I2762" s="21"/>
      <c r="J2762" s="25"/>
      <c r="K2762" s="26" t="s">
        <v>44</v>
      </c>
      <c r="L2762" s="16"/>
      <c r="M2762" s="21"/>
    </row>
    <row r="2763">
      <c r="A2763" s="28">
        <v>46232.0</v>
      </c>
      <c r="B2763" s="16" t="s">
        <v>10916</v>
      </c>
      <c r="C2763" s="20" t="s">
        <v>10917</v>
      </c>
      <c r="D2763" s="21"/>
      <c r="E2763" s="22" t="s">
        <v>10918</v>
      </c>
      <c r="H2763" s="23" t="s">
        <v>299</v>
      </c>
      <c r="I2763" s="21"/>
      <c r="J2763" s="25"/>
      <c r="K2763" s="26" t="s">
        <v>44</v>
      </c>
      <c r="L2763" s="16"/>
      <c r="M2763" s="21"/>
    </row>
    <row r="2764">
      <c r="A2764" s="28">
        <v>46232.0</v>
      </c>
      <c r="B2764" s="16" t="s">
        <v>10919</v>
      </c>
      <c r="C2764" s="20" t="s">
        <v>10920</v>
      </c>
      <c r="D2764" s="21"/>
      <c r="E2764" s="22" t="s">
        <v>10921</v>
      </c>
      <c r="H2764" s="23" t="s">
        <v>10922</v>
      </c>
      <c r="I2764" s="21"/>
      <c r="J2764" s="25"/>
      <c r="K2764" s="26" t="s">
        <v>44</v>
      </c>
      <c r="L2764" s="16"/>
      <c r="M2764" s="21"/>
    </row>
    <row r="2765">
      <c r="A2765" s="28">
        <v>46232.0</v>
      </c>
      <c r="B2765" s="16" t="s">
        <v>10923</v>
      </c>
      <c r="C2765" s="20" t="s">
        <v>10924</v>
      </c>
      <c r="D2765" s="21"/>
      <c r="E2765" s="22" t="s">
        <v>10925</v>
      </c>
      <c r="H2765" s="23" t="s">
        <v>10926</v>
      </c>
      <c r="I2765" s="21"/>
      <c r="J2765" s="25"/>
      <c r="K2765" s="26" t="s">
        <v>44</v>
      </c>
      <c r="L2765" s="16"/>
      <c r="M2765" s="21"/>
    </row>
    <row r="2766">
      <c r="A2766" s="28">
        <v>46232.0</v>
      </c>
      <c r="B2766" s="16" t="s">
        <v>10927</v>
      </c>
      <c r="C2766" s="20" t="s">
        <v>10928</v>
      </c>
      <c r="D2766" s="21"/>
      <c r="E2766" s="22" t="s">
        <v>10929</v>
      </c>
      <c r="H2766" s="23" t="s">
        <v>10930</v>
      </c>
      <c r="I2766" s="21"/>
      <c r="J2766" s="25"/>
      <c r="K2766" s="26" t="s">
        <v>44</v>
      </c>
      <c r="L2766" s="16"/>
      <c r="M2766" s="21"/>
    </row>
    <row r="2767">
      <c r="A2767" s="28">
        <v>46232.0</v>
      </c>
      <c r="B2767" s="16" t="s">
        <v>10931</v>
      </c>
      <c r="C2767" s="20" t="s">
        <v>10932</v>
      </c>
      <c r="D2767" s="21"/>
      <c r="E2767" s="22" t="s">
        <v>10933</v>
      </c>
      <c r="H2767" s="23" t="s">
        <v>800</v>
      </c>
      <c r="I2767" s="21"/>
      <c r="J2767" s="25"/>
      <c r="K2767" s="26" t="s">
        <v>44</v>
      </c>
      <c r="L2767" s="16"/>
      <c r="M2767" s="21"/>
    </row>
    <row r="2768">
      <c r="A2768" s="28">
        <v>46232.0</v>
      </c>
      <c r="B2768" s="16" t="s">
        <v>10934</v>
      </c>
      <c r="C2768" s="20" t="s">
        <v>10935</v>
      </c>
      <c r="D2768" s="21"/>
      <c r="E2768" s="22" t="s">
        <v>10936</v>
      </c>
      <c r="H2768" s="23" t="s">
        <v>10937</v>
      </c>
      <c r="I2768" s="21"/>
      <c r="J2768" s="25"/>
      <c r="K2768" s="26" t="s">
        <v>44</v>
      </c>
      <c r="L2768" s="16"/>
      <c r="M2768" s="21"/>
    </row>
    <row r="2769">
      <c r="A2769" s="28">
        <v>46232.0</v>
      </c>
      <c r="B2769" s="16" t="s">
        <v>10938</v>
      </c>
      <c r="C2769" s="20" t="s">
        <v>10939</v>
      </c>
      <c r="D2769" s="21"/>
      <c r="E2769" s="22" t="s">
        <v>10940</v>
      </c>
      <c r="H2769" s="23" t="s">
        <v>1905</v>
      </c>
      <c r="I2769" s="21"/>
      <c r="J2769" s="25"/>
      <c r="K2769" s="26" t="s">
        <v>44</v>
      </c>
      <c r="L2769" s="16"/>
      <c r="M2769" s="21"/>
    </row>
    <row r="2770">
      <c r="A2770" s="28">
        <v>46232.0</v>
      </c>
      <c r="B2770" s="16" t="s">
        <v>10941</v>
      </c>
      <c r="C2770" s="20" t="s">
        <v>10942</v>
      </c>
      <c r="D2770" s="21"/>
      <c r="E2770" s="22" t="s">
        <v>10943</v>
      </c>
      <c r="H2770" s="23" t="s">
        <v>1016</v>
      </c>
      <c r="I2770" s="21"/>
      <c r="J2770" s="25"/>
      <c r="K2770" s="26" t="s">
        <v>44</v>
      </c>
      <c r="L2770" s="16"/>
      <c r="M2770" s="21"/>
    </row>
    <row r="2771">
      <c r="A2771" s="28">
        <v>46232.0</v>
      </c>
      <c r="B2771" s="16" t="s">
        <v>10944</v>
      </c>
      <c r="C2771" s="20" t="s">
        <v>10945</v>
      </c>
      <c r="D2771" s="21"/>
      <c r="E2771" s="22" t="s">
        <v>10946</v>
      </c>
      <c r="H2771" s="23" t="s">
        <v>1550</v>
      </c>
      <c r="I2771" s="21"/>
      <c r="J2771" s="25"/>
      <c r="K2771" s="26" t="s">
        <v>44</v>
      </c>
      <c r="L2771" s="16"/>
      <c r="M2771" s="21"/>
    </row>
    <row r="2772">
      <c r="A2772" s="28">
        <v>46232.0</v>
      </c>
      <c r="B2772" s="16" t="s">
        <v>10947</v>
      </c>
      <c r="C2772" s="20" t="s">
        <v>10948</v>
      </c>
      <c r="D2772" s="21"/>
      <c r="E2772" s="22" t="s">
        <v>10949</v>
      </c>
      <c r="H2772" s="23" t="s">
        <v>6518</v>
      </c>
      <c r="I2772" s="21"/>
      <c r="J2772" s="25"/>
      <c r="K2772" s="26" t="s">
        <v>44</v>
      </c>
      <c r="L2772" s="16"/>
      <c r="M2772" s="21"/>
    </row>
    <row r="2773">
      <c r="A2773" s="28">
        <v>46232.0</v>
      </c>
      <c r="B2773" s="16" t="s">
        <v>10950</v>
      </c>
      <c r="C2773" s="20" t="s">
        <v>10951</v>
      </c>
      <c r="D2773" s="21"/>
      <c r="E2773" s="22" t="s">
        <v>10952</v>
      </c>
      <c r="H2773" s="23" t="s">
        <v>10953</v>
      </c>
      <c r="I2773" s="21"/>
      <c r="J2773" s="25"/>
      <c r="K2773" s="26" t="s">
        <v>44</v>
      </c>
      <c r="L2773" s="16"/>
      <c r="M2773" s="21"/>
    </row>
    <row r="2774">
      <c r="A2774" s="28">
        <v>46232.0</v>
      </c>
      <c r="B2774" s="16" t="s">
        <v>10954</v>
      </c>
      <c r="C2774" s="20" t="s">
        <v>10955</v>
      </c>
      <c r="D2774" s="21"/>
      <c r="E2774" s="22" t="s">
        <v>10956</v>
      </c>
      <c r="H2774" s="23" t="s">
        <v>10957</v>
      </c>
      <c r="I2774" s="21"/>
      <c r="J2774" s="25"/>
      <c r="K2774" s="26" t="s">
        <v>44</v>
      </c>
      <c r="L2774" s="16"/>
      <c r="M2774" s="21"/>
    </row>
    <row r="2775">
      <c r="A2775" s="28">
        <v>46232.0</v>
      </c>
      <c r="B2775" s="16" t="s">
        <v>10958</v>
      </c>
      <c r="C2775" s="20" t="s">
        <v>10959</v>
      </c>
      <c r="D2775" s="21"/>
      <c r="E2775" s="22" t="s">
        <v>10960</v>
      </c>
      <c r="H2775" s="23" t="s">
        <v>9488</v>
      </c>
      <c r="I2775" s="21"/>
      <c r="J2775" s="25"/>
      <c r="K2775" s="26" t="s">
        <v>44</v>
      </c>
      <c r="L2775" s="16"/>
      <c r="M2775" s="21"/>
    </row>
    <row r="2776">
      <c r="A2776" s="28">
        <v>46232.0</v>
      </c>
      <c r="B2776" s="16" t="s">
        <v>10961</v>
      </c>
      <c r="C2776" s="20" t="s">
        <v>10962</v>
      </c>
      <c r="D2776" s="21"/>
      <c r="E2776" s="22" t="s">
        <v>10963</v>
      </c>
      <c r="H2776" s="23" t="s">
        <v>8765</v>
      </c>
      <c r="I2776" s="21"/>
      <c r="J2776" s="25"/>
      <c r="K2776" s="26" t="s">
        <v>44</v>
      </c>
      <c r="L2776" s="16"/>
      <c r="M2776" s="21"/>
    </row>
    <row r="2777">
      <c r="A2777" s="28">
        <v>46232.0</v>
      </c>
      <c r="B2777" s="16" t="s">
        <v>10964</v>
      </c>
      <c r="C2777" s="20" t="s">
        <v>10965</v>
      </c>
      <c r="D2777" s="21"/>
      <c r="E2777" s="22" t="s">
        <v>10966</v>
      </c>
      <c r="H2777" s="23" t="s">
        <v>1335</v>
      </c>
      <c r="I2777" s="21"/>
      <c r="J2777" s="25"/>
      <c r="K2777" s="26" t="s">
        <v>44</v>
      </c>
      <c r="L2777" s="16"/>
      <c r="M2777" s="21"/>
    </row>
    <row r="2778">
      <c r="A2778" s="28">
        <v>46232.0</v>
      </c>
      <c r="B2778" s="16" t="s">
        <v>10967</v>
      </c>
      <c r="C2778" s="20" t="s">
        <v>10968</v>
      </c>
      <c r="D2778" s="21"/>
      <c r="E2778" s="22" t="s">
        <v>10969</v>
      </c>
      <c r="H2778" s="23" t="s">
        <v>1708</v>
      </c>
      <c r="I2778" s="21"/>
      <c r="J2778" s="25"/>
      <c r="K2778" s="26" t="s">
        <v>44</v>
      </c>
      <c r="L2778" s="16"/>
      <c r="M2778" s="21"/>
    </row>
    <row r="2779">
      <c r="A2779" s="28">
        <v>46232.0</v>
      </c>
      <c r="B2779" s="16" t="s">
        <v>10970</v>
      </c>
      <c r="C2779" s="20" t="s">
        <v>10971</v>
      </c>
      <c r="D2779" s="21"/>
      <c r="E2779" s="22" t="s">
        <v>10972</v>
      </c>
      <c r="H2779" s="23" t="s">
        <v>1708</v>
      </c>
      <c r="I2779" s="21"/>
      <c r="J2779" s="25"/>
      <c r="K2779" s="26" t="s">
        <v>44</v>
      </c>
      <c r="L2779" s="16"/>
      <c r="M2779" s="21"/>
    </row>
    <row r="2780">
      <c r="A2780" s="28">
        <v>46232.0</v>
      </c>
      <c r="B2780" s="16" t="s">
        <v>10973</v>
      </c>
      <c r="C2780" s="20" t="s">
        <v>10974</v>
      </c>
      <c r="D2780" s="21"/>
      <c r="E2780" s="22" t="s">
        <v>10975</v>
      </c>
      <c r="H2780" s="23" t="s">
        <v>8787</v>
      </c>
      <c r="I2780" s="21"/>
      <c r="J2780" s="25"/>
      <c r="K2780" s="26" t="s">
        <v>44</v>
      </c>
      <c r="L2780" s="16"/>
      <c r="M2780" s="21"/>
    </row>
    <row r="2781">
      <c r="A2781" s="28">
        <v>46232.0</v>
      </c>
      <c r="B2781" s="16" t="s">
        <v>10976</v>
      </c>
      <c r="C2781" s="20" t="s">
        <v>10977</v>
      </c>
      <c r="D2781" s="21"/>
      <c r="E2781" s="22" t="s">
        <v>10978</v>
      </c>
      <c r="H2781" s="23" t="s">
        <v>8657</v>
      </c>
      <c r="I2781" s="21"/>
      <c r="J2781" s="25"/>
      <c r="K2781" s="26" t="s">
        <v>44</v>
      </c>
      <c r="L2781" s="16"/>
      <c r="M2781" s="21"/>
    </row>
    <row r="2782">
      <c r="A2782" s="28">
        <v>46232.0</v>
      </c>
      <c r="B2782" s="16" t="s">
        <v>10979</v>
      </c>
      <c r="C2782" s="20" t="s">
        <v>10980</v>
      </c>
      <c r="D2782" s="21"/>
      <c r="E2782" s="22" t="s">
        <v>10981</v>
      </c>
      <c r="H2782" s="23" t="s">
        <v>94</v>
      </c>
      <c r="I2782" s="21"/>
      <c r="J2782" s="25"/>
      <c r="K2782" s="26" t="s">
        <v>44</v>
      </c>
      <c r="L2782" s="16"/>
      <c r="M2782" s="21"/>
    </row>
    <row r="2783">
      <c r="A2783" s="28">
        <v>46232.0</v>
      </c>
      <c r="B2783" s="16" t="s">
        <v>10982</v>
      </c>
      <c r="C2783" s="20" t="s">
        <v>10983</v>
      </c>
      <c r="D2783" s="21"/>
      <c r="E2783" s="22" t="s">
        <v>10984</v>
      </c>
      <c r="H2783" s="23" t="s">
        <v>2606</v>
      </c>
      <c r="I2783" s="21"/>
      <c r="J2783" s="25"/>
      <c r="K2783" s="26" t="s">
        <v>44</v>
      </c>
      <c r="L2783" s="16"/>
      <c r="M2783" s="21"/>
    </row>
    <row r="2784">
      <c r="A2784" s="28">
        <v>46232.0</v>
      </c>
      <c r="B2784" s="16" t="s">
        <v>10985</v>
      </c>
      <c r="C2784" s="20" t="s">
        <v>10986</v>
      </c>
      <c r="D2784" s="21"/>
      <c r="E2784" s="22" t="s">
        <v>10987</v>
      </c>
      <c r="H2784" s="23" t="s">
        <v>10988</v>
      </c>
      <c r="I2784" s="21"/>
      <c r="J2784" s="25"/>
      <c r="K2784" s="26" t="s">
        <v>44</v>
      </c>
      <c r="L2784" s="16"/>
      <c r="M2784" s="21"/>
    </row>
    <row r="2785">
      <c r="A2785" s="28">
        <v>46232.0</v>
      </c>
      <c r="B2785" s="16" t="s">
        <v>10989</v>
      </c>
      <c r="C2785" s="20" t="s">
        <v>10990</v>
      </c>
      <c r="D2785" s="21"/>
      <c r="E2785" s="22" t="s">
        <v>10991</v>
      </c>
      <c r="H2785" s="23" t="s">
        <v>10752</v>
      </c>
      <c r="I2785" s="21"/>
      <c r="J2785" s="25"/>
      <c r="K2785" s="26" t="s">
        <v>44</v>
      </c>
      <c r="L2785" s="16"/>
      <c r="M2785" s="21"/>
    </row>
    <row r="2786">
      <c r="A2786" s="28">
        <v>46232.0</v>
      </c>
      <c r="B2786" s="16" t="s">
        <v>10992</v>
      </c>
      <c r="C2786" s="20" t="s">
        <v>10993</v>
      </c>
      <c r="D2786" s="21"/>
      <c r="E2786" s="22" t="s">
        <v>10994</v>
      </c>
      <c r="H2786" s="23" t="s">
        <v>599</v>
      </c>
      <c r="I2786" s="21"/>
      <c r="J2786" s="25"/>
      <c r="K2786" s="26" t="s">
        <v>44</v>
      </c>
      <c r="L2786" s="16"/>
      <c r="M2786" s="21"/>
    </row>
    <row r="2787">
      <c r="A2787" s="28">
        <v>46232.0</v>
      </c>
      <c r="B2787" s="16" t="s">
        <v>10995</v>
      </c>
      <c r="C2787" s="20" t="s">
        <v>10996</v>
      </c>
      <c r="D2787" s="21"/>
      <c r="E2787" s="22" t="s">
        <v>10997</v>
      </c>
      <c r="H2787" s="23" t="s">
        <v>4295</v>
      </c>
      <c r="I2787" s="21"/>
      <c r="J2787" s="25"/>
      <c r="K2787" s="26" t="s">
        <v>44</v>
      </c>
      <c r="L2787" s="16"/>
      <c r="M2787" s="21"/>
    </row>
    <row r="2788">
      <c r="A2788" s="28">
        <v>46232.0</v>
      </c>
      <c r="B2788" s="16" t="s">
        <v>10998</v>
      </c>
      <c r="C2788" s="20" t="s">
        <v>10999</v>
      </c>
      <c r="D2788" s="21"/>
      <c r="E2788" s="22" t="s">
        <v>11000</v>
      </c>
      <c r="H2788" s="23" t="s">
        <v>11001</v>
      </c>
      <c r="I2788" s="21"/>
      <c r="J2788" s="25"/>
      <c r="K2788" s="26" t="s">
        <v>44</v>
      </c>
      <c r="L2788" s="16"/>
      <c r="M2788" s="21"/>
    </row>
    <row r="2789">
      <c r="A2789" s="28">
        <v>46232.0</v>
      </c>
      <c r="B2789" s="16" t="s">
        <v>11002</v>
      </c>
      <c r="C2789" s="20" t="s">
        <v>11003</v>
      </c>
      <c r="D2789" s="21"/>
      <c r="E2789" s="22" t="s">
        <v>11004</v>
      </c>
      <c r="H2789" s="23" t="s">
        <v>2920</v>
      </c>
      <c r="I2789" s="21"/>
      <c r="J2789" s="25"/>
      <c r="K2789" s="26" t="s">
        <v>44</v>
      </c>
      <c r="L2789" s="16"/>
      <c r="M2789" s="21"/>
    </row>
    <row r="2790">
      <c r="A2790" s="28">
        <v>46232.0</v>
      </c>
      <c r="B2790" s="16" t="s">
        <v>11005</v>
      </c>
      <c r="C2790" s="20" t="s">
        <v>11006</v>
      </c>
      <c r="D2790" s="21"/>
      <c r="E2790" s="22" t="s">
        <v>11007</v>
      </c>
      <c r="H2790" s="23" t="s">
        <v>299</v>
      </c>
      <c r="I2790" s="21"/>
      <c r="J2790" s="25"/>
      <c r="K2790" s="26" t="s">
        <v>44</v>
      </c>
      <c r="L2790" s="16"/>
      <c r="M2790" s="21"/>
    </row>
    <row r="2791">
      <c r="A2791" s="28">
        <v>46232.0</v>
      </c>
      <c r="B2791" s="16" t="s">
        <v>11008</v>
      </c>
      <c r="C2791" s="20" t="s">
        <v>11009</v>
      </c>
      <c r="D2791" s="21"/>
      <c r="E2791" s="22" t="s">
        <v>11010</v>
      </c>
      <c r="H2791" s="23" t="s">
        <v>3396</v>
      </c>
      <c r="I2791" s="21"/>
      <c r="J2791" s="25"/>
      <c r="K2791" s="26" t="s">
        <v>44</v>
      </c>
      <c r="L2791" s="16"/>
      <c r="M2791" s="21"/>
    </row>
    <row r="2792">
      <c r="A2792" s="28">
        <v>46232.0</v>
      </c>
      <c r="B2792" s="16" t="s">
        <v>11011</v>
      </c>
      <c r="C2792" s="20" t="s">
        <v>11012</v>
      </c>
      <c r="D2792" s="21"/>
      <c r="E2792" s="22" t="s">
        <v>11013</v>
      </c>
      <c r="H2792" s="23" t="s">
        <v>8214</v>
      </c>
      <c r="I2792" s="21"/>
      <c r="J2792" s="25"/>
      <c r="K2792" s="26" t="s">
        <v>44</v>
      </c>
      <c r="L2792" s="16"/>
      <c r="M2792" s="21"/>
    </row>
    <row r="2793">
      <c r="A2793" s="28">
        <v>46232.0</v>
      </c>
      <c r="B2793" s="16" t="s">
        <v>11014</v>
      </c>
      <c r="C2793" s="20" t="s">
        <v>11015</v>
      </c>
      <c r="D2793" s="21"/>
      <c r="E2793" s="22" t="s">
        <v>11016</v>
      </c>
      <c r="H2793" s="23" t="s">
        <v>11017</v>
      </c>
      <c r="I2793" s="21"/>
      <c r="J2793" s="25"/>
      <c r="K2793" s="26" t="s">
        <v>44</v>
      </c>
      <c r="L2793" s="16"/>
      <c r="M2793" s="21"/>
    </row>
    <row r="2794">
      <c r="A2794" s="28">
        <v>46232.0</v>
      </c>
      <c r="B2794" s="16" t="s">
        <v>11018</v>
      </c>
      <c r="C2794" s="20" t="s">
        <v>11019</v>
      </c>
      <c r="D2794" s="21"/>
      <c r="E2794" s="22" t="s">
        <v>11020</v>
      </c>
      <c r="H2794" s="23" t="s">
        <v>11021</v>
      </c>
      <c r="I2794" s="21"/>
      <c r="J2794" s="25"/>
      <c r="K2794" s="26" t="s">
        <v>44</v>
      </c>
      <c r="L2794" s="16"/>
      <c r="M2794" s="21"/>
    </row>
    <row r="2795">
      <c r="A2795" s="28">
        <v>46232.0</v>
      </c>
      <c r="B2795" s="16" t="s">
        <v>11022</v>
      </c>
      <c r="C2795" s="20" t="s">
        <v>11023</v>
      </c>
      <c r="D2795" s="21"/>
      <c r="E2795" s="22" t="s">
        <v>11024</v>
      </c>
      <c r="H2795" s="23" t="s">
        <v>11025</v>
      </c>
      <c r="I2795" s="21"/>
      <c r="J2795" s="25"/>
      <c r="K2795" s="26" t="s">
        <v>44</v>
      </c>
      <c r="L2795" s="16"/>
      <c r="M2795" s="21"/>
    </row>
    <row r="2796">
      <c r="A2796" s="28">
        <v>46232.0</v>
      </c>
      <c r="B2796" s="16" t="s">
        <v>11026</v>
      </c>
      <c r="C2796" s="20" t="s">
        <v>11027</v>
      </c>
      <c r="D2796" s="21"/>
      <c r="E2796" s="22" t="s">
        <v>11028</v>
      </c>
      <c r="H2796" s="23" t="s">
        <v>1200</v>
      </c>
      <c r="I2796" s="21"/>
      <c r="J2796" s="25"/>
      <c r="K2796" s="26" t="s">
        <v>44</v>
      </c>
      <c r="L2796" s="16"/>
      <c r="M2796" s="21"/>
    </row>
    <row r="2797">
      <c r="A2797" s="28">
        <v>46232.0</v>
      </c>
      <c r="B2797" s="16" t="s">
        <v>11029</v>
      </c>
      <c r="C2797" s="20" t="s">
        <v>11030</v>
      </c>
      <c r="D2797" s="21"/>
      <c r="E2797" s="22" t="s">
        <v>11031</v>
      </c>
      <c r="H2797" s="23" t="s">
        <v>11032</v>
      </c>
      <c r="I2797" s="21"/>
      <c r="J2797" s="25"/>
      <c r="K2797" s="26" t="s">
        <v>44</v>
      </c>
      <c r="L2797" s="16"/>
      <c r="M2797" s="21"/>
    </row>
    <row r="2798">
      <c r="A2798" s="28">
        <v>46232.0</v>
      </c>
      <c r="B2798" s="16" t="s">
        <v>11033</v>
      </c>
      <c r="C2798" s="20" t="s">
        <v>11034</v>
      </c>
      <c r="D2798" s="21"/>
      <c r="E2798" s="22" t="s">
        <v>11035</v>
      </c>
      <c r="H2798" s="23" t="s">
        <v>11036</v>
      </c>
      <c r="I2798" s="21"/>
      <c r="J2798" s="25"/>
      <c r="K2798" s="26" t="s">
        <v>44</v>
      </c>
      <c r="L2798" s="16"/>
      <c r="M2798" s="21"/>
    </row>
    <row r="2799">
      <c r="A2799" s="28">
        <v>46232.0</v>
      </c>
      <c r="B2799" s="16" t="s">
        <v>11037</v>
      </c>
      <c r="C2799" s="20" t="s">
        <v>11038</v>
      </c>
      <c r="D2799" s="21"/>
      <c r="E2799" s="22" t="s">
        <v>11039</v>
      </c>
      <c r="H2799" s="23" t="s">
        <v>4986</v>
      </c>
      <c r="I2799" s="21"/>
      <c r="J2799" s="25"/>
      <c r="K2799" s="26" t="s">
        <v>44</v>
      </c>
      <c r="L2799" s="16"/>
      <c r="M2799" s="21"/>
    </row>
    <row r="2800">
      <c r="A2800" s="28">
        <v>46232.0</v>
      </c>
      <c r="B2800" s="16" t="s">
        <v>11040</v>
      </c>
      <c r="C2800" s="20" t="s">
        <v>11041</v>
      </c>
      <c r="D2800" s="21"/>
      <c r="E2800" s="22" t="s">
        <v>11042</v>
      </c>
      <c r="H2800" s="23" t="s">
        <v>11043</v>
      </c>
      <c r="I2800" s="21"/>
      <c r="J2800" s="25"/>
      <c r="K2800" s="26" t="s">
        <v>44</v>
      </c>
      <c r="L2800" s="16"/>
      <c r="M2800" s="21"/>
    </row>
    <row r="2801">
      <c r="A2801" s="28">
        <v>46232.0</v>
      </c>
      <c r="B2801" s="16" t="s">
        <v>11044</v>
      </c>
      <c r="C2801" s="20" t="s">
        <v>11045</v>
      </c>
      <c r="D2801" s="21"/>
      <c r="E2801" s="22" t="s">
        <v>11046</v>
      </c>
      <c r="H2801" s="23" t="s">
        <v>1595</v>
      </c>
      <c r="I2801" s="21"/>
      <c r="J2801" s="25"/>
      <c r="K2801" s="26" t="s">
        <v>44</v>
      </c>
      <c r="L2801" s="16"/>
      <c r="M2801" s="21"/>
    </row>
    <row r="2802">
      <c r="A2802" s="28">
        <v>46232.0</v>
      </c>
      <c r="B2802" s="16" t="s">
        <v>11047</v>
      </c>
      <c r="C2802" s="20" t="s">
        <v>11048</v>
      </c>
      <c r="D2802" s="21"/>
      <c r="E2802" s="22" t="s">
        <v>11049</v>
      </c>
      <c r="H2802" s="23" t="s">
        <v>2606</v>
      </c>
      <c r="I2802" s="21"/>
      <c r="J2802" s="25"/>
      <c r="K2802" s="26" t="s">
        <v>44</v>
      </c>
      <c r="L2802" s="16"/>
      <c r="M2802" s="21"/>
    </row>
    <row r="2803">
      <c r="A2803" s="28">
        <v>46232.0</v>
      </c>
      <c r="B2803" s="16" t="s">
        <v>11050</v>
      </c>
      <c r="C2803" s="20" t="s">
        <v>11051</v>
      </c>
      <c r="D2803" s="21"/>
      <c r="E2803" s="22" t="s">
        <v>11052</v>
      </c>
      <c r="H2803" s="23" t="s">
        <v>956</v>
      </c>
      <c r="I2803" s="21"/>
      <c r="J2803" s="25"/>
      <c r="K2803" s="26" t="s">
        <v>44</v>
      </c>
      <c r="L2803" s="16"/>
      <c r="M2803" s="21"/>
    </row>
    <row r="2804">
      <c r="A2804" s="28">
        <v>46232.0</v>
      </c>
      <c r="B2804" s="16" t="s">
        <v>11053</v>
      </c>
      <c r="C2804" s="20" t="s">
        <v>11054</v>
      </c>
      <c r="D2804" s="21"/>
      <c r="E2804" s="22" t="s">
        <v>11055</v>
      </c>
      <c r="H2804" s="23" t="s">
        <v>11056</v>
      </c>
      <c r="I2804" s="21"/>
      <c r="J2804" s="25"/>
      <c r="K2804" s="26" t="s">
        <v>44</v>
      </c>
      <c r="L2804" s="16"/>
      <c r="M2804" s="21"/>
    </row>
    <row r="2805">
      <c r="A2805" s="28">
        <v>46232.0</v>
      </c>
      <c r="B2805" s="16" t="s">
        <v>11057</v>
      </c>
      <c r="C2805" s="20" t="s">
        <v>11058</v>
      </c>
      <c r="D2805" s="21"/>
      <c r="E2805" s="22" t="s">
        <v>11059</v>
      </c>
      <c r="H2805" s="23" t="s">
        <v>69</v>
      </c>
      <c r="I2805" s="21"/>
      <c r="J2805" s="25"/>
      <c r="K2805" s="26" t="s">
        <v>44</v>
      </c>
      <c r="L2805" s="16"/>
      <c r="M2805" s="21"/>
    </row>
    <row r="2806">
      <c r="A2806" s="28">
        <v>46232.0</v>
      </c>
      <c r="B2806" s="16" t="s">
        <v>11060</v>
      </c>
      <c r="C2806" s="20" t="s">
        <v>11061</v>
      </c>
      <c r="D2806" s="21"/>
      <c r="E2806" s="22" t="s">
        <v>11062</v>
      </c>
      <c r="H2806" s="23" t="s">
        <v>6241</v>
      </c>
      <c r="I2806" s="21"/>
      <c r="J2806" s="25"/>
      <c r="K2806" s="26" t="s">
        <v>44</v>
      </c>
      <c r="L2806" s="16"/>
      <c r="M2806" s="21"/>
    </row>
    <row r="2807">
      <c r="A2807" s="28">
        <v>46232.0</v>
      </c>
      <c r="B2807" s="16" t="s">
        <v>11063</v>
      </c>
      <c r="C2807" s="20" t="s">
        <v>11064</v>
      </c>
      <c r="D2807" s="21"/>
      <c r="E2807" s="22" t="s">
        <v>11065</v>
      </c>
      <c r="H2807" s="23" t="s">
        <v>821</v>
      </c>
      <c r="I2807" s="21"/>
      <c r="J2807" s="25"/>
      <c r="K2807" s="26" t="s">
        <v>44</v>
      </c>
      <c r="L2807" s="16"/>
      <c r="M2807" s="21"/>
    </row>
    <row r="2808">
      <c r="A2808" s="28">
        <v>46232.0</v>
      </c>
      <c r="B2808" s="16" t="s">
        <v>11066</v>
      </c>
      <c r="C2808" s="20" t="s">
        <v>11067</v>
      </c>
      <c r="D2808" s="21"/>
      <c r="E2808" s="22" t="s">
        <v>11068</v>
      </c>
      <c r="H2808" s="23" t="s">
        <v>983</v>
      </c>
      <c r="I2808" s="21"/>
      <c r="J2808" s="25"/>
      <c r="K2808" s="26" t="s">
        <v>44</v>
      </c>
      <c r="L2808" s="16"/>
      <c r="M2808" s="21"/>
    </row>
    <row r="2809">
      <c r="A2809" s="28">
        <v>46232.0</v>
      </c>
      <c r="B2809" s="16" t="s">
        <v>11069</v>
      </c>
      <c r="C2809" s="20" t="s">
        <v>11070</v>
      </c>
      <c r="D2809" s="21"/>
      <c r="E2809" s="22" t="s">
        <v>11071</v>
      </c>
      <c r="H2809" s="23" t="s">
        <v>11072</v>
      </c>
      <c r="I2809" s="21"/>
      <c r="J2809" s="25"/>
      <c r="K2809" s="26" t="s">
        <v>44</v>
      </c>
      <c r="L2809" s="16"/>
      <c r="M2809" s="21"/>
    </row>
    <row r="2810">
      <c r="A2810" s="28">
        <v>46232.0</v>
      </c>
      <c r="B2810" s="16" t="s">
        <v>11073</v>
      </c>
      <c r="C2810" s="20" t="s">
        <v>11074</v>
      </c>
      <c r="D2810" s="21"/>
      <c r="E2810" s="22" t="s">
        <v>11075</v>
      </c>
      <c r="H2810" s="23" t="s">
        <v>42</v>
      </c>
      <c r="I2810" s="21"/>
      <c r="J2810" s="25"/>
      <c r="K2810" s="26" t="s">
        <v>44</v>
      </c>
      <c r="L2810" s="16"/>
      <c r="M2810" s="21"/>
    </row>
    <row r="2811">
      <c r="A2811" s="28">
        <v>46232.0</v>
      </c>
      <c r="B2811" s="16" t="s">
        <v>11076</v>
      </c>
      <c r="C2811" s="20" t="s">
        <v>11077</v>
      </c>
      <c r="D2811" s="21"/>
      <c r="E2811" s="22" t="s">
        <v>11078</v>
      </c>
      <c r="H2811" s="23" t="s">
        <v>2740</v>
      </c>
      <c r="I2811" s="21"/>
      <c r="J2811" s="25"/>
      <c r="K2811" s="26" t="s">
        <v>44</v>
      </c>
      <c r="L2811" s="16"/>
      <c r="M2811" s="21"/>
    </row>
    <row r="2812">
      <c r="A2812" s="28">
        <v>46232.0</v>
      </c>
      <c r="B2812" s="16" t="s">
        <v>11079</v>
      </c>
      <c r="C2812" s="20" t="s">
        <v>11080</v>
      </c>
      <c r="D2812" s="21"/>
      <c r="E2812" s="22" t="s">
        <v>11081</v>
      </c>
      <c r="H2812" s="23" t="s">
        <v>11082</v>
      </c>
      <c r="I2812" s="21"/>
      <c r="J2812" s="25"/>
      <c r="K2812" s="26" t="s">
        <v>44</v>
      </c>
      <c r="L2812" s="16"/>
      <c r="M2812" s="21"/>
    </row>
    <row r="2813">
      <c r="A2813" s="28">
        <v>46232.0</v>
      </c>
      <c r="B2813" s="16" t="s">
        <v>11083</v>
      </c>
      <c r="C2813" s="20" t="s">
        <v>11084</v>
      </c>
      <c r="D2813" s="21"/>
      <c r="E2813" s="22" t="s">
        <v>11085</v>
      </c>
      <c r="H2813" s="23" t="s">
        <v>11086</v>
      </c>
      <c r="I2813" s="21"/>
      <c r="J2813" s="25"/>
      <c r="K2813" s="26" t="s">
        <v>44</v>
      </c>
      <c r="L2813" s="16"/>
      <c r="M2813" s="21"/>
    </row>
    <row r="2814">
      <c r="A2814" s="28">
        <v>46232.0</v>
      </c>
      <c r="B2814" s="16" t="s">
        <v>11087</v>
      </c>
      <c r="C2814" s="20" t="s">
        <v>11088</v>
      </c>
      <c r="D2814" s="21"/>
      <c r="E2814" s="22" t="s">
        <v>11089</v>
      </c>
      <c r="H2814" s="23" t="s">
        <v>8616</v>
      </c>
      <c r="I2814" s="21"/>
      <c r="J2814" s="25"/>
      <c r="K2814" s="26" t="s">
        <v>44</v>
      </c>
      <c r="L2814" s="16"/>
      <c r="M2814" s="21"/>
    </row>
    <row r="2815">
      <c r="A2815" s="28">
        <v>46232.0</v>
      </c>
      <c r="B2815" s="16" t="s">
        <v>11090</v>
      </c>
      <c r="C2815" s="20" t="s">
        <v>11091</v>
      </c>
      <c r="D2815" s="21"/>
      <c r="E2815" s="22" t="s">
        <v>11092</v>
      </c>
      <c r="H2815" s="23" t="s">
        <v>111</v>
      </c>
      <c r="I2815" s="21"/>
      <c r="J2815" s="25"/>
      <c r="K2815" s="26" t="s">
        <v>44</v>
      </c>
      <c r="L2815" s="16"/>
      <c r="M2815" s="21"/>
    </row>
    <row r="2816">
      <c r="A2816" s="28">
        <v>46232.0</v>
      </c>
      <c r="B2816" s="16" t="s">
        <v>11093</v>
      </c>
      <c r="C2816" s="20" t="s">
        <v>11094</v>
      </c>
      <c r="D2816" s="21"/>
      <c r="E2816" s="22" t="s">
        <v>11095</v>
      </c>
      <c r="H2816" s="23" t="s">
        <v>11096</v>
      </c>
      <c r="I2816" s="21"/>
      <c r="J2816" s="25"/>
      <c r="K2816" s="26" t="s">
        <v>44</v>
      </c>
      <c r="L2816" s="16"/>
      <c r="M2816" s="21"/>
    </row>
    <row r="2817">
      <c r="A2817" s="28">
        <v>46232.0</v>
      </c>
      <c r="B2817" s="16" t="s">
        <v>11097</v>
      </c>
      <c r="C2817" s="20" t="s">
        <v>11098</v>
      </c>
      <c r="D2817" s="21"/>
      <c r="E2817" s="22" t="s">
        <v>11099</v>
      </c>
      <c r="H2817" s="23" t="s">
        <v>767</v>
      </c>
      <c r="I2817" s="21"/>
      <c r="J2817" s="25"/>
      <c r="K2817" s="26" t="s">
        <v>44</v>
      </c>
      <c r="L2817" s="16"/>
      <c r="M2817" s="21"/>
    </row>
    <row r="2818">
      <c r="A2818" s="28">
        <v>46232.0</v>
      </c>
      <c r="B2818" s="16" t="s">
        <v>11100</v>
      </c>
      <c r="C2818" s="20" t="s">
        <v>11101</v>
      </c>
      <c r="D2818" s="21"/>
      <c r="E2818" s="22" t="s">
        <v>11102</v>
      </c>
      <c r="H2818" s="23" t="s">
        <v>127</v>
      </c>
      <c r="I2818" s="21"/>
      <c r="J2818" s="25"/>
      <c r="K2818" s="26" t="s">
        <v>44</v>
      </c>
      <c r="L2818" s="16"/>
      <c r="M2818" s="21"/>
    </row>
    <row r="2819">
      <c r="A2819" s="28">
        <v>46232.0</v>
      </c>
      <c r="B2819" s="16" t="s">
        <v>11103</v>
      </c>
      <c r="C2819" s="46" t="s">
        <v>11104</v>
      </c>
      <c r="D2819" s="21"/>
      <c r="E2819" s="22" t="s">
        <v>11105</v>
      </c>
      <c r="H2819" s="23" t="s">
        <v>11106</v>
      </c>
      <c r="I2819" s="21"/>
      <c r="J2819" s="25"/>
      <c r="K2819" s="26" t="s">
        <v>44</v>
      </c>
      <c r="L2819" s="16"/>
      <c r="M2819" s="21"/>
    </row>
    <row r="2820">
      <c r="A2820" s="28">
        <v>46232.0</v>
      </c>
      <c r="B2820" s="16" t="s">
        <v>11107</v>
      </c>
      <c r="C2820" s="20" t="s">
        <v>11108</v>
      </c>
      <c r="D2820" s="21"/>
      <c r="E2820" s="22" t="s">
        <v>11109</v>
      </c>
      <c r="H2820" s="23" t="s">
        <v>11110</v>
      </c>
      <c r="I2820" s="21"/>
      <c r="J2820" s="25"/>
      <c r="K2820" s="26" t="s">
        <v>44</v>
      </c>
      <c r="L2820" s="16"/>
      <c r="M2820" s="21"/>
    </row>
    <row r="2821">
      <c r="A2821" s="28">
        <v>46232.0</v>
      </c>
      <c r="B2821" s="16" t="s">
        <v>11111</v>
      </c>
      <c r="C2821" s="20" t="s">
        <v>11112</v>
      </c>
      <c r="D2821" s="21"/>
      <c r="E2821" s="22" t="s">
        <v>11113</v>
      </c>
      <c r="H2821" s="23" t="s">
        <v>1776</v>
      </c>
      <c r="I2821" s="21"/>
      <c r="J2821" s="25"/>
      <c r="K2821" s="26" t="s">
        <v>44</v>
      </c>
      <c r="L2821" s="16"/>
      <c r="M2821" s="21"/>
    </row>
    <row r="2822">
      <c r="A2822" s="28">
        <v>46232.0</v>
      </c>
      <c r="B2822" s="16" t="s">
        <v>11114</v>
      </c>
      <c r="C2822" s="20" t="s">
        <v>11115</v>
      </c>
      <c r="D2822" s="21"/>
      <c r="E2822" s="22" t="s">
        <v>11116</v>
      </c>
      <c r="H2822" s="23" t="s">
        <v>487</v>
      </c>
      <c r="I2822" s="21"/>
      <c r="J2822" s="25"/>
      <c r="K2822" s="26" t="s">
        <v>44</v>
      </c>
      <c r="L2822" s="16"/>
      <c r="M2822" s="21"/>
    </row>
    <row r="2823">
      <c r="A2823" s="28">
        <v>46232.0</v>
      </c>
      <c r="B2823" s="16" t="s">
        <v>11117</v>
      </c>
      <c r="C2823" s="20" t="s">
        <v>11118</v>
      </c>
      <c r="D2823" s="21"/>
      <c r="E2823" s="22" t="s">
        <v>11119</v>
      </c>
      <c r="H2823" s="23" t="s">
        <v>69</v>
      </c>
      <c r="I2823" s="21"/>
      <c r="J2823" s="25"/>
      <c r="K2823" s="26" t="s">
        <v>44</v>
      </c>
      <c r="L2823" s="16"/>
      <c r="M2823" s="21"/>
    </row>
    <row r="2824">
      <c r="A2824" s="28">
        <v>46232.0</v>
      </c>
      <c r="B2824" s="16" t="s">
        <v>11120</v>
      </c>
      <c r="C2824" s="20" t="s">
        <v>11121</v>
      </c>
      <c r="D2824" s="21"/>
      <c r="E2824" s="22" t="s">
        <v>11122</v>
      </c>
      <c r="H2824" s="23" t="s">
        <v>69</v>
      </c>
      <c r="I2824" s="21"/>
      <c r="J2824" s="25"/>
      <c r="K2824" s="26" t="s">
        <v>44</v>
      </c>
      <c r="L2824" s="16"/>
      <c r="M2824" s="21"/>
    </row>
    <row r="2825">
      <c r="A2825" s="28">
        <v>46232.0</v>
      </c>
      <c r="B2825" s="16" t="s">
        <v>11123</v>
      </c>
      <c r="C2825" s="20" t="s">
        <v>11124</v>
      </c>
      <c r="D2825" s="21"/>
      <c r="E2825" s="22" t="s">
        <v>11125</v>
      </c>
      <c r="H2825" s="23" t="s">
        <v>11126</v>
      </c>
      <c r="I2825" s="21"/>
      <c r="J2825" s="25"/>
      <c r="K2825" s="26" t="s">
        <v>44</v>
      </c>
      <c r="L2825" s="16"/>
      <c r="M2825" s="21"/>
    </row>
    <row r="2826">
      <c r="A2826" s="28">
        <v>46232.0</v>
      </c>
      <c r="B2826" s="16" t="s">
        <v>11127</v>
      </c>
      <c r="C2826" s="20" t="s">
        <v>11128</v>
      </c>
      <c r="D2826" s="21"/>
      <c r="E2826" s="22" t="s">
        <v>11129</v>
      </c>
      <c r="H2826" s="23" t="s">
        <v>11130</v>
      </c>
      <c r="I2826" s="21"/>
      <c r="J2826" s="25"/>
      <c r="K2826" s="26" t="s">
        <v>44</v>
      </c>
      <c r="L2826" s="16"/>
      <c r="M2826" s="21"/>
    </row>
    <row r="2827">
      <c r="A2827" s="28">
        <v>46232.0</v>
      </c>
      <c r="B2827" s="16" t="s">
        <v>11131</v>
      </c>
      <c r="C2827" s="20" t="s">
        <v>11132</v>
      </c>
      <c r="D2827" s="21"/>
      <c r="E2827" s="22" t="s">
        <v>11133</v>
      </c>
      <c r="H2827" s="23" t="s">
        <v>6352</v>
      </c>
      <c r="I2827" s="21"/>
      <c r="J2827" s="25"/>
      <c r="K2827" s="26" t="s">
        <v>44</v>
      </c>
      <c r="L2827" s="16"/>
      <c r="M2827" s="21"/>
    </row>
    <row r="2828">
      <c r="A2828" s="28">
        <v>46232.0</v>
      </c>
      <c r="B2828" s="16" t="s">
        <v>11134</v>
      </c>
      <c r="C2828" s="46" t="s">
        <v>11135</v>
      </c>
      <c r="D2828" s="21"/>
      <c r="E2828" s="22" t="s">
        <v>11136</v>
      </c>
      <c r="H2828" s="23" t="s">
        <v>1742</v>
      </c>
      <c r="I2828" s="21"/>
      <c r="J2828" s="25"/>
      <c r="K2828" s="26" t="s">
        <v>44</v>
      </c>
      <c r="L2828" s="16"/>
      <c r="M2828" s="21"/>
    </row>
    <row r="2829">
      <c r="A2829" s="28">
        <v>46232.0</v>
      </c>
      <c r="B2829" s="16" t="s">
        <v>11137</v>
      </c>
      <c r="C2829" s="20" t="s">
        <v>11138</v>
      </c>
      <c r="D2829" s="21"/>
      <c r="E2829" s="22" t="s">
        <v>11139</v>
      </c>
      <c r="H2829" s="23" t="s">
        <v>10323</v>
      </c>
      <c r="I2829" s="21"/>
      <c r="J2829" s="25"/>
      <c r="K2829" s="26" t="s">
        <v>44</v>
      </c>
      <c r="L2829" s="16"/>
      <c r="M2829" s="21"/>
    </row>
    <row r="2830">
      <c r="A2830" s="28">
        <v>46232.0</v>
      </c>
      <c r="B2830" s="16" t="s">
        <v>11140</v>
      </c>
      <c r="C2830" s="20" t="s">
        <v>11141</v>
      </c>
      <c r="D2830" s="21"/>
      <c r="E2830" s="22" t="s">
        <v>11142</v>
      </c>
      <c r="H2830" s="23" t="s">
        <v>856</v>
      </c>
      <c r="I2830" s="21"/>
      <c r="J2830" s="25"/>
      <c r="K2830" s="26" t="s">
        <v>44</v>
      </c>
      <c r="L2830" s="16"/>
      <c r="M2830" s="21"/>
    </row>
    <row r="2831">
      <c r="A2831" s="28">
        <v>46232.0</v>
      </c>
      <c r="B2831" s="16" t="s">
        <v>11143</v>
      </c>
      <c r="C2831" s="20" t="s">
        <v>11144</v>
      </c>
      <c r="D2831" s="21"/>
      <c r="E2831" s="22" t="s">
        <v>11145</v>
      </c>
      <c r="H2831" s="23" t="s">
        <v>69</v>
      </c>
      <c r="I2831" s="21"/>
      <c r="J2831" s="25"/>
      <c r="K2831" s="26" t="s">
        <v>44</v>
      </c>
      <c r="L2831" s="16"/>
      <c r="M2831" s="21"/>
    </row>
    <row r="2832">
      <c r="A2832" s="28">
        <v>46232.0</v>
      </c>
      <c r="B2832" s="16" t="s">
        <v>11146</v>
      </c>
      <c r="C2832" s="46" t="s">
        <v>11147</v>
      </c>
      <c r="D2832" s="21"/>
      <c r="E2832" s="22" t="s">
        <v>11148</v>
      </c>
      <c r="H2832" s="23" t="s">
        <v>11149</v>
      </c>
      <c r="I2832" s="21"/>
      <c r="J2832" s="25"/>
      <c r="K2832" s="26" t="s">
        <v>44</v>
      </c>
      <c r="L2832" s="16"/>
      <c r="M2832" s="21"/>
    </row>
    <row r="2833">
      <c r="A2833" s="28">
        <v>46232.0</v>
      </c>
      <c r="B2833" s="16" t="s">
        <v>11150</v>
      </c>
      <c r="C2833" s="20" t="s">
        <v>11151</v>
      </c>
      <c r="D2833" s="21"/>
      <c r="E2833" s="22" t="s">
        <v>11152</v>
      </c>
      <c r="H2833" s="23" t="s">
        <v>2549</v>
      </c>
      <c r="I2833" s="21"/>
      <c r="J2833" s="25"/>
      <c r="K2833" s="26" t="s">
        <v>44</v>
      </c>
      <c r="L2833" s="16"/>
      <c r="M2833" s="21"/>
    </row>
    <row r="2834">
      <c r="A2834" s="28">
        <v>46232.0</v>
      </c>
      <c r="B2834" s="16" t="s">
        <v>11153</v>
      </c>
      <c r="C2834" s="46" t="s">
        <v>11154</v>
      </c>
      <c r="D2834" s="21"/>
      <c r="E2834" s="22" t="s">
        <v>11155</v>
      </c>
      <c r="H2834" s="23" t="s">
        <v>48</v>
      </c>
      <c r="I2834" s="21"/>
      <c r="J2834" s="25"/>
      <c r="K2834" s="26" t="s">
        <v>44</v>
      </c>
      <c r="L2834" s="16"/>
      <c r="M2834" s="21"/>
    </row>
    <row r="2835">
      <c r="A2835" s="28">
        <v>46232.0</v>
      </c>
      <c r="B2835" s="16" t="s">
        <v>11156</v>
      </c>
      <c r="C2835" s="46" t="s">
        <v>11157</v>
      </c>
      <c r="D2835" s="21"/>
      <c r="E2835" s="22" t="s">
        <v>11158</v>
      </c>
      <c r="H2835" s="23" t="s">
        <v>42</v>
      </c>
      <c r="I2835" s="21"/>
      <c r="J2835" s="25"/>
      <c r="K2835" s="26" t="s">
        <v>44</v>
      </c>
      <c r="L2835" s="16"/>
      <c r="M2835" s="21"/>
    </row>
    <row r="2836">
      <c r="A2836" s="28">
        <v>46232.0</v>
      </c>
      <c r="B2836" s="16" t="s">
        <v>11159</v>
      </c>
      <c r="C2836" s="20" t="s">
        <v>11160</v>
      </c>
      <c r="D2836" s="21"/>
      <c r="E2836" s="22" t="s">
        <v>11161</v>
      </c>
      <c r="H2836" s="23" t="s">
        <v>4861</v>
      </c>
      <c r="I2836" s="21"/>
      <c r="J2836" s="25"/>
      <c r="K2836" s="26" t="s">
        <v>44</v>
      </c>
      <c r="L2836" s="16"/>
      <c r="M2836" s="21"/>
    </row>
    <row r="2837">
      <c r="A2837" s="28">
        <v>46232.0</v>
      </c>
      <c r="B2837" s="16" t="s">
        <v>11162</v>
      </c>
      <c r="C2837" s="20" t="s">
        <v>11163</v>
      </c>
      <c r="D2837" s="21"/>
      <c r="E2837" s="22" t="s">
        <v>11164</v>
      </c>
      <c r="H2837" s="23" t="s">
        <v>1250</v>
      </c>
      <c r="I2837" s="21"/>
      <c r="J2837" s="25"/>
      <c r="K2837" s="26" t="s">
        <v>44</v>
      </c>
      <c r="L2837" s="16"/>
      <c r="M2837" s="21"/>
    </row>
    <row r="2838">
      <c r="A2838" s="28">
        <v>46232.0</v>
      </c>
      <c r="B2838" s="16" t="s">
        <v>11165</v>
      </c>
      <c r="C2838" s="20" t="s">
        <v>11166</v>
      </c>
      <c r="D2838" s="21"/>
      <c r="E2838" s="22" t="s">
        <v>11167</v>
      </c>
      <c r="H2838" s="23" t="s">
        <v>5872</v>
      </c>
      <c r="I2838" s="21"/>
      <c r="J2838" s="25"/>
      <c r="K2838" s="26" t="s">
        <v>44</v>
      </c>
      <c r="L2838" s="16"/>
      <c r="M2838" s="21"/>
    </row>
    <row r="2839">
      <c r="A2839" s="28">
        <v>46232.0</v>
      </c>
      <c r="B2839" s="16" t="s">
        <v>11168</v>
      </c>
      <c r="C2839" s="20" t="s">
        <v>11169</v>
      </c>
      <c r="D2839" s="21"/>
      <c r="E2839" s="22" t="s">
        <v>11170</v>
      </c>
      <c r="H2839" s="23" t="s">
        <v>1149</v>
      </c>
      <c r="I2839" s="21"/>
      <c r="J2839" s="25"/>
      <c r="K2839" s="26" t="s">
        <v>44</v>
      </c>
      <c r="L2839" s="16"/>
      <c r="M2839" s="21"/>
    </row>
    <row r="2840">
      <c r="A2840" s="28">
        <v>46232.0</v>
      </c>
      <c r="B2840" s="16" t="s">
        <v>11171</v>
      </c>
      <c r="C2840" s="20" t="s">
        <v>11172</v>
      </c>
      <c r="D2840" s="21"/>
      <c r="E2840" s="22" t="s">
        <v>11173</v>
      </c>
      <c r="H2840" s="23" t="s">
        <v>404</v>
      </c>
      <c r="I2840" s="21"/>
      <c r="J2840" s="25"/>
      <c r="K2840" s="26" t="s">
        <v>44</v>
      </c>
      <c r="L2840" s="16"/>
      <c r="M2840" s="21"/>
    </row>
    <row r="2841">
      <c r="A2841" s="28">
        <v>46232.0</v>
      </c>
      <c r="B2841" s="16" t="s">
        <v>11174</v>
      </c>
      <c r="C2841" s="20" t="s">
        <v>11175</v>
      </c>
      <c r="D2841" s="21"/>
      <c r="E2841" s="22" t="s">
        <v>11176</v>
      </c>
      <c r="H2841" s="23" t="s">
        <v>1898</v>
      </c>
      <c r="I2841" s="21"/>
      <c r="J2841" s="25"/>
      <c r="K2841" s="26" t="s">
        <v>44</v>
      </c>
      <c r="L2841" s="16"/>
      <c r="M2841" s="21"/>
    </row>
    <row r="2842">
      <c r="A2842" s="28">
        <v>46232.0</v>
      </c>
      <c r="B2842" s="16" t="s">
        <v>11177</v>
      </c>
      <c r="C2842" s="20" t="s">
        <v>11178</v>
      </c>
      <c r="D2842" s="21"/>
      <c r="E2842" s="22" t="s">
        <v>11179</v>
      </c>
      <c r="H2842" s="23" t="s">
        <v>2268</v>
      </c>
      <c r="I2842" s="21"/>
      <c r="J2842" s="25"/>
      <c r="K2842" s="26" t="s">
        <v>44</v>
      </c>
      <c r="L2842" s="16"/>
      <c r="M2842" s="21"/>
    </row>
    <row r="2843">
      <c r="A2843" s="28">
        <v>46232.0</v>
      </c>
      <c r="B2843" s="16" t="s">
        <v>11180</v>
      </c>
      <c r="C2843" s="20" t="s">
        <v>11181</v>
      </c>
      <c r="D2843" s="21"/>
      <c r="E2843" s="22" t="s">
        <v>11182</v>
      </c>
      <c r="H2843" s="23" t="s">
        <v>6583</v>
      </c>
      <c r="I2843" s="21"/>
      <c r="J2843" s="25"/>
      <c r="K2843" s="26" t="s">
        <v>44</v>
      </c>
      <c r="L2843" s="16"/>
      <c r="M2843" s="21"/>
    </row>
    <row r="2844">
      <c r="A2844" s="28">
        <v>46232.0</v>
      </c>
      <c r="B2844" s="16" t="s">
        <v>11183</v>
      </c>
      <c r="C2844" s="20" t="s">
        <v>11184</v>
      </c>
      <c r="D2844" s="21"/>
      <c r="E2844" s="22" t="s">
        <v>11185</v>
      </c>
      <c r="H2844" s="23" t="s">
        <v>1160</v>
      </c>
      <c r="I2844" s="21"/>
      <c r="J2844" s="25"/>
      <c r="K2844" s="26" t="s">
        <v>44</v>
      </c>
      <c r="L2844" s="16"/>
      <c r="M2844" s="21"/>
    </row>
    <row r="2845">
      <c r="A2845" s="28">
        <v>46232.0</v>
      </c>
      <c r="B2845" s="16" t="s">
        <v>11186</v>
      </c>
      <c r="C2845" s="20" t="s">
        <v>11187</v>
      </c>
      <c r="D2845" s="21"/>
      <c r="E2845" s="22" t="s">
        <v>11188</v>
      </c>
      <c r="H2845" s="23" t="s">
        <v>2668</v>
      </c>
      <c r="I2845" s="21"/>
      <c r="J2845" s="25"/>
      <c r="K2845" s="26" t="s">
        <v>44</v>
      </c>
      <c r="L2845" s="16"/>
      <c r="M2845" s="21"/>
    </row>
    <row r="2846">
      <c r="A2846" s="28">
        <v>46232.0</v>
      </c>
      <c r="B2846" s="16" t="s">
        <v>11189</v>
      </c>
      <c r="C2846" s="46" t="s">
        <v>11190</v>
      </c>
      <c r="D2846" s="21"/>
      <c r="E2846" s="22" t="s">
        <v>11191</v>
      </c>
      <c r="H2846" s="23" t="s">
        <v>1250</v>
      </c>
      <c r="I2846" s="21"/>
      <c r="J2846" s="25"/>
      <c r="K2846" s="26" t="s">
        <v>44</v>
      </c>
      <c r="L2846" s="16"/>
      <c r="M2846" s="21"/>
    </row>
    <row r="2847">
      <c r="A2847" s="28">
        <v>46232.0</v>
      </c>
      <c r="B2847" s="16" t="s">
        <v>11192</v>
      </c>
      <c r="C2847" s="46" t="s">
        <v>11193</v>
      </c>
      <c r="D2847" s="21"/>
      <c r="E2847" s="22" t="s">
        <v>11194</v>
      </c>
      <c r="H2847" s="23" t="s">
        <v>2842</v>
      </c>
      <c r="I2847" s="21"/>
      <c r="J2847" s="25"/>
      <c r="K2847" s="26" t="s">
        <v>44</v>
      </c>
      <c r="L2847" s="16"/>
      <c r="M2847" s="21"/>
    </row>
    <row r="2848">
      <c r="A2848" s="28">
        <v>46232.0</v>
      </c>
      <c r="B2848" s="16" t="s">
        <v>11195</v>
      </c>
      <c r="C2848" s="20" t="s">
        <v>11196</v>
      </c>
      <c r="D2848" s="21"/>
      <c r="E2848" s="22" t="s">
        <v>11197</v>
      </c>
      <c r="H2848" s="23" t="s">
        <v>69</v>
      </c>
      <c r="I2848" s="21"/>
      <c r="J2848" s="25"/>
      <c r="K2848" s="26" t="s">
        <v>44</v>
      </c>
      <c r="L2848" s="16"/>
      <c r="M2848" s="21"/>
    </row>
    <row r="2849">
      <c r="A2849" s="28">
        <v>46232.0</v>
      </c>
      <c r="B2849" s="16" t="s">
        <v>11198</v>
      </c>
      <c r="C2849" s="20" t="s">
        <v>11199</v>
      </c>
      <c r="D2849" s="21"/>
      <c r="E2849" s="22" t="s">
        <v>11200</v>
      </c>
      <c r="H2849" s="23" t="s">
        <v>5382</v>
      </c>
      <c r="I2849" s="21"/>
      <c r="J2849" s="25"/>
      <c r="K2849" s="26" t="s">
        <v>44</v>
      </c>
      <c r="L2849" s="16"/>
      <c r="M2849" s="21"/>
    </row>
    <row r="2850">
      <c r="A2850" s="28">
        <v>46232.0</v>
      </c>
      <c r="B2850" s="16" t="s">
        <v>11201</v>
      </c>
      <c r="C2850" s="20" t="s">
        <v>11202</v>
      </c>
      <c r="D2850" s="21"/>
      <c r="E2850" s="22" t="s">
        <v>11203</v>
      </c>
      <c r="H2850" s="23" t="s">
        <v>956</v>
      </c>
      <c r="I2850" s="21"/>
      <c r="J2850" s="25"/>
      <c r="K2850" s="26" t="s">
        <v>44</v>
      </c>
      <c r="L2850" s="16"/>
      <c r="M2850" s="21"/>
    </row>
    <row r="2851">
      <c r="A2851" s="28">
        <v>46232.0</v>
      </c>
      <c r="B2851" s="16" t="s">
        <v>11204</v>
      </c>
      <c r="C2851" s="20" t="s">
        <v>11205</v>
      </c>
      <c r="D2851" s="21"/>
      <c r="E2851" s="22" t="s">
        <v>11206</v>
      </c>
      <c r="H2851" s="23" t="s">
        <v>11207</v>
      </c>
      <c r="I2851" s="21"/>
      <c r="J2851" s="25"/>
      <c r="K2851" s="26" t="s">
        <v>44</v>
      </c>
      <c r="L2851" s="16"/>
      <c r="M2851" s="21"/>
    </row>
    <row r="2852">
      <c r="A2852" s="28">
        <v>46232.0</v>
      </c>
      <c r="B2852" s="16" t="s">
        <v>11208</v>
      </c>
      <c r="C2852" s="20" t="s">
        <v>11209</v>
      </c>
      <c r="D2852" s="21"/>
      <c r="E2852" s="22" t="s">
        <v>11210</v>
      </c>
      <c r="H2852" s="23" t="s">
        <v>412</v>
      </c>
      <c r="I2852" s="21"/>
      <c r="J2852" s="25"/>
      <c r="K2852" s="26" t="s">
        <v>44</v>
      </c>
      <c r="L2852" s="16"/>
      <c r="M2852" s="21"/>
    </row>
    <row r="2853">
      <c r="A2853" s="28">
        <v>46232.0</v>
      </c>
      <c r="B2853" s="16" t="s">
        <v>11211</v>
      </c>
      <c r="C2853" s="20" t="s">
        <v>11212</v>
      </c>
      <c r="D2853" s="21"/>
      <c r="E2853" s="22" t="s">
        <v>11213</v>
      </c>
      <c r="H2853" s="23" t="s">
        <v>11214</v>
      </c>
      <c r="I2853" s="21"/>
      <c r="J2853" s="25"/>
      <c r="K2853" s="26" t="s">
        <v>44</v>
      </c>
      <c r="L2853" s="16"/>
      <c r="M2853" s="21"/>
    </row>
    <row r="2854">
      <c r="A2854" s="28">
        <v>46232.0</v>
      </c>
      <c r="B2854" s="16" t="s">
        <v>11215</v>
      </c>
      <c r="C2854" s="20" t="s">
        <v>11216</v>
      </c>
      <c r="D2854" s="21"/>
      <c r="E2854" s="22" t="s">
        <v>11217</v>
      </c>
      <c r="H2854" s="23" t="s">
        <v>856</v>
      </c>
      <c r="I2854" s="21"/>
      <c r="J2854" s="25"/>
      <c r="K2854" s="26" t="s">
        <v>44</v>
      </c>
      <c r="L2854" s="16"/>
      <c r="M2854" s="21"/>
    </row>
    <row r="2855">
      <c r="A2855" s="28">
        <v>46232.0</v>
      </c>
      <c r="B2855" s="16" t="s">
        <v>11218</v>
      </c>
      <c r="C2855" s="20" t="s">
        <v>11219</v>
      </c>
      <c r="D2855" s="21"/>
      <c r="E2855" s="22" t="s">
        <v>11220</v>
      </c>
      <c r="H2855" s="23" t="s">
        <v>2251</v>
      </c>
      <c r="I2855" s="21"/>
      <c r="J2855" s="25"/>
      <c r="K2855" s="26" t="s">
        <v>44</v>
      </c>
      <c r="L2855" s="16"/>
      <c r="M2855" s="21"/>
    </row>
    <row r="2856">
      <c r="A2856" s="28">
        <v>46232.0</v>
      </c>
      <c r="B2856" s="16" t="s">
        <v>11221</v>
      </c>
      <c r="C2856" s="20" t="s">
        <v>11222</v>
      </c>
      <c r="D2856" s="21"/>
      <c r="E2856" s="22" t="s">
        <v>11223</v>
      </c>
      <c r="H2856" s="23" t="s">
        <v>11224</v>
      </c>
      <c r="I2856" s="21"/>
      <c r="J2856" s="25"/>
      <c r="K2856" s="26" t="s">
        <v>44</v>
      </c>
      <c r="L2856" s="16"/>
      <c r="M2856" s="21"/>
    </row>
    <row r="2857">
      <c r="A2857" s="28">
        <v>46232.0</v>
      </c>
      <c r="B2857" s="16" t="s">
        <v>11225</v>
      </c>
      <c r="C2857" s="20" t="s">
        <v>11226</v>
      </c>
      <c r="D2857" s="21"/>
      <c r="E2857" s="22" t="s">
        <v>11227</v>
      </c>
      <c r="H2857" s="23" t="s">
        <v>11228</v>
      </c>
      <c r="I2857" s="21"/>
      <c r="J2857" s="25"/>
      <c r="K2857" s="26" t="s">
        <v>44</v>
      </c>
      <c r="L2857" s="16"/>
      <c r="M2857" s="21"/>
    </row>
    <row r="2858">
      <c r="A2858" s="28">
        <v>46232.0</v>
      </c>
      <c r="B2858" s="16" t="s">
        <v>11229</v>
      </c>
      <c r="C2858" s="20" t="s">
        <v>11230</v>
      </c>
      <c r="D2858" s="21"/>
      <c r="E2858" s="22" t="s">
        <v>11231</v>
      </c>
      <c r="H2858" s="23" t="s">
        <v>1819</v>
      </c>
      <c r="I2858" s="21"/>
      <c r="J2858" s="25"/>
      <c r="K2858" s="26" t="s">
        <v>44</v>
      </c>
      <c r="L2858" s="16"/>
      <c r="M2858" s="21"/>
    </row>
    <row r="2859">
      <c r="A2859" s="28">
        <v>46232.0</v>
      </c>
      <c r="B2859" s="16" t="s">
        <v>11232</v>
      </c>
      <c r="C2859" s="20" t="s">
        <v>11233</v>
      </c>
      <c r="D2859" s="21"/>
      <c r="E2859" s="22" t="s">
        <v>11234</v>
      </c>
      <c r="H2859" s="23" t="s">
        <v>11235</v>
      </c>
      <c r="I2859" s="21"/>
      <c r="J2859" s="25"/>
      <c r="K2859" s="26" t="s">
        <v>44</v>
      </c>
      <c r="L2859" s="16"/>
      <c r="M2859" s="21"/>
    </row>
    <row r="2860">
      <c r="A2860" s="28">
        <v>46232.0</v>
      </c>
      <c r="B2860" s="16" t="s">
        <v>11236</v>
      </c>
      <c r="C2860" s="46" t="s">
        <v>11237</v>
      </c>
      <c r="D2860" s="21"/>
      <c r="E2860" s="22" t="s">
        <v>11238</v>
      </c>
      <c r="H2860" s="23" t="s">
        <v>1415</v>
      </c>
      <c r="I2860" s="21"/>
      <c r="J2860" s="25"/>
      <c r="K2860" s="26" t="s">
        <v>44</v>
      </c>
      <c r="L2860" s="16"/>
      <c r="M2860" s="21"/>
    </row>
    <row r="2861">
      <c r="A2861" s="28">
        <v>46232.0</v>
      </c>
      <c r="B2861" s="16" t="s">
        <v>11239</v>
      </c>
      <c r="C2861" s="20" t="s">
        <v>11240</v>
      </c>
      <c r="D2861" s="21"/>
      <c r="E2861" s="22" t="s">
        <v>11241</v>
      </c>
      <c r="H2861" s="23" t="s">
        <v>1335</v>
      </c>
      <c r="I2861" s="21"/>
      <c r="J2861" s="25"/>
      <c r="K2861" s="26" t="s">
        <v>44</v>
      </c>
      <c r="L2861" s="16"/>
      <c r="M2861" s="21"/>
    </row>
    <row r="2862">
      <c r="A2862" s="28">
        <v>46232.0</v>
      </c>
      <c r="B2862" s="16" t="s">
        <v>11242</v>
      </c>
      <c r="C2862" s="20" t="s">
        <v>11243</v>
      </c>
      <c r="D2862" s="21"/>
      <c r="E2862" s="22" t="s">
        <v>11244</v>
      </c>
      <c r="H2862" s="23" t="s">
        <v>148</v>
      </c>
      <c r="I2862" s="21"/>
      <c r="J2862" s="25"/>
      <c r="K2862" s="26" t="s">
        <v>44</v>
      </c>
      <c r="L2862" s="16"/>
      <c r="M2862" s="21"/>
    </row>
    <row r="2863">
      <c r="A2863" s="28">
        <v>46232.0</v>
      </c>
      <c r="B2863" s="16" t="s">
        <v>11245</v>
      </c>
      <c r="C2863" s="20" t="s">
        <v>11246</v>
      </c>
      <c r="D2863" s="21"/>
      <c r="E2863" s="22" t="s">
        <v>11247</v>
      </c>
      <c r="H2863" s="23" t="s">
        <v>6683</v>
      </c>
      <c r="I2863" s="21"/>
      <c r="J2863" s="25"/>
      <c r="K2863" s="26" t="s">
        <v>44</v>
      </c>
      <c r="L2863" s="16"/>
      <c r="M2863" s="21"/>
    </row>
    <row r="2864">
      <c r="A2864" s="28">
        <v>46232.0</v>
      </c>
      <c r="B2864" s="16" t="s">
        <v>11248</v>
      </c>
      <c r="C2864" s="20" t="s">
        <v>11249</v>
      </c>
      <c r="D2864" s="21"/>
      <c r="E2864" s="22" t="s">
        <v>11250</v>
      </c>
      <c r="H2864" s="23" t="s">
        <v>11251</v>
      </c>
      <c r="I2864" s="21"/>
      <c r="J2864" s="25"/>
      <c r="K2864" s="26" t="s">
        <v>44</v>
      </c>
      <c r="L2864" s="16"/>
      <c r="M2864" s="21"/>
    </row>
    <row r="2865">
      <c r="A2865" s="28">
        <v>46232.0</v>
      </c>
      <c r="B2865" s="16" t="s">
        <v>11252</v>
      </c>
      <c r="C2865" s="20" t="s">
        <v>11253</v>
      </c>
      <c r="D2865" s="21"/>
      <c r="E2865" s="22" t="s">
        <v>11254</v>
      </c>
      <c r="H2865" s="23" t="s">
        <v>1967</v>
      </c>
      <c r="I2865" s="21"/>
      <c r="J2865" s="25"/>
      <c r="K2865" s="26" t="s">
        <v>44</v>
      </c>
      <c r="L2865" s="16"/>
      <c r="M2865" s="21"/>
    </row>
    <row r="2866">
      <c r="A2866" s="28">
        <v>46232.0</v>
      </c>
      <c r="B2866" s="16" t="s">
        <v>11255</v>
      </c>
      <c r="C2866" s="20" t="s">
        <v>11256</v>
      </c>
      <c r="D2866" s="21"/>
      <c r="E2866" s="22" t="s">
        <v>11257</v>
      </c>
      <c r="H2866" s="23" t="s">
        <v>8836</v>
      </c>
      <c r="I2866" s="21"/>
      <c r="J2866" s="25"/>
      <c r="K2866" s="26" t="s">
        <v>44</v>
      </c>
      <c r="L2866" s="16"/>
      <c r="M2866" s="21"/>
    </row>
    <row r="2867">
      <c r="A2867" s="28">
        <v>46232.0</v>
      </c>
      <c r="B2867" s="16" t="s">
        <v>11258</v>
      </c>
      <c r="C2867" s="20" t="s">
        <v>11259</v>
      </c>
      <c r="D2867" s="21"/>
      <c r="E2867" s="22" t="s">
        <v>11260</v>
      </c>
      <c r="H2867" s="23" t="s">
        <v>1141</v>
      </c>
      <c r="I2867" s="21"/>
      <c r="J2867" s="25"/>
      <c r="K2867" s="26" t="s">
        <v>44</v>
      </c>
      <c r="L2867" s="16"/>
      <c r="M2867" s="21"/>
    </row>
    <row r="2868">
      <c r="A2868" s="28">
        <v>46232.0</v>
      </c>
      <c r="B2868" s="16" t="s">
        <v>11261</v>
      </c>
      <c r="C2868" s="20" t="s">
        <v>11262</v>
      </c>
      <c r="D2868" s="21"/>
      <c r="E2868" s="22" t="s">
        <v>11263</v>
      </c>
      <c r="H2868" s="23" t="s">
        <v>148</v>
      </c>
      <c r="I2868" s="21"/>
      <c r="J2868" s="25"/>
      <c r="K2868" s="26" t="s">
        <v>44</v>
      </c>
      <c r="L2868" s="16"/>
      <c r="M2868" s="21"/>
    </row>
    <row r="2869">
      <c r="A2869" s="28">
        <v>46232.0</v>
      </c>
      <c r="B2869" s="16" t="s">
        <v>11264</v>
      </c>
      <c r="C2869" s="20" t="s">
        <v>11265</v>
      </c>
      <c r="D2869" s="21"/>
      <c r="E2869" s="22" t="s">
        <v>11266</v>
      </c>
      <c r="H2869" s="23" t="s">
        <v>11267</v>
      </c>
      <c r="I2869" s="21"/>
      <c r="J2869" s="25"/>
      <c r="K2869" s="26" t="s">
        <v>44</v>
      </c>
      <c r="L2869" s="16"/>
      <c r="M2869" s="21"/>
    </row>
    <row r="2870">
      <c r="A2870" s="28">
        <v>46232.0</v>
      </c>
      <c r="B2870" s="16" t="s">
        <v>11268</v>
      </c>
      <c r="C2870" s="20" t="s">
        <v>11269</v>
      </c>
      <c r="D2870" s="21"/>
      <c r="E2870" s="22" t="s">
        <v>11270</v>
      </c>
      <c r="H2870" s="23" t="s">
        <v>11271</v>
      </c>
      <c r="I2870" s="21"/>
      <c r="J2870" s="25"/>
      <c r="K2870" s="26" t="s">
        <v>44</v>
      </c>
      <c r="L2870" s="16"/>
      <c r="M2870" s="21"/>
    </row>
    <row r="2871">
      <c r="A2871" s="28">
        <v>46232.0</v>
      </c>
      <c r="B2871" s="16" t="s">
        <v>11272</v>
      </c>
      <c r="C2871" s="20" t="s">
        <v>11273</v>
      </c>
      <c r="D2871" s="21"/>
      <c r="E2871" s="22" t="s">
        <v>11274</v>
      </c>
      <c r="H2871" s="23" t="s">
        <v>148</v>
      </c>
      <c r="I2871" s="21"/>
      <c r="J2871" s="25"/>
      <c r="K2871" s="26" t="s">
        <v>44</v>
      </c>
      <c r="L2871" s="16"/>
      <c r="M2871" s="21"/>
    </row>
    <row r="2872">
      <c r="A2872" s="28">
        <v>46232.0</v>
      </c>
      <c r="B2872" s="16" t="s">
        <v>11275</v>
      </c>
      <c r="C2872" s="20" t="s">
        <v>11276</v>
      </c>
      <c r="D2872" s="21"/>
      <c r="E2872" s="22" t="s">
        <v>11277</v>
      </c>
      <c r="H2872" s="23" t="s">
        <v>11278</v>
      </c>
      <c r="I2872" s="21"/>
      <c r="J2872" s="25"/>
      <c r="K2872" s="26" t="s">
        <v>44</v>
      </c>
      <c r="L2872" s="16"/>
      <c r="M2872" s="21"/>
    </row>
    <row r="2873">
      <c r="A2873" s="28">
        <v>46232.0</v>
      </c>
      <c r="B2873" s="16" t="s">
        <v>11279</v>
      </c>
      <c r="C2873" s="20" t="s">
        <v>11280</v>
      </c>
      <c r="D2873" s="21"/>
      <c r="E2873" s="22" t="s">
        <v>11281</v>
      </c>
      <c r="H2873" s="23" t="s">
        <v>57</v>
      </c>
      <c r="I2873" s="21"/>
      <c r="J2873" s="25"/>
      <c r="K2873" s="26" t="s">
        <v>44</v>
      </c>
      <c r="L2873" s="16"/>
      <c r="M2873" s="21"/>
    </row>
    <row r="2874">
      <c r="A2874" s="28">
        <v>46232.0</v>
      </c>
      <c r="B2874" s="16" t="s">
        <v>11282</v>
      </c>
      <c r="C2874" s="20" t="s">
        <v>11283</v>
      </c>
      <c r="D2874" s="21"/>
      <c r="E2874" s="22" t="s">
        <v>11284</v>
      </c>
      <c r="H2874" s="23" t="s">
        <v>5067</v>
      </c>
      <c r="I2874" s="21"/>
      <c r="J2874" s="25"/>
      <c r="K2874" s="26" t="s">
        <v>44</v>
      </c>
      <c r="L2874" s="16"/>
      <c r="M2874" s="21"/>
    </row>
    <row r="2875">
      <c r="A2875" s="28">
        <v>46232.0</v>
      </c>
      <c r="B2875" s="16" t="s">
        <v>11285</v>
      </c>
      <c r="C2875" s="20" t="s">
        <v>11286</v>
      </c>
      <c r="D2875" s="21"/>
      <c r="E2875" s="22" t="s">
        <v>11287</v>
      </c>
      <c r="H2875" s="23" t="s">
        <v>11288</v>
      </c>
      <c r="I2875" s="21"/>
      <c r="J2875" s="25"/>
      <c r="K2875" s="26" t="s">
        <v>44</v>
      </c>
      <c r="L2875" s="16"/>
      <c r="M2875" s="21"/>
    </row>
    <row r="2876">
      <c r="A2876" s="28">
        <v>46232.0</v>
      </c>
      <c r="B2876" s="16" t="s">
        <v>11289</v>
      </c>
      <c r="C2876" s="20" t="s">
        <v>11290</v>
      </c>
      <c r="D2876" s="21"/>
      <c r="E2876" s="22" t="s">
        <v>11291</v>
      </c>
      <c r="H2876" s="23" t="s">
        <v>11292</v>
      </c>
      <c r="I2876" s="21"/>
      <c r="J2876" s="25"/>
      <c r="K2876" s="26" t="s">
        <v>44</v>
      </c>
      <c r="L2876" s="16"/>
      <c r="M2876" s="21"/>
    </row>
    <row r="2877">
      <c r="A2877" s="28">
        <v>46232.0</v>
      </c>
      <c r="B2877" s="16" t="s">
        <v>11293</v>
      </c>
      <c r="C2877" s="20" t="s">
        <v>11294</v>
      </c>
      <c r="D2877" s="21"/>
      <c r="E2877" s="22" t="s">
        <v>11295</v>
      </c>
      <c r="H2877" s="23" t="s">
        <v>11296</v>
      </c>
      <c r="I2877" s="21"/>
      <c r="J2877" s="25"/>
      <c r="K2877" s="26" t="s">
        <v>44</v>
      </c>
      <c r="L2877" s="16"/>
      <c r="M2877" s="21"/>
    </row>
    <row r="2878">
      <c r="A2878" s="28">
        <v>46232.0</v>
      </c>
      <c r="B2878" s="16" t="s">
        <v>11297</v>
      </c>
      <c r="C2878" s="20" t="s">
        <v>11298</v>
      </c>
      <c r="D2878" s="21"/>
      <c r="E2878" s="22" t="s">
        <v>11299</v>
      </c>
      <c r="H2878" s="23" t="s">
        <v>11300</v>
      </c>
      <c r="I2878" s="21"/>
      <c r="J2878" s="25"/>
      <c r="K2878" s="26" t="s">
        <v>44</v>
      </c>
      <c r="L2878" s="16"/>
      <c r="M2878" s="21"/>
    </row>
    <row r="2879">
      <c r="A2879" s="28">
        <v>46232.0</v>
      </c>
      <c r="B2879" s="16" t="s">
        <v>11301</v>
      </c>
      <c r="C2879" s="20" t="s">
        <v>11302</v>
      </c>
      <c r="D2879" s="21"/>
      <c r="E2879" s="22" t="s">
        <v>11303</v>
      </c>
      <c r="H2879" s="23" t="s">
        <v>11304</v>
      </c>
      <c r="I2879" s="21"/>
      <c r="J2879" s="25"/>
      <c r="K2879" s="26" t="s">
        <v>44</v>
      </c>
      <c r="L2879" s="16"/>
      <c r="M2879" s="21"/>
    </row>
    <row r="2880">
      <c r="A2880" s="28">
        <v>46232.0</v>
      </c>
      <c r="B2880" s="16" t="s">
        <v>11305</v>
      </c>
      <c r="C2880" s="20" t="s">
        <v>11306</v>
      </c>
      <c r="D2880" s="21"/>
      <c r="E2880" s="22" t="s">
        <v>11307</v>
      </c>
      <c r="H2880" s="23" t="s">
        <v>1742</v>
      </c>
      <c r="I2880" s="21"/>
      <c r="J2880" s="25"/>
      <c r="K2880" s="26" t="s">
        <v>44</v>
      </c>
      <c r="L2880" s="16"/>
      <c r="M2880" s="21"/>
    </row>
    <row r="2881">
      <c r="A2881" s="28">
        <v>46232.0</v>
      </c>
      <c r="B2881" s="16" t="s">
        <v>11308</v>
      </c>
      <c r="C2881" s="20" t="s">
        <v>11309</v>
      </c>
      <c r="D2881" s="21"/>
      <c r="E2881" s="22" t="s">
        <v>11310</v>
      </c>
      <c r="H2881" s="23" t="s">
        <v>11311</v>
      </c>
      <c r="I2881" s="21"/>
      <c r="J2881" s="25"/>
      <c r="K2881" s="26" t="s">
        <v>44</v>
      </c>
      <c r="L2881" s="16"/>
      <c r="M2881" s="21"/>
    </row>
    <row r="2882">
      <c r="A2882" s="28">
        <v>46232.0</v>
      </c>
      <c r="B2882" s="16" t="s">
        <v>11312</v>
      </c>
      <c r="C2882" s="20" t="s">
        <v>11313</v>
      </c>
      <c r="D2882" s="21"/>
      <c r="E2882" s="22" t="s">
        <v>11314</v>
      </c>
      <c r="H2882" s="23" t="s">
        <v>1250</v>
      </c>
      <c r="I2882" s="21"/>
      <c r="J2882" s="25"/>
      <c r="K2882" s="26" t="s">
        <v>44</v>
      </c>
      <c r="L2882" s="16"/>
      <c r="M2882" s="21"/>
    </row>
    <row r="2883">
      <c r="A2883" s="28">
        <v>46232.0</v>
      </c>
      <c r="B2883" s="16" t="s">
        <v>11315</v>
      </c>
      <c r="C2883" s="20" t="s">
        <v>11316</v>
      </c>
      <c r="D2883" s="21"/>
      <c r="E2883" s="22" t="s">
        <v>11317</v>
      </c>
      <c r="H2883" s="23" t="s">
        <v>57</v>
      </c>
      <c r="I2883" s="21"/>
      <c r="J2883" s="25"/>
      <c r="K2883" s="26" t="s">
        <v>44</v>
      </c>
      <c r="L2883" s="16"/>
      <c r="M2883" s="21"/>
    </row>
    <row r="2884">
      <c r="A2884" s="28">
        <v>46232.0</v>
      </c>
      <c r="B2884" s="16" t="s">
        <v>11318</v>
      </c>
      <c r="C2884" s="20" t="s">
        <v>11319</v>
      </c>
      <c r="D2884" s="21"/>
      <c r="E2884" s="22" t="s">
        <v>11320</v>
      </c>
      <c r="H2884" s="23" t="s">
        <v>800</v>
      </c>
      <c r="I2884" s="21"/>
      <c r="J2884" s="25"/>
      <c r="K2884" s="26" t="s">
        <v>44</v>
      </c>
      <c r="L2884" s="16"/>
      <c r="M2884" s="21"/>
    </row>
    <row r="2885">
      <c r="A2885" s="28">
        <v>46232.0</v>
      </c>
      <c r="B2885" s="16" t="s">
        <v>11321</v>
      </c>
      <c r="C2885" s="20" t="s">
        <v>11322</v>
      </c>
      <c r="D2885" s="21"/>
      <c r="E2885" s="22" t="s">
        <v>11323</v>
      </c>
      <c r="H2885" s="23" t="s">
        <v>11324</v>
      </c>
      <c r="I2885" s="21"/>
      <c r="J2885" s="25"/>
      <c r="K2885" s="26" t="s">
        <v>44</v>
      </c>
      <c r="L2885" s="16"/>
      <c r="M2885" s="21"/>
    </row>
    <row r="2886">
      <c r="A2886" s="28">
        <v>46232.0</v>
      </c>
      <c r="B2886" s="16" t="s">
        <v>11325</v>
      </c>
      <c r="C2886" s="20" t="s">
        <v>11326</v>
      </c>
      <c r="D2886" s="21"/>
      <c r="E2886" s="22" t="s">
        <v>11327</v>
      </c>
      <c r="H2886" s="23" t="s">
        <v>11328</v>
      </c>
      <c r="I2886" s="21"/>
      <c r="J2886" s="25"/>
      <c r="K2886" s="26" t="s">
        <v>44</v>
      </c>
      <c r="L2886" s="16"/>
      <c r="M2886" s="21"/>
    </row>
    <row r="2887">
      <c r="A2887" s="28">
        <v>46232.0</v>
      </c>
      <c r="B2887" s="16" t="s">
        <v>11329</v>
      </c>
      <c r="C2887" s="20" t="s">
        <v>11330</v>
      </c>
      <c r="D2887" s="21"/>
      <c r="E2887" s="22" t="s">
        <v>11331</v>
      </c>
      <c r="H2887" s="23" t="s">
        <v>11332</v>
      </c>
      <c r="I2887" s="21"/>
      <c r="J2887" s="25"/>
      <c r="K2887" s="26" t="s">
        <v>44</v>
      </c>
      <c r="L2887" s="16"/>
      <c r="M2887" s="21"/>
    </row>
    <row r="2888">
      <c r="A2888" s="28">
        <v>46232.0</v>
      </c>
      <c r="B2888" s="16" t="s">
        <v>11333</v>
      </c>
      <c r="C2888" s="20" t="s">
        <v>11334</v>
      </c>
      <c r="D2888" s="21"/>
      <c r="E2888" s="22" t="s">
        <v>11335</v>
      </c>
      <c r="H2888" s="23" t="s">
        <v>487</v>
      </c>
      <c r="I2888" s="21"/>
      <c r="J2888" s="25"/>
      <c r="K2888" s="26" t="s">
        <v>44</v>
      </c>
      <c r="L2888" s="16"/>
      <c r="M2888" s="21"/>
    </row>
    <row r="2889">
      <c r="A2889" s="28">
        <v>46232.0</v>
      </c>
      <c r="B2889" s="16" t="s">
        <v>11336</v>
      </c>
      <c r="C2889" s="20" t="s">
        <v>11337</v>
      </c>
      <c r="D2889" s="21"/>
      <c r="E2889" s="22" t="s">
        <v>11338</v>
      </c>
      <c r="H2889" s="23" t="s">
        <v>1016</v>
      </c>
      <c r="I2889" s="21"/>
      <c r="J2889" s="25"/>
      <c r="K2889" s="26" t="s">
        <v>44</v>
      </c>
      <c r="L2889" s="16"/>
      <c r="M2889" s="21"/>
    </row>
    <row r="2890">
      <c r="A2890" s="28">
        <v>46232.0</v>
      </c>
      <c r="B2890" s="16" t="s">
        <v>11339</v>
      </c>
      <c r="C2890" s="20" t="s">
        <v>11340</v>
      </c>
      <c r="D2890" s="21"/>
      <c r="E2890" s="22" t="s">
        <v>11341</v>
      </c>
      <c r="H2890" s="23" t="s">
        <v>4722</v>
      </c>
      <c r="I2890" s="21"/>
      <c r="J2890" s="25"/>
      <c r="K2890" s="26" t="s">
        <v>44</v>
      </c>
      <c r="L2890" s="16"/>
      <c r="M2890" s="21"/>
    </row>
    <row r="2891">
      <c r="A2891" s="28">
        <v>46232.0</v>
      </c>
      <c r="B2891" s="16" t="s">
        <v>11342</v>
      </c>
      <c r="C2891" s="20" t="s">
        <v>11343</v>
      </c>
      <c r="D2891" s="21"/>
      <c r="E2891" s="22" t="s">
        <v>11344</v>
      </c>
      <c r="H2891" s="23" t="s">
        <v>11345</v>
      </c>
      <c r="I2891" s="21"/>
      <c r="J2891" s="25"/>
      <c r="K2891" s="26" t="s">
        <v>44</v>
      </c>
      <c r="L2891" s="16"/>
      <c r="M2891" s="21"/>
    </row>
    <row r="2892">
      <c r="A2892" s="28">
        <v>46232.0</v>
      </c>
      <c r="B2892" s="16" t="s">
        <v>11346</v>
      </c>
      <c r="C2892" s="20" t="s">
        <v>11347</v>
      </c>
      <c r="D2892" s="21"/>
      <c r="E2892" s="22" t="s">
        <v>11348</v>
      </c>
      <c r="H2892" s="23" t="s">
        <v>11349</v>
      </c>
      <c r="I2892" s="21"/>
      <c r="J2892" s="25"/>
      <c r="K2892" s="26" t="s">
        <v>44</v>
      </c>
      <c r="L2892" s="16"/>
      <c r="M2892" s="21"/>
    </row>
    <row r="2893">
      <c r="A2893" s="28">
        <v>46232.0</v>
      </c>
      <c r="B2893" s="16" t="s">
        <v>11350</v>
      </c>
      <c r="C2893" s="20" t="s">
        <v>11351</v>
      </c>
      <c r="D2893" s="21"/>
      <c r="E2893" s="22" t="s">
        <v>11352</v>
      </c>
      <c r="H2893" s="23" t="s">
        <v>1967</v>
      </c>
      <c r="I2893" s="21"/>
      <c r="J2893" s="25"/>
      <c r="K2893" s="26" t="s">
        <v>44</v>
      </c>
      <c r="L2893" s="16"/>
      <c r="M2893" s="21"/>
    </row>
    <row r="2894">
      <c r="A2894" s="28">
        <v>46232.0</v>
      </c>
      <c r="B2894" s="16" t="s">
        <v>11353</v>
      </c>
      <c r="C2894" s="20" t="s">
        <v>11354</v>
      </c>
      <c r="D2894" s="21"/>
      <c r="E2894" s="22" t="s">
        <v>11355</v>
      </c>
      <c r="H2894" s="23" t="s">
        <v>11130</v>
      </c>
      <c r="I2894" s="21"/>
      <c r="J2894" s="25"/>
      <c r="K2894" s="26" t="s">
        <v>44</v>
      </c>
      <c r="L2894" s="16"/>
      <c r="M2894" s="21"/>
    </row>
    <row r="2895">
      <c r="A2895" s="28">
        <v>46232.0</v>
      </c>
      <c r="B2895" s="16" t="s">
        <v>11356</v>
      </c>
      <c r="C2895" s="20" t="s">
        <v>11357</v>
      </c>
      <c r="D2895" s="21"/>
      <c r="E2895" s="22" t="s">
        <v>11358</v>
      </c>
      <c r="H2895" s="23" t="s">
        <v>11359</v>
      </c>
      <c r="I2895" s="21"/>
      <c r="J2895" s="25"/>
      <c r="K2895" s="26" t="s">
        <v>44</v>
      </c>
      <c r="L2895" s="16"/>
      <c r="M2895" s="21"/>
    </row>
    <row r="2896">
      <c r="A2896" s="28">
        <v>46232.0</v>
      </c>
      <c r="B2896" s="16" t="s">
        <v>11360</v>
      </c>
      <c r="C2896" s="20" t="s">
        <v>11361</v>
      </c>
      <c r="D2896" s="21"/>
      <c r="E2896" s="22" t="s">
        <v>11362</v>
      </c>
      <c r="H2896" s="23" t="s">
        <v>1978</v>
      </c>
      <c r="I2896" s="21"/>
      <c r="J2896" s="25"/>
      <c r="K2896" s="26" t="s">
        <v>44</v>
      </c>
      <c r="L2896" s="16"/>
      <c r="M2896" s="21"/>
    </row>
    <row r="2897">
      <c r="A2897" s="28">
        <v>46232.0</v>
      </c>
      <c r="B2897" s="16" t="s">
        <v>11363</v>
      </c>
      <c r="C2897" s="46" t="s">
        <v>11364</v>
      </c>
      <c r="D2897" s="21"/>
      <c r="E2897" s="22" t="s">
        <v>11365</v>
      </c>
      <c r="H2897" s="23" t="s">
        <v>8836</v>
      </c>
      <c r="I2897" s="21"/>
      <c r="J2897" s="25"/>
      <c r="K2897" s="26" t="s">
        <v>44</v>
      </c>
      <c r="L2897" s="16"/>
      <c r="M2897" s="21"/>
    </row>
    <row r="2898">
      <c r="A2898" s="28">
        <v>46232.0</v>
      </c>
      <c r="B2898" s="16" t="s">
        <v>11366</v>
      </c>
      <c r="C2898" s="20" t="s">
        <v>11367</v>
      </c>
      <c r="D2898" s="21"/>
      <c r="E2898" s="22" t="s">
        <v>11368</v>
      </c>
      <c r="H2898" s="23" t="s">
        <v>2920</v>
      </c>
      <c r="I2898" s="21"/>
      <c r="J2898" s="25"/>
      <c r="K2898" s="26" t="s">
        <v>44</v>
      </c>
      <c r="L2898" s="16"/>
      <c r="M2898" s="21"/>
    </row>
    <row r="2899">
      <c r="A2899" s="28">
        <v>46232.0</v>
      </c>
      <c r="B2899" s="16" t="s">
        <v>11369</v>
      </c>
      <c r="C2899" s="20" t="s">
        <v>11370</v>
      </c>
      <c r="D2899" s="21"/>
      <c r="E2899" s="22" t="s">
        <v>11371</v>
      </c>
      <c r="H2899" s="23" t="s">
        <v>11372</v>
      </c>
      <c r="I2899" s="21"/>
      <c r="J2899" s="25"/>
      <c r="K2899" s="26" t="s">
        <v>44</v>
      </c>
      <c r="L2899" s="16"/>
      <c r="M2899" s="21"/>
    </row>
    <row r="2900">
      <c r="A2900" s="28">
        <v>46232.0</v>
      </c>
      <c r="B2900" s="16" t="s">
        <v>11373</v>
      </c>
      <c r="C2900" s="20" t="s">
        <v>11374</v>
      </c>
      <c r="D2900" s="21"/>
      <c r="E2900" s="22" t="s">
        <v>11375</v>
      </c>
      <c r="H2900" s="23" t="s">
        <v>487</v>
      </c>
      <c r="I2900" s="21"/>
      <c r="J2900" s="25"/>
      <c r="K2900" s="26" t="s">
        <v>44</v>
      </c>
      <c r="L2900" s="16"/>
      <c r="M2900" s="21"/>
    </row>
    <row r="2901">
      <c r="A2901" s="28">
        <v>46232.0</v>
      </c>
      <c r="B2901" s="16" t="s">
        <v>11376</v>
      </c>
      <c r="C2901" s="46" t="s">
        <v>11377</v>
      </c>
      <c r="D2901" s="21"/>
      <c r="E2901" s="22" t="s">
        <v>11378</v>
      </c>
      <c r="H2901" s="23" t="s">
        <v>2549</v>
      </c>
      <c r="I2901" s="21"/>
      <c r="J2901" s="25"/>
      <c r="K2901" s="26" t="s">
        <v>44</v>
      </c>
      <c r="L2901" s="16"/>
      <c r="M2901" s="21"/>
    </row>
    <row r="2902">
      <c r="A2902" s="28">
        <v>46232.0</v>
      </c>
      <c r="B2902" s="16" t="s">
        <v>11379</v>
      </c>
      <c r="C2902" s="20" t="s">
        <v>11380</v>
      </c>
      <c r="D2902" s="21"/>
      <c r="E2902" s="22" t="s">
        <v>11381</v>
      </c>
      <c r="H2902" s="23" t="s">
        <v>11382</v>
      </c>
      <c r="I2902" s="21"/>
      <c r="J2902" s="25"/>
      <c r="K2902" s="26" t="s">
        <v>44</v>
      </c>
      <c r="L2902" s="16"/>
      <c r="M2902" s="21"/>
    </row>
    <row r="2903">
      <c r="A2903" s="28">
        <v>46232.0</v>
      </c>
      <c r="B2903" s="16" t="s">
        <v>11383</v>
      </c>
      <c r="C2903" s="20" t="s">
        <v>11384</v>
      </c>
      <c r="D2903" s="21"/>
      <c r="E2903" s="22" t="s">
        <v>11385</v>
      </c>
      <c r="H2903" s="23" t="s">
        <v>2549</v>
      </c>
      <c r="I2903" s="21"/>
      <c r="J2903" s="25"/>
      <c r="K2903" s="26" t="s">
        <v>44</v>
      </c>
      <c r="L2903" s="16"/>
      <c r="M2903" s="21"/>
    </row>
    <row r="2904">
      <c r="A2904" s="28">
        <v>46232.0</v>
      </c>
      <c r="B2904" s="16" t="s">
        <v>11386</v>
      </c>
      <c r="C2904" s="20" t="s">
        <v>11387</v>
      </c>
      <c r="D2904" s="21"/>
      <c r="E2904" s="22" t="s">
        <v>11388</v>
      </c>
      <c r="H2904" s="23" t="s">
        <v>2920</v>
      </c>
      <c r="I2904" s="21"/>
      <c r="J2904" s="25"/>
      <c r="K2904" s="26" t="s">
        <v>44</v>
      </c>
      <c r="L2904" s="16"/>
      <c r="M2904" s="21"/>
    </row>
    <row r="2905">
      <c r="A2905" s="28">
        <v>46232.0</v>
      </c>
      <c r="B2905" s="16" t="s">
        <v>11389</v>
      </c>
      <c r="C2905" s="20" t="s">
        <v>11390</v>
      </c>
      <c r="D2905" s="21"/>
      <c r="E2905" s="22" t="s">
        <v>11391</v>
      </c>
      <c r="H2905" s="23" t="s">
        <v>4882</v>
      </c>
      <c r="I2905" s="21"/>
      <c r="J2905" s="25"/>
      <c r="K2905" s="26" t="s">
        <v>44</v>
      </c>
      <c r="L2905" s="16"/>
      <c r="M2905" s="21"/>
    </row>
    <row r="2906">
      <c r="A2906" s="28">
        <v>46232.0</v>
      </c>
      <c r="B2906" s="16" t="s">
        <v>11392</v>
      </c>
      <c r="C2906" s="20" t="s">
        <v>11393</v>
      </c>
      <c r="D2906" s="21"/>
      <c r="E2906" s="22" t="s">
        <v>11394</v>
      </c>
      <c r="H2906" s="23" t="s">
        <v>11395</v>
      </c>
      <c r="I2906" s="21"/>
      <c r="J2906" s="25"/>
      <c r="K2906" s="26" t="s">
        <v>44</v>
      </c>
      <c r="L2906" s="16"/>
      <c r="M2906" s="21"/>
    </row>
    <row r="2907">
      <c r="A2907" s="28">
        <v>46232.0</v>
      </c>
      <c r="B2907" s="16" t="s">
        <v>11396</v>
      </c>
      <c r="C2907" s="20" t="s">
        <v>11397</v>
      </c>
      <c r="D2907" s="21"/>
      <c r="E2907" s="22" t="s">
        <v>11398</v>
      </c>
      <c r="H2907" s="23" t="s">
        <v>2549</v>
      </c>
      <c r="I2907" s="21"/>
      <c r="J2907" s="25"/>
      <c r="K2907" s="26" t="s">
        <v>44</v>
      </c>
      <c r="L2907" s="16"/>
      <c r="M2907" s="21"/>
    </row>
    <row r="2908">
      <c r="A2908" s="28">
        <v>46232.0</v>
      </c>
      <c r="B2908" s="16" t="s">
        <v>11399</v>
      </c>
      <c r="C2908" s="20" t="s">
        <v>11400</v>
      </c>
      <c r="D2908" s="21"/>
      <c r="E2908" s="22" t="s">
        <v>11401</v>
      </c>
      <c r="H2908" s="23" t="s">
        <v>47</v>
      </c>
      <c r="I2908" s="21"/>
      <c r="J2908" s="25"/>
      <c r="K2908" s="26" t="s">
        <v>44</v>
      </c>
      <c r="L2908" s="16"/>
      <c r="M2908" s="21"/>
    </row>
    <row r="2909">
      <c r="A2909" s="28">
        <v>46232.0</v>
      </c>
      <c r="B2909" s="16" t="s">
        <v>11402</v>
      </c>
      <c r="C2909" s="20" t="s">
        <v>11403</v>
      </c>
      <c r="D2909" s="21"/>
      <c r="E2909" s="22" t="s">
        <v>11404</v>
      </c>
      <c r="H2909" s="23" t="s">
        <v>1742</v>
      </c>
      <c r="I2909" s="21"/>
      <c r="J2909" s="25"/>
      <c r="K2909" s="26" t="s">
        <v>44</v>
      </c>
      <c r="L2909" s="16"/>
      <c r="M2909" s="21"/>
    </row>
    <row r="2910">
      <c r="A2910" s="28">
        <v>46232.0</v>
      </c>
      <c r="B2910" s="16" t="s">
        <v>11405</v>
      </c>
      <c r="C2910" s="20" t="s">
        <v>11406</v>
      </c>
      <c r="D2910" s="21"/>
      <c r="E2910" s="22" t="s">
        <v>11407</v>
      </c>
      <c r="H2910" s="23" t="s">
        <v>5649</v>
      </c>
      <c r="I2910" s="21"/>
      <c r="J2910" s="25"/>
      <c r="K2910" s="26" t="s">
        <v>44</v>
      </c>
      <c r="L2910" s="16"/>
      <c r="M2910" s="21"/>
    </row>
    <row r="2911">
      <c r="A2911" s="28">
        <v>46232.0</v>
      </c>
      <c r="B2911" s="16" t="s">
        <v>11408</v>
      </c>
      <c r="C2911" s="20" t="s">
        <v>11409</v>
      </c>
      <c r="D2911" s="21"/>
      <c r="E2911" s="22" t="s">
        <v>11410</v>
      </c>
      <c r="H2911" s="23" t="s">
        <v>1619</v>
      </c>
      <c r="I2911" s="21"/>
      <c r="J2911" s="25"/>
      <c r="K2911" s="26" t="s">
        <v>44</v>
      </c>
      <c r="L2911" s="16"/>
      <c r="M2911" s="21"/>
    </row>
    <row r="2912">
      <c r="A2912" s="28">
        <v>46232.0</v>
      </c>
      <c r="B2912" s="16" t="s">
        <v>11411</v>
      </c>
      <c r="C2912" s="20" t="s">
        <v>11412</v>
      </c>
      <c r="D2912" s="21"/>
      <c r="E2912" s="22" t="s">
        <v>11413</v>
      </c>
      <c r="H2912" s="23" t="s">
        <v>2549</v>
      </c>
      <c r="I2912" s="21"/>
      <c r="J2912" s="25"/>
      <c r="K2912" s="26" t="s">
        <v>44</v>
      </c>
      <c r="L2912" s="16"/>
      <c r="M2912" s="21"/>
    </row>
    <row r="2913">
      <c r="A2913" s="28">
        <v>46232.0</v>
      </c>
      <c r="B2913" s="16" t="s">
        <v>11414</v>
      </c>
      <c r="C2913" s="20" t="s">
        <v>11415</v>
      </c>
      <c r="D2913" s="21"/>
      <c r="E2913" s="22" t="s">
        <v>11416</v>
      </c>
      <c r="H2913" s="23" t="s">
        <v>48</v>
      </c>
      <c r="I2913" s="21"/>
      <c r="J2913" s="25"/>
      <c r="K2913" s="26" t="s">
        <v>44</v>
      </c>
      <c r="L2913" s="16"/>
      <c r="M2913" s="21"/>
    </row>
    <row r="2914">
      <c r="A2914" s="28">
        <v>46232.0</v>
      </c>
      <c r="B2914" s="16" t="s">
        <v>11417</v>
      </c>
      <c r="C2914" s="20" t="s">
        <v>11418</v>
      </c>
      <c r="D2914" s="21"/>
      <c r="E2914" s="22" t="s">
        <v>11419</v>
      </c>
      <c r="H2914" s="23" t="s">
        <v>2078</v>
      </c>
      <c r="I2914" s="21"/>
      <c r="J2914" s="25"/>
      <c r="K2914" s="26" t="s">
        <v>44</v>
      </c>
      <c r="L2914" s="16"/>
      <c r="M2914" s="21"/>
    </row>
    <row r="2915">
      <c r="A2915" s="28">
        <v>46232.0</v>
      </c>
      <c r="B2915" s="16" t="s">
        <v>11420</v>
      </c>
      <c r="C2915" s="20" t="s">
        <v>11421</v>
      </c>
      <c r="D2915" s="21"/>
      <c r="E2915" s="22" t="s">
        <v>11422</v>
      </c>
      <c r="H2915" s="23" t="s">
        <v>1619</v>
      </c>
      <c r="I2915" s="21"/>
      <c r="J2915" s="25"/>
      <c r="K2915" s="26" t="s">
        <v>44</v>
      </c>
      <c r="L2915" s="16"/>
      <c r="M2915" s="21"/>
    </row>
    <row r="2916">
      <c r="A2916" s="28">
        <v>46232.0</v>
      </c>
      <c r="B2916" s="16" t="s">
        <v>11423</v>
      </c>
      <c r="C2916" s="20" t="s">
        <v>11424</v>
      </c>
      <c r="D2916" s="21"/>
      <c r="E2916" s="22" t="s">
        <v>11425</v>
      </c>
      <c r="H2916" s="23" t="s">
        <v>11426</v>
      </c>
      <c r="I2916" s="21"/>
      <c r="J2916" s="25"/>
      <c r="K2916" s="26" t="s">
        <v>44</v>
      </c>
      <c r="L2916" s="16"/>
      <c r="M2916" s="21"/>
    </row>
    <row r="2917">
      <c r="A2917" s="28">
        <v>46232.0</v>
      </c>
      <c r="B2917" s="16" t="s">
        <v>11427</v>
      </c>
      <c r="C2917" s="20" t="s">
        <v>11428</v>
      </c>
      <c r="D2917" s="21"/>
      <c r="E2917" s="22" t="s">
        <v>11429</v>
      </c>
      <c r="H2917" s="23" t="s">
        <v>148</v>
      </c>
      <c r="I2917" s="21"/>
      <c r="J2917" s="25"/>
      <c r="K2917" s="26" t="s">
        <v>44</v>
      </c>
      <c r="L2917" s="16"/>
      <c r="M2917" s="21"/>
    </row>
    <row r="2918">
      <c r="A2918" s="28">
        <v>46232.0</v>
      </c>
      <c r="B2918" s="16" t="s">
        <v>11430</v>
      </c>
      <c r="C2918" s="20" t="s">
        <v>11431</v>
      </c>
      <c r="D2918" s="21"/>
      <c r="E2918" s="22" t="s">
        <v>11432</v>
      </c>
      <c r="H2918" s="23" t="s">
        <v>751</v>
      </c>
      <c r="I2918" s="21"/>
      <c r="J2918" s="25"/>
      <c r="K2918" s="26" t="s">
        <v>44</v>
      </c>
      <c r="L2918" s="16"/>
      <c r="M2918" s="21"/>
    </row>
    <row r="2919">
      <c r="A2919" s="28">
        <v>46232.0</v>
      </c>
      <c r="B2919" s="16" t="s">
        <v>11433</v>
      </c>
      <c r="C2919" s="20" t="s">
        <v>11434</v>
      </c>
      <c r="D2919" s="21"/>
      <c r="E2919" s="22" t="s">
        <v>11435</v>
      </c>
      <c r="H2919" s="23" t="s">
        <v>2549</v>
      </c>
      <c r="I2919" s="21"/>
      <c r="J2919" s="25"/>
      <c r="K2919" s="26" t="s">
        <v>44</v>
      </c>
      <c r="L2919" s="16"/>
      <c r="M2919" s="21"/>
    </row>
    <row r="2920">
      <c r="A2920" s="28">
        <v>46232.0</v>
      </c>
      <c r="B2920" s="16" t="s">
        <v>11436</v>
      </c>
      <c r="C2920" s="20" t="s">
        <v>11437</v>
      </c>
      <c r="D2920" s="21"/>
      <c r="E2920" s="22" t="s">
        <v>11438</v>
      </c>
      <c r="H2920" s="23" t="s">
        <v>11439</v>
      </c>
      <c r="I2920" s="21"/>
      <c r="J2920" s="25"/>
      <c r="K2920" s="26" t="s">
        <v>44</v>
      </c>
      <c r="L2920" s="16"/>
      <c r="M2920" s="21"/>
    </row>
    <row r="2921">
      <c r="A2921" s="28">
        <v>46232.0</v>
      </c>
      <c r="B2921" s="16" t="s">
        <v>11440</v>
      </c>
      <c r="C2921" s="20" t="s">
        <v>11441</v>
      </c>
      <c r="D2921" s="21"/>
      <c r="E2921" s="22" t="s">
        <v>11442</v>
      </c>
      <c r="H2921" s="23" t="s">
        <v>5473</v>
      </c>
      <c r="I2921" s="21"/>
      <c r="J2921" s="25"/>
      <c r="K2921" s="26" t="s">
        <v>44</v>
      </c>
      <c r="L2921" s="16"/>
      <c r="M2921" s="21"/>
    </row>
    <row r="2922">
      <c r="A2922" s="28">
        <v>46232.0</v>
      </c>
      <c r="B2922" s="16" t="s">
        <v>11443</v>
      </c>
      <c r="C2922" s="20" t="s">
        <v>11444</v>
      </c>
      <c r="D2922" s="21"/>
      <c r="E2922" s="22" t="s">
        <v>11445</v>
      </c>
      <c r="H2922" s="23" t="s">
        <v>1727</v>
      </c>
      <c r="I2922" s="21"/>
      <c r="J2922" s="25"/>
      <c r="K2922" s="26" t="s">
        <v>44</v>
      </c>
      <c r="L2922" s="16"/>
      <c r="M2922" s="21"/>
    </row>
    <row r="2923">
      <c r="A2923" s="28">
        <v>46232.0</v>
      </c>
      <c r="B2923" s="16" t="s">
        <v>11446</v>
      </c>
      <c r="C2923" s="20" t="s">
        <v>11447</v>
      </c>
      <c r="D2923" s="21"/>
      <c r="E2923" s="22" t="s">
        <v>11448</v>
      </c>
      <c r="H2923" s="23" t="s">
        <v>47</v>
      </c>
      <c r="I2923" s="21"/>
      <c r="J2923" s="25"/>
      <c r="K2923" s="26" t="s">
        <v>44</v>
      </c>
      <c r="L2923" s="16"/>
      <c r="M2923" s="21"/>
    </row>
    <row r="2924">
      <c r="A2924" s="28">
        <v>46232.0</v>
      </c>
      <c r="B2924" s="16" t="s">
        <v>11449</v>
      </c>
      <c r="C2924" s="20" t="s">
        <v>11450</v>
      </c>
      <c r="D2924" s="21"/>
      <c r="E2924" s="22" t="s">
        <v>11451</v>
      </c>
      <c r="H2924" s="23" t="s">
        <v>1819</v>
      </c>
      <c r="I2924" s="21"/>
      <c r="J2924" s="25"/>
      <c r="K2924" s="26" t="s">
        <v>44</v>
      </c>
      <c r="L2924" s="16"/>
      <c r="M2924" s="21"/>
    </row>
    <row r="2925">
      <c r="A2925" s="28">
        <v>46232.0</v>
      </c>
      <c r="B2925" s="16" t="s">
        <v>11452</v>
      </c>
      <c r="C2925" s="20" t="s">
        <v>11453</v>
      </c>
      <c r="D2925" s="21"/>
      <c r="E2925" s="22" t="s">
        <v>11454</v>
      </c>
      <c r="H2925" s="23" t="s">
        <v>11455</v>
      </c>
      <c r="I2925" s="21"/>
      <c r="J2925" s="25"/>
      <c r="K2925" s="26" t="s">
        <v>44</v>
      </c>
      <c r="L2925" s="16"/>
      <c r="M2925" s="21"/>
    </row>
    <row r="2926">
      <c r="A2926" s="28">
        <v>46232.0</v>
      </c>
      <c r="B2926" s="16" t="s">
        <v>11456</v>
      </c>
      <c r="C2926" s="20" t="s">
        <v>11457</v>
      </c>
      <c r="D2926" s="21"/>
      <c r="E2926" s="22" t="s">
        <v>11458</v>
      </c>
      <c r="H2926" s="23" t="s">
        <v>2549</v>
      </c>
      <c r="I2926" s="21"/>
      <c r="J2926" s="25"/>
      <c r="K2926" s="26" t="s">
        <v>44</v>
      </c>
      <c r="L2926" s="16"/>
      <c r="M2926" s="21"/>
    </row>
    <row r="2927">
      <c r="A2927" s="28">
        <v>46232.0</v>
      </c>
      <c r="B2927" s="16" t="s">
        <v>11459</v>
      </c>
      <c r="C2927" s="20" t="s">
        <v>11460</v>
      </c>
      <c r="D2927" s="21"/>
      <c r="E2927" s="22" t="s">
        <v>11461</v>
      </c>
      <c r="H2927" s="23" t="s">
        <v>47</v>
      </c>
      <c r="I2927" s="21"/>
      <c r="J2927" s="25"/>
      <c r="K2927" s="26" t="s">
        <v>44</v>
      </c>
      <c r="L2927" s="16"/>
      <c r="M2927" s="21"/>
    </row>
    <row r="2928">
      <c r="A2928" s="28">
        <v>46232.0</v>
      </c>
      <c r="B2928" s="16" t="s">
        <v>11462</v>
      </c>
      <c r="C2928" s="20" t="s">
        <v>11463</v>
      </c>
      <c r="D2928" s="21"/>
      <c r="E2928" s="22" t="s">
        <v>11464</v>
      </c>
      <c r="H2928" s="23" t="s">
        <v>2549</v>
      </c>
      <c r="I2928" s="21"/>
      <c r="J2928" s="25"/>
      <c r="K2928" s="26" t="s">
        <v>44</v>
      </c>
      <c r="L2928" s="16"/>
      <c r="M2928" s="21"/>
    </row>
    <row r="2929">
      <c r="A2929" s="28">
        <v>46232.0</v>
      </c>
      <c r="B2929" s="16" t="s">
        <v>11465</v>
      </c>
      <c r="C2929" s="20" t="s">
        <v>11466</v>
      </c>
      <c r="D2929" s="21"/>
      <c r="E2929" s="22" t="s">
        <v>11467</v>
      </c>
      <c r="H2929" s="23" t="s">
        <v>2549</v>
      </c>
      <c r="I2929" s="21"/>
      <c r="J2929" s="25"/>
      <c r="K2929" s="26" t="s">
        <v>44</v>
      </c>
      <c r="L2929" s="16"/>
      <c r="M2929" s="21"/>
    </row>
    <row r="2930">
      <c r="A2930" s="28">
        <v>46232.0</v>
      </c>
      <c r="B2930" s="16" t="s">
        <v>11468</v>
      </c>
      <c r="C2930" s="46" t="s">
        <v>11469</v>
      </c>
      <c r="D2930" s="21"/>
      <c r="E2930" s="22" t="s">
        <v>11470</v>
      </c>
      <c r="H2930" s="23" t="s">
        <v>2549</v>
      </c>
      <c r="I2930" s="21"/>
      <c r="J2930" s="25"/>
      <c r="K2930" s="26" t="s">
        <v>44</v>
      </c>
      <c r="L2930" s="16"/>
      <c r="M2930" s="21"/>
    </row>
    <row r="2931">
      <c r="A2931" s="28">
        <v>46232.0</v>
      </c>
      <c r="B2931" s="16" t="s">
        <v>11471</v>
      </c>
      <c r="C2931" s="20" t="s">
        <v>11472</v>
      </c>
      <c r="D2931" s="21"/>
      <c r="E2931" s="22" t="s">
        <v>11473</v>
      </c>
      <c r="H2931" s="23" t="s">
        <v>47</v>
      </c>
      <c r="I2931" s="21"/>
      <c r="J2931" s="25"/>
      <c r="K2931" s="26" t="s">
        <v>44</v>
      </c>
      <c r="L2931" s="16"/>
      <c r="M2931" s="21"/>
    </row>
    <row r="2932">
      <c r="A2932" s="28">
        <v>46232.0</v>
      </c>
      <c r="B2932" s="16" t="s">
        <v>11474</v>
      </c>
      <c r="C2932" s="20" t="s">
        <v>11475</v>
      </c>
      <c r="D2932" s="21"/>
      <c r="E2932" s="22" t="s">
        <v>11476</v>
      </c>
      <c r="H2932" s="23" t="s">
        <v>2549</v>
      </c>
      <c r="I2932" s="21"/>
      <c r="J2932" s="25"/>
      <c r="K2932" s="26" t="s">
        <v>44</v>
      </c>
      <c r="L2932" s="16"/>
      <c r="M2932" s="21"/>
    </row>
    <row r="2933">
      <c r="A2933" s="28">
        <v>46232.0</v>
      </c>
      <c r="B2933" s="16" t="s">
        <v>11477</v>
      </c>
      <c r="C2933" s="20" t="s">
        <v>11478</v>
      </c>
      <c r="D2933" s="21"/>
      <c r="E2933" s="41"/>
      <c r="H2933" s="23" t="s">
        <v>47</v>
      </c>
      <c r="I2933" s="21"/>
      <c r="J2933" s="25"/>
      <c r="K2933" s="26" t="s">
        <v>44</v>
      </c>
      <c r="L2933" s="16"/>
      <c r="M2933" s="21"/>
    </row>
    <row r="2934">
      <c r="A2934" s="28">
        <v>46232.0</v>
      </c>
      <c r="B2934" s="16" t="s">
        <v>11479</v>
      </c>
      <c r="C2934" s="20" t="s">
        <v>11480</v>
      </c>
      <c r="D2934" s="21"/>
      <c r="E2934" s="22" t="s">
        <v>11481</v>
      </c>
      <c r="H2934" s="23" t="s">
        <v>47</v>
      </c>
      <c r="I2934" s="21"/>
      <c r="J2934" s="25"/>
      <c r="K2934" s="26" t="s">
        <v>44</v>
      </c>
      <c r="L2934" s="16"/>
      <c r="M2934" s="21"/>
    </row>
    <row r="2935">
      <c r="A2935" s="28">
        <v>46232.0</v>
      </c>
      <c r="B2935" s="16" t="s">
        <v>11482</v>
      </c>
      <c r="C2935" s="20" t="s">
        <v>11483</v>
      </c>
      <c r="D2935" s="21"/>
      <c r="E2935" s="22" t="s">
        <v>11484</v>
      </c>
      <c r="H2935" s="23" t="s">
        <v>47</v>
      </c>
      <c r="I2935" s="21"/>
      <c r="J2935" s="25"/>
      <c r="K2935" s="26" t="s">
        <v>44</v>
      </c>
      <c r="L2935" s="16"/>
      <c r="M2935" s="21"/>
    </row>
    <row r="2936">
      <c r="A2936" s="28">
        <v>46232.0</v>
      </c>
      <c r="B2936" s="16" t="s">
        <v>11485</v>
      </c>
      <c r="C2936" s="20" t="s">
        <v>11486</v>
      </c>
      <c r="D2936" s="21"/>
      <c r="E2936" s="41"/>
      <c r="H2936" s="23" t="s">
        <v>2549</v>
      </c>
      <c r="I2936" s="21"/>
      <c r="J2936" s="25"/>
      <c r="K2936" s="26" t="s">
        <v>44</v>
      </c>
      <c r="L2936" s="16"/>
      <c r="M2936" s="21"/>
    </row>
    <row r="2937">
      <c r="A2937" s="28">
        <v>46232.0</v>
      </c>
      <c r="B2937" s="16" t="s">
        <v>11487</v>
      </c>
      <c r="C2937" s="20" t="s">
        <v>11488</v>
      </c>
      <c r="D2937" s="21"/>
      <c r="E2937" s="22" t="s">
        <v>11489</v>
      </c>
      <c r="H2937" s="23" t="s">
        <v>47</v>
      </c>
      <c r="I2937" s="21"/>
      <c r="J2937" s="25"/>
      <c r="K2937" s="26" t="s">
        <v>44</v>
      </c>
      <c r="L2937" s="16"/>
      <c r="M2937" s="21"/>
    </row>
    <row r="2938">
      <c r="A2938" s="28">
        <v>46232.0</v>
      </c>
      <c r="B2938" s="16" t="s">
        <v>11490</v>
      </c>
      <c r="C2938" s="20" t="s">
        <v>11491</v>
      </c>
      <c r="D2938" s="21"/>
      <c r="E2938" s="22" t="s">
        <v>11492</v>
      </c>
      <c r="H2938" s="23" t="s">
        <v>47</v>
      </c>
      <c r="I2938" s="21"/>
      <c r="J2938" s="25"/>
      <c r="K2938" s="26" t="s">
        <v>44</v>
      </c>
      <c r="L2938" s="16"/>
      <c r="M2938" s="21"/>
    </row>
    <row r="2939">
      <c r="A2939" s="28">
        <v>46232.0</v>
      </c>
      <c r="B2939" s="16" t="s">
        <v>11493</v>
      </c>
      <c r="C2939" s="20" t="s">
        <v>11494</v>
      </c>
      <c r="D2939" s="21"/>
      <c r="E2939" s="22" t="s">
        <v>11495</v>
      </c>
      <c r="H2939" s="23" t="s">
        <v>47</v>
      </c>
      <c r="I2939" s="21"/>
      <c r="J2939" s="25"/>
      <c r="K2939" s="26" t="s">
        <v>44</v>
      </c>
      <c r="L2939" s="16"/>
      <c r="M2939" s="21"/>
    </row>
    <row r="2940">
      <c r="A2940" s="28">
        <v>46232.0</v>
      </c>
      <c r="B2940" s="16" t="s">
        <v>11496</v>
      </c>
      <c r="C2940" s="20" t="s">
        <v>11497</v>
      </c>
      <c r="D2940" s="21"/>
      <c r="E2940" s="41"/>
      <c r="H2940" s="23" t="s">
        <v>47</v>
      </c>
      <c r="I2940" s="21"/>
      <c r="J2940" s="25"/>
      <c r="K2940" s="26" t="s">
        <v>44</v>
      </c>
      <c r="L2940" s="16"/>
      <c r="M2940" s="21"/>
    </row>
    <row r="2941">
      <c r="A2941" s="28">
        <v>46232.0</v>
      </c>
      <c r="B2941" s="16" t="s">
        <v>11498</v>
      </c>
      <c r="C2941" s="20" t="s">
        <v>11499</v>
      </c>
      <c r="D2941" s="21"/>
      <c r="E2941" s="22" t="s">
        <v>11500</v>
      </c>
      <c r="H2941" s="23" t="s">
        <v>2549</v>
      </c>
      <c r="I2941" s="21"/>
      <c r="J2941" s="25"/>
      <c r="K2941" s="26" t="s">
        <v>44</v>
      </c>
      <c r="L2941" s="16"/>
      <c r="M2941" s="21"/>
    </row>
    <row r="2942">
      <c r="A2942" s="28">
        <v>46232.0</v>
      </c>
      <c r="B2942" s="16" t="s">
        <v>11501</v>
      </c>
      <c r="C2942" s="20" t="s">
        <v>11502</v>
      </c>
      <c r="D2942" s="21"/>
      <c r="E2942" s="22" t="s">
        <v>11503</v>
      </c>
      <c r="H2942" s="23" t="s">
        <v>47</v>
      </c>
      <c r="I2942" s="21"/>
      <c r="J2942" s="25"/>
      <c r="K2942" s="26" t="s">
        <v>44</v>
      </c>
      <c r="L2942" s="16"/>
      <c r="M2942" s="21"/>
    </row>
    <row r="2943">
      <c r="A2943" s="28">
        <v>46232.0</v>
      </c>
      <c r="B2943" s="16" t="s">
        <v>11504</v>
      </c>
      <c r="C2943" s="20" t="s">
        <v>11505</v>
      </c>
      <c r="D2943" s="21"/>
      <c r="E2943" s="22" t="s">
        <v>11506</v>
      </c>
      <c r="H2943" s="23" t="s">
        <v>47</v>
      </c>
      <c r="I2943" s="21"/>
      <c r="J2943" s="25"/>
      <c r="K2943" s="26" t="s">
        <v>44</v>
      </c>
      <c r="L2943" s="16"/>
      <c r="M2943" s="21"/>
    </row>
    <row r="2944">
      <c r="A2944" s="28">
        <v>46232.0</v>
      </c>
      <c r="B2944" s="16" t="s">
        <v>11507</v>
      </c>
      <c r="C2944" s="20" t="s">
        <v>278</v>
      </c>
      <c r="D2944" s="21"/>
      <c r="E2944" s="22" t="s">
        <v>11508</v>
      </c>
      <c r="H2944" s="23" t="s">
        <v>2549</v>
      </c>
      <c r="I2944" s="21"/>
      <c r="J2944" s="25"/>
      <c r="K2944" s="26" t="s">
        <v>44</v>
      </c>
      <c r="L2944" s="16"/>
      <c r="M2944" s="21"/>
    </row>
    <row r="2945">
      <c r="A2945" s="28">
        <v>46232.0</v>
      </c>
      <c r="B2945" s="16" t="s">
        <v>11509</v>
      </c>
      <c r="C2945" s="20" t="s">
        <v>11510</v>
      </c>
      <c r="D2945" s="21"/>
      <c r="E2945" s="22" t="s">
        <v>11511</v>
      </c>
      <c r="H2945" s="23" t="s">
        <v>2549</v>
      </c>
      <c r="I2945" s="21"/>
      <c r="J2945" s="25"/>
      <c r="K2945" s="26" t="s">
        <v>44</v>
      </c>
      <c r="L2945" s="16"/>
      <c r="M2945" s="21"/>
    </row>
    <row r="2946">
      <c r="A2946" s="28">
        <v>46232.0</v>
      </c>
      <c r="B2946" s="16" t="s">
        <v>11512</v>
      </c>
      <c r="C2946" s="20" t="s">
        <v>11513</v>
      </c>
      <c r="D2946" s="21"/>
      <c r="E2946" s="22" t="s">
        <v>11514</v>
      </c>
      <c r="H2946" s="23" t="s">
        <v>2549</v>
      </c>
      <c r="I2946" s="21"/>
      <c r="J2946" s="25"/>
      <c r="K2946" s="26" t="s">
        <v>44</v>
      </c>
      <c r="L2946" s="16"/>
      <c r="M2946" s="21"/>
    </row>
    <row r="2947">
      <c r="A2947" s="28">
        <v>46232.0</v>
      </c>
      <c r="B2947" s="16" t="s">
        <v>11515</v>
      </c>
      <c r="C2947" s="20" t="s">
        <v>11516</v>
      </c>
      <c r="D2947" s="21"/>
      <c r="E2947" s="22" t="s">
        <v>11517</v>
      </c>
      <c r="H2947" s="23" t="s">
        <v>2549</v>
      </c>
      <c r="I2947" s="21"/>
      <c r="J2947" s="25"/>
      <c r="K2947" s="26" t="s">
        <v>44</v>
      </c>
      <c r="L2947" s="16"/>
      <c r="M2947" s="21"/>
    </row>
    <row r="2948">
      <c r="A2948" s="28">
        <v>46232.0</v>
      </c>
      <c r="B2948" s="16" t="s">
        <v>11518</v>
      </c>
      <c r="C2948" s="20" t="s">
        <v>11519</v>
      </c>
      <c r="D2948" s="21"/>
      <c r="E2948" s="41"/>
      <c r="H2948" s="23" t="s">
        <v>2549</v>
      </c>
      <c r="I2948" s="21"/>
      <c r="J2948" s="25"/>
      <c r="K2948" s="26" t="s">
        <v>44</v>
      </c>
      <c r="L2948" s="16"/>
      <c r="M2948" s="21"/>
    </row>
    <row r="2949">
      <c r="A2949" s="28">
        <v>46232.0</v>
      </c>
      <c r="B2949" s="16" t="s">
        <v>11520</v>
      </c>
      <c r="C2949" s="20" t="s">
        <v>11521</v>
      </c>
      <c r="D2949" s="21"/>
      <c r="E2949" s="22" t="s">
        <v>11522</v>
      </c>
      <c r="H2949" s="23" t="s">
        <v>2549</v>
      </c>
      <c r="I2949" s="21"/>
      <c r="J2949" s="25"/>
      <c r="K2949" s="26" t="s">
        <v>44</v>
      </c>
      <c r="L2949" s="16"/>
      <c r="M2949" s="21"/>
    </row>
    <row r="2950">
      <c r="A2950" s="28">
        <v>46232.0</v>
      </c>
      <c r="B2950" s="16" t="s">
        <v>11523</v>
      </c>
      <c r="C2950" s="20" t="s">
        <v>11524</v>
      </c>
      <c r="D2950" s="21"/>
      <c r="E2950" s="22" t="s">
        <v>11525</v>
      </c>
      <c r="H2950" s="23" t="s">
        <v>2549</v>
      </c>
      <c r="I2950" s="21"/>
      <c r="J2950" s="25"/>
      <c r="K2950" s="26" t="s">
        <v>44</v>
      </c>
      <c r="L2950" s="16"/>
      <c r="M2950" s="21"/>
    </row>
    <row r="2951">
      <c r="A2951" s="28">
        <v>46232.0</v>
      </c>
      <c r="B2951" s="16" t="s">
        <v>11526</v>
      </c>
      <c r="C2951" s="20" t="s">
        <v>11527</v>
      </c>
      <c r="D2951" s="21"/>
      <c r="E2951" s="22" t="s">
        <v>11528</v>
      </c>
      <c r="H2951" s="23" t="s">
        <v>2549</v>
      </c>
      <c r="I2951" s="21"/>
      <c r="J2951" s="25"/>
      <c r="K2951" s="26" t="s">
        <v>44</v>
      </c>
      <c r="L2951" s="16"/>
      <c r="M2951" s="21"/>
    </row>
    <row r="2952">
      <c r="A2952" s="28">
        <v>46232.0</v>
      </c>
      <c r="B2952" s="16" t="s">
        <v>11529</v>
      </c>
      <c r="C2952" s="20" t="s">
        <v>11530</v>
      </c>
      <c r="D2952" s="21"/>
      <c r="E2952" s="22" t="s">
        <v>11531</v>
      </c>
      <c r="H2952" s="23" t="s">
        <v>47</v>
      </c>
      <c r="I2952" s="21"/>
      <c r="J2952" s="25"/>
      <c r="K2952" s="26" t="s">
        <v>44</v>
      </c>
      <c r="L2952" s="16"/>
      <c r="M2952" s="21"/>
    </row>
    <row r="2953">
      <c r="A2953" s="28">
        <v>46232.0</v>
      </c>
      <c r="B2953" s="16" t="s">
        <v>11532</v>
      </c>
      <c r="C2953" s="20" t="s">
        <v>11533</v>
      </c>
      <c r="D2953" s="21"/>
      <c r="E2953" s="22" t="s">
        <v>11534</v>
      </c>
      <c r="H2953" s="23" t="s">
        <v>47</v>
      </c>
      <c r="I2953" s="21"/>
      <c r="J2953" s="25"/>
      <c r="K2953" s="26" t="s">
        <v>44</v>
      </c>
      <c r="L2953" s="16"/>
      <c r="M2953" s="21"/>
    </row>
    <row r="2954">
      <c r="A2954" s="28">
        <v>46232.0</v>
      </c>
      <c r="B2954" s="16" t="s">
        <v>11535</v>
      </c>
      <c r="C2954" s="20" t="s">
        <v>11536</v>
      </c>
      <c r="D2954" s="21"/>
      <c r="E2954" s="22" t="s">
        <v>11537</v>
      </c>
      <c r="H2954" s="23" t="s">
        <v>47</v>
      </c>
      <c r="I2954" s="21"/>
      <c r="J2954" s="25"/>
      <c r="K2954" s="26" t="s">
        <v>44</v>
      </c>
      <c r="L2954" s="16"/>
      <c r="M2954" s="21"/>
    </row>
    <row r="2955">
      <c r="A2955" s="28">
        <v>46232.0</v>
      </c>
      <c r="B2955" s="16" t="s">
        <v>11538</v>
      </c>
      <c r="C2955" s="20" t="s">
        <v>11539</v>
      </c>
      <c r="D2955" s="21"/>
      <c r="E2955" s="22" t="s">
        <v>11540</v>
      </c>
      <c r="H2955" s="23" t="s">
        <v>2549</v>
      </c>
      <c r="I2955" s="21"/>
      <c r="J2955" s="25"/>
      <c r="K2955" s="26" t="s">
        <v>44</v>
      </c>
      <c r="L2955" s="16"/>
      <c r="M2955" s="21"/>
    </row>
    <row r="2956">
      <c r="A2956" s="28">
        <v>46232.0</v>
      </c>
      <c r="B2956" s="16" t="s">
        <v>11541</v>
      </c>
      <c r="C2956" s="20" t="s">
        <v>11542</v>
      </c>
      <c r="D2956" s="21"/>
      <c r="E2956" s="41"/>
      <c r="H2956" s="23" t="s">
        <v>47</v>
      </c>
      <c r="I2956" s="21"/>
      <c r="J2956" s="25"/>
      <c r="K2956" s="26" t="s">
        <v>44</v>
      </c>
      <c r="L2956" s="16"/>
      <c r="M2956" s="21"/>
    </row>
    <row r="2957">
      <c r="A2957" s="28">
        <v>46232.0</v>
      </c>
      <c r="B2957" s="16" t="s">
        <v>11543</v>
      </c>
      <c r="C2957" s="20" t="s">
        <v>11544</v>
      </c>
      <c r="D2957" s="21"/>
      <c r="E2957" s="22" t="s">
        <v>11545</v>
      </c>
      <c r="H2957" s="23" t="s">
        <v>2549</v>
      </c>
      <c r="I2957" s="21"/>
      <c r="J2957" s="25"/>
      <c r="K2957" s="26" t="s">
        <v>44</v>
      </c>
      <c r="L2957" s="16"/>
      <c r="M2957" s="21"/>
    </row>
    <row r="2958">
      <c r="A2958" s="28">
        <v>46232.0</v>
      </c>
      <c r="B2958" s="16" t="s">
        <v>11546</v>
      </c>
      <c r="C2958" s="20" t="s">
        <v>11547</v>
      </c>
      <c r="D2958" s="21"/>
      <c r="E2958" s="22" t="s">
        <v>11548</v>
      </c>
      <c r="H2958" s="23" t="s">
        <v>47</v>
      </c>
      <c r="I2958" s="21"/>
      <c r="J2958" s="25"/>
      <c r="K2958" s="26" t="s">
        <v>44</v>
      </c>
      <c r="L2958" s="16"/>
      <c r="M2958" s="21"/>
    </row>
    <row r="2959">
      <c r="A2959" s="28">
        <v>46232.0</v>
      </c>
      <c r="B2959" s="16" t="s">
        <v>11549</v>
      </c>
      <c r="C2959" s="20" t="s">
        <v>11550</v>
      </c>
      <c r="D2959" s="21"/>
      <c r="E2959" s="22" t="s">
        <v>11551</v>
      </c>
      <c r="H2959" s="23" t="s">
        <v>47</v>
      </c>
      <c r="I2959" s="21"/>
      <c r="J2959" s="25"/>
      <c r="K2959" s="26" t="s">
        <v>44</v>
      </c>
      <c r="L2959" s="16"/>
      <c r="M2959" s="21"/>
    </row>
    <row r="2960">
      <c r="A2960" s="28">
        <v>46232.0</v>
      </c>
      <c r="B2960" s="16" t="s">
        <v>11552</v>
      </c>
      <c r="C2960" s="20" t="s">
        <v>11553</v>
      </c>
      <c r="D2960" s="21"/>
      <c r="E2960" s="41"/>
      <c r="H2960" s="23" t="s">
        <v>47</v>
      </c>
      <c r="I2960" s="21"/>
      <c r="J2960" s="25"/>
      <c r="K2960" s="26" t="s">
        <v>44</v>
      </c>
      <c r="L2960" s="16"/>
      <c r="M2960" s="21"/>
    </row>
    <row r="2961">
      <c r="A2961" s="28">
        <v>46232.0</v>
      </c>
      <c r="B2961" s="16" t="s">
        <v>11554</v>
      </c>
      <c r="C2961" s="20" t="s">
        <v>11555</v>
      </c>
      <c r="D2961" s="21"/>
      <c r="E2961" s="41"/>
      <c r="H2961" s="23" t="s">
        <v>47</v>
      </c>
      <c r="I2961" s="21"/>
      <c r="J2961" s="25"/>
      <c r="K2961" s="26" t="s">
        <v>44</v>
      </c>
      <c r="L2961" s="16"/>
      <c r="M2961" s="21"/>
    </row>
    <row r="2962">
      <c r="A2962" s="28">
        <v>46232.0</v>
      </c>
      <c r="B2962" s="16" t="s">
        <v>11556</v>
      </c>
      <c r="C2962" s="20" t="s">
        <v>11557</v>
      </c>
      <c r="D2962" s="21"/>
      <c r="E2962" s="22" t="s">
        <v>11558</v>
      </c>
      <c r="H2962" s="23" t="s">
        <v>2549</v>
      </c>
      <c r="I2962" s="21"/>
      <c r="J2962" s="25"/>
      <c r="K2962" s="26" t="s">
        <v>44</v>
      </c>
      <c r="L2962" s="16"/>
      <c r="M2962" s="21"/>
    </row>
    <row r="2963">
      <c r="A2963" s="28">
        <v>46232.0</v>
      </c>
      <c r="B2963" s="16" t="s">
        <v>11559</v>
      </c>
      <c r="C2963" s="20" t="s">
        <v>11560</v>
      </c>
      <c r="D2963" s="21"/>
      <c r="E2963" s="22" t="s">
        <v>11561</v>
      </c>
      <c r="H2963" s="23" t="s">
        <v>2549</v>
      </c>
      <c r="I2963" s="21"/>
      <c r="J2963" s="25"/>
      <c r="K2963" s="26" t="s">
        <v>44</v>
      </c>
      <c r="L2963" s="16"/>
      <c r="M2963" s="21"/>
    </row>
    <row r="2964">
      <c r="A2964" s="28">
        <v>46232.0</v>
      </c>
      <c r="B2964" s="16" t="s">
        <v>11562</v>
      </c>
      <c r="C2964" s="20" t="s">
        <v>11563</v>
      </c>
      <c r="D2964" s="21"/>
      <c r="E2964" s="22" t="s">
        <v>11564</v>
      </c>
      <c r="H2964" s="23" t="s">
        <v>2549</v>
      </c>
      <c r="I2964" s="21"/>
      <c r="J2964" s="25"/>
      <c r="K2964" s="26" t="s">
        <v>44</v>
      </c>
      <c r="L2964" s="16"/>
      <c r="M2964" s="21"/>
    </row>
    <row r="2965">
      <c r="A2965" s="28">
        <v>46232.0</v>
      </c>
      <c r="B2965" s="16" t="s">
        <v>11565</v>
      </c>
      <c r="C2965" s="20" t="s">
        <v>11566</v>
      </c>
      <c r="D2965" s="21"/>
      <c r="E2965" s="22" t="s">
        <v>11567</v>
      </c>
      <c r="H2965" s="23" t="s">
        <v>2549</v>
      </c>
      <c r="I2965" s="21"/>
      <c r="J2965" s="25"/>
      <c r="K2965" s="26" t="s">
        <v>44</v>
      </c>
      <c r="L2965" s="16"/>
      <c r="M2965" s="21"/>
    </row>
    <row r="2966">
      <c r="A2966" s="28">
        <v>46232.0</v>
      </c>
      <c r="B2966" s="16" t="s">
        <v>11568</v>
      </c>
      <c r="C2966" s="20" t="s">
        <v>11569</v>
      </c>
      <c r="D2966" s="21"/>
      <c r="E2966" s="22" t="s">
        <v>11570</v>
      </c>
      <c r="H2966" s="23" t="s">
        <v>2549</v>
      </c>
      <c r="I2966" s="21"/>
      <c r="J2966" s="25"/>
      <c r="K2966" s="26" t="s">
        <v>44</v>
      </c>
      <c r="L2966" s="16"/>
      <c r="M2966" s="21"/>
    </row>
    <row r="2967">
      <c r="A2967" s="28">
        <v>46232.0</v>
      </c>
      <c r="B2967" s="16" t="s">
        <v>11571</v>
      </c>
      <c r="C2967" s="20" t="s">
        <v>11572</v>
      </c>
      <c r="D2967" s="21"/>
      <c r="E2967" s="22" t="s">
        <v>11573</v>
      </c>
      <c r="H2967" s="23" t="s">
        <v>2549</v>
      </c>
      <c r="I2967" s="21"/>
      <c r="J2967" s="25"/>
      <c r="K2967" s="26" t="s">
        <v>44</v>
      </c>
      <c r="L2967" s="16"/>
      <c r="M2967" s="21"/>
    </row>
    <row r="2968">
      <c r="A2968" s="28">
        <v>46232.0</v>
      </c>
      <c r="B2968" s="16" t="s">
        <v>11574</v>
      </c>
      <c r="C2968" s="20" t="s">
        <v>11575</v>
      </c>
      <c r="D2968" s="21"/>
      <c r="E2968" s="41"/>
      <c r="H2968" s="23" t="s">
        <v>47</v>
      </c>
      <c r="I2968" s="21"/>
      <c r="J2968" s="25"/>
      <c r="K2968" s="26" t="s">
        <v>44</v>
      </c>
      <c r="L2968" s="16"/>
      <c r="M2968" s="21"/>
    </row>
    <row r="2969">
      <c r="A2969" s="28">
        <v>46232.0</v>
      </c>
      <c r="B2969" s="16" t="s">
        <v>11576</v>
      </c>
      <c r="C2969" s="20" t="s">
        <v>11577</v>
      </c>
      <c r="D2969" s="21"/>
      <c r="E2969" s="22" t="s">
        <v>11578</v>
      </c>
      <c r="H2969" s="23" t="s">
        <v>47</v>
      </c>
      <c r="I2969" s="21"/>
      <c r="J2969" s="25"/>
      <c r="K2969" s="26" t="s">
        <v>44</v>
      </c>
      <c r="L2969" s="16"/>
      <c r="M2969" s="21"/>
    </row>
    <row r="2970">
      <c r="A2970" s="28">
        <v>46232.0</v>
      </c>
      <c r="B2970" s="16" t="s">
        <v>11579</v>
      </c>
      <c r="C2970" s="20" t="s">
        <v>11580</v>
      </c>
      <c r="D2970" s="21"/>
      <c r="E2970" s="22" t="s">
        <v>11581</v>
      </c>
      <c r="H2970" s="23" t="s">
        <v>2549</v>
      </c>
      <c r="I2970" s="21"/>
      <c r="J2970" s="25"/>
      <c r="K2970" s="26" t="s">
        <v>44</v>
      </c>
      <c r="L2970" s="16"/>
      <c r="M2970" s="21"/>
    </row>
    <row r="2971">
      <c r="A2971" s="28">
        <v>46232.0</v>
      </c>
      <c r="B2971" s="16" t="s">
        <v>11582</v>
      </c>
      <c r="C2971" s="20" t="s">
        <v>11583</v>
      </c>
      <c r="D2971" s="21"/>
      <c r="E2971" s="22" t="s">
        <v>11584</v>
      </c>
      <c r="H2971" s="23" t="s">
        <v>2549</v>
      </c>
      <c r="I2971" s="21"/>
      <c r="J2971" s="25"/>
      <c r="K2971" s="26" t="s">
        <v>44</v>
      </c>
      <c r="L2971" s="16"/>
      <c r="M2971" s="21"/>
    </row>
    <row r="2972">
      <c r="A2972" s="28">
        <v>46232.0</v>
      </c>
      <c r="B2972" s="16" t="s">
        <v>11585</v>
      </c>
      <c r="C2972" s="20" t="s">
        <v>11586</v>
      </c>
      <c r="D2972" s="21"/>
      <c r="E2972" s="22" t="s">
        <v>11587</v>
      </c>
      <c r="H2972" s="23" t="s">
        <v>47</v>
      </c>
      <c r="I2972" s="21"/>
      <c r="J2972" s="25"/>
      <c r="K2972" s="26" t="s">
        <v>44</v>
      </c>
      <c r="L2972" s="16"/>
      <c r="M2972" s="21"/>
    </row>
    <row r="2973">
      <c r="A2973" s="28">
        <v>46232.0</v>
      </c>
      <c r="B2973" s="16" t="s">
        <v>11588</v>
      </c>
      <c r="C2973" s="20" t="s">
        <v>11589</v>
      </c>
      <c r="D2973" s="21"/>
      <c r="E2973" s="22" t="s">
        <v>11590</v>
      </c>
      <c r="H2973" s="23" t="s">
        <v>47</v>
      </c>
      <c r="I2973" s="21"/>
      <c r="J2973" s="25"/>
      <c r="K2973" s="26" t="s">
        <v>44</v>
      </c>
      <c r="L2973" s="16"/>
      <c r="M2973" s="21"/>
    </row>
    <row r="2974">
      <c r="A2974" s="28">
        <v>46232.0</v>
      </c>
      <c r="B2974" s="16" t="s">
        <v>11591</v>
      </c>
      <c r="C2974" s="20" t="s">
        <v>11592</v>
      </c>
      <c r="D2974" s="21"/>
      <c r="E2974" s="22" t="s">
        <v>11593</v>
      </c>
      <c r="H2974" s="23" t="s">
        <v>2549</v>
      </c>
      <c r="I2974" s="21"/>
      <c r="J2974" s="25"/>
      <c r="K2974" s="26" t="s">
        <v>44</v>
      </c>
      <c r="L2974" s="16"/>
      <c r="M2974" s="21"/>
    </row>
    <row r="2975">
      <c r="A2975" s="28">
        <v>46232.0</v>
      </c>
      <c r="B2975" s="16" t="s">
        <v>11594</v>
      </c>
      <c r="C2975" s="20" t="s">
        <v>11595</v>
      </c>
      <c r="D2975" s="21"/>
      <c r="E2975" s="22" t="s">
        <v>11596</v>
      </c>
      <c r="H2975" s="23" t="s">
        <v>47</v>
      </c>
      <c r="I2975" s="21"/>
      <c r="J2975" s="25"/>
      <c r="K2975" s="26" t="s">
        <v>44</v>
      </c>
      <c r="L2975" s="16"/>
      <c r="M2975" s="21"/>
    </row>
    <row r="2976">
      <c r="A2976" s="28">
        <v>46232.0</v>
      </c>
      <c r="B2976" s="16" t="s">
        <v>11597</v>
      </c>
      <c r="C2976" s="20" t="s">
        <v>11598</v>
      </c>
      <c r="D2976" s="21"/>
      <c r="E2976" s="22" t="s">
        <v>11599</v>
      </c>
      <c r="H2976" s="23" t="s">
        <v>47</v>
      </c>
      <c r="I2976" s="21"/>
      <c r="J2976" s="25"/>
      <c r="K2976" s="26" t="s">
        <v>44</v>
      </c>
      <c r="L2976" s="16"/>
      <c r="M2976" s="21"/>
    </row>
    <row r="2977">
      <c r="A2977" s="28">
        <v>46232.0</v>
      </c>
      <c r="B2977" s="16" t="s">
        <v>11600</v>
      </c>
      <c r="C2977" s="20" t="s">
        <v>11601</v>
      </c>
      <c r="D2977" s="21"/>
      <c r="E2977" s="22" t="s">
        <v>11602</v>
      </c>
      <c r="H2977" s="23" t="s">
        <v>2549</v>
      </c>
      <c r="I2977" s="21"/>
      <c r="J2977" s="25"/>
      <c r="K2977" s="26" t="s">
        <v>44</v>
      </c>
      <c r="L2977" s="16"/>
      <c r="M2977" s="21"/>
    </row>
    <row r="2978">
      <c r="A2978" s="28">
        <v>46232.0</v>
      </c>
      <c r="B2978" s="16" t="s">
        <v>11603</v>
      </c>
      <c r="C2978" s="20" t="s">
        <v>11604</v>
      </c>
      <c r="D2978" s="21"/>
      <c r="E2978" s="22" t="s">
        <v>11605</v>
      </c>
      <c r="H2978" s="23" t="s">
        <v>47</v>
      </c>
      <c r="I2978" s="21"/>
      <c r="J2978" s="25"/>
      <c r="K2978" s="26" t="s">
        <v>44</v>
      </c>
      <c r="L2978" s="16"/>
      <c r="M2978" s="21"/>
    </row>
    <row r="2979">
      <c r="A2979" s="28">
        <v>46232.0</v>
      </c>
      <c r="B2979" s="16" t="s">
        <v>11606</v>
      </c>
      <c r="C2979" s="20" t="s">
        <v>11607</v>
      </c>
      <c r="D2979" s="21"/>
      <c r="E2979" s="41"/>
      <c r="H2979" s="23" t="s">
        <v>2549</v>
      </c>
      <c r="I2979" s="21"/>
      <c r="J2979" s="25"/>
      <c r="K2979" s="26" t="s">
        <v>44</v>
      </c>
      <c r="L2979" s="16"/>
      <c r="M2979" s="21"/>
    </row>
    <row r="2980">
      <c r="A2980" s="28">
        <v>46232.0</v>
      </c>
      <c r="B2980" s="16" t="s">
        <v>11608</v>
      </c>
      <c r="C2980" s="20" t="s">
        <v>11609</v>
      </c>
      <c r="D2980" s="21"/>
      <c r="E2980" s="22" t="s">
        <v>11610</v>
      </c>
      <c r="H2980" s="23" t="s">
        <v>2549</v>
      </c>
      <c r="I2980" s="21"/>
      <c r="J2980" s="25"/>
      <c r="K2980" s="26" t="s">
        <v>44</v>
      </c>
      <c r="L2980" s="16"/>
      <c r="M2980" s="21"/>
    </row>
    <row r="2981">
      <c r="A2981" s="28">
        <v>46232.0</v>
      </c>
      <c r="B2981" s="16" t="s">
        <v>11611</v>
      </c>
      <c r="C2981" s="20" t="s">
        <v>11612</v>
      </c>
      <c r="D2981" s="21"/>
      <c r="E2981" s="41"/>
      <c r="H2981" s="23" t="s">
        <v>2549</v>
      </c>
      <c r="I2981" s="21"/>
      <c r="J2981" s="25"/>
      <c r="K2981" s="26" t="s">
        <v>44</v>
      </c>
      <c r="L2981" s="16"/>
      <c r="M2981" s="21"/>
    </row>
    <row r="2982">
      <c r="A2982" s="28">
        <v>46232.0</v>
      </c>
      <c r="B2982" s="16" t="s">
        <v>11613</v>
      </c>
      <c r="C2982" s="20" t="s">
        <v>11614</v>
      </c>
      <c r="D2982" s="21"/>
      <c r="E2982" s="22" t="s">
        <v>11615</v>
      </c>
      <c r="H2982" s="23" t="s">
        <v>47</v>
      </c>
      <c r="I2982" s="21"/>
      <c r="J2982" s="25"/>
      <c r="K2982" s="26" t="s">
        <v>44</v>
      </c>
      <c r="L2982" s="16"/>
      <c r="M2982" s="21"/>
    </row>
    <row r="2983">
      <c r="A2983" s="28">
        <v>46232.0</v>
      </c>
      <c r="B2983" s="16" t="s">
        <v>11616</v>
      </c>
      <c r="C2983" s="20" t="s">
        <v>11617</v>
      </c>
      <c r="D2983" s="21"/>
      <c r="E2983" s="22" t="s">
        <v>11618</v>
      </c>
      <c r="H2983" s="23" t="s">
        <v>2549</v>
      </c>
      <c r="I2983" s="21"/>
      <c r="J2983" s="25"/>
      <c r="K2983" s="26" t="s">
        <v>44</v>
      </c>
      <c r="L2983" s="16"/>
      <c r="M2983" s="21"/>
    </row>
    <row r="2984">
      <c r="A2984" s="28">
        <v>46232.0</v>
      </c>
      <c r="B2984" s="16" t="s">
        <v>11619</v>
      </c>
      <c r="C2984" s="20" t="s">
        <v>11620</v>
      </c>
      <c r="D2984" s="21"/>
      <c r="E2984" s="22" t="s">
        <v>11621</v>
      </c>
      <c r="H2984" s="23" t="s">
        <v>47</v>
      </c>
      <c r="I2984" s="21"/>
      <c r="J2984" s="25"/>
      <c r="K2984" s="26" t="s">
        <v>44</v>
      </c>
      <c r="L2984" s="16"/>
      <c r="M2984" s="21"/>
    </row>
    <row r="2985">
      <c r="A2985" s="28">
        <v>46232.0</v>
      </c>
      <c r="B2985" s="16" t="s">
        <v>11622</v>
      </c>
      <c r="C2985" s="20" t="s">
        <v>11623</v>
      </c>
      <c r="D2985" s="21"/>
      <c r="E2985" s="22" t="s">
        <v>11624</v>
      </c>
      <c r="H2985" s="23" t="s">
        <v>2549</v>
      </c>
      <c r="I2985" s="21"/>
      <c r="J2985" s="25"/>
      <c r="K2985" s="26" t="s">
        <v>44</v>
      </c>
      <c r="L2985" s="16"/>
      <c r="M2985" s="21"/>
    </row>
    <row r="2986">
      <c r="A2986" s="28">
        <v>46232.0</v>
      </c>
      <c r="B2986" s="16" t="s">
        <v>11625</v>
      </c>
      <c r="C2986" s="20" t="s">
        <v>11626</v>
      </c>
      <c r="D2986" s="21"/>
      <c r="E2986" s="41"/>
      <c r="H2986" s="23" t="s">
        <v>11627</v>
      </c>
      <c r="I2986" s="21"/>
      <c r="J2986" s="25"/>
      <c r="K2986" s="26" t="s">
        <v>44</v>
      </c>
      <c r="L2986" s="16"/>
      <c r="M2986" s="21"/>
    </row>
    <row r="2987">
      <c r="A2987" s="28">
        <v>46232.0</v>
      </c>
      <c r="B2987" s="16" t="s">
        <v>11628</v>
      </c>
      <c r="C2987" s="20" t="s">
        <v>11629</v>
      </c>
      <c r="D2987" s="21"/>
      <c r="E2987" s="41"/>
      <c r="H2987" s="23" t="s">
        <v>47</v>
      </c>
      <c r="I2987" s="21"/>
      <c r="J2987" s="25"/>
      <c r="K2987" s="26" t="s">
        <v>44</v>
      </c>
      <c r="L2987" s="16"/>
      <c r="M2987" s="21"/>
    </row>
    <row r="2988">
      <c r="A2988" s="28">
        <v>46232.0</v>
      </c>
      <c r="B2988" s="16" t="s">
        <v>11630</v>
      </c>
      <c r="C2988" s="20" t="s">
        <v>11631</v>
      </c>
      <c r="D2988" s="21"/>
      <c r="E2988" s="22" t="s">
        <v>11632</v>
      </c>
      <c r="H2988" s="23" t="s">
        <v>47</v>
      </c>
      <c r="I2988" s="21"/>
      <c r="J2988" s="25"/>
      <c r="K2988" s="26" t="s">
        <v>44</v>
      </c>
      <c r="L2988" s="16"/>
      <c r="M2988" s="21"/>
    </row>
    <row r="2989">
      <c r="A2989" s="28">
        <v>46232.0</v>
      </c>
      <c r="B2989" s="16" t="s">
        <v>11633</v>
      </c>
      <c r="C2989" s="20" t="s">
        <v>11634</v>
      </c>
      <c r="D2989" s="21"/>
      <c r="E2989" s="22" t="s">
        <v>11635</v>
      </c>
      <c r="H2989" s="23" t="s">
        <v>11267</v>
      </c>
      <c r="I2989" s="21"/>
      <c r="J2989" s="25"/>
      <c r="K2989" s="26" t="s">
        <v>44</v>
      </c>
      <c r="L2989" s="16"/>
      <c r="M2989" s="21"/>
    </row>
    <row r="2990">
      <c r="A2990" s="28">
        <v>46232.0</v>
      </c>
      <c r="B2990" s="16" t="s">
        <v>11636</v>
      </c>
      <c r="C2990" s="20" t="s">
        <v>11637</v>
      </c>
      <c r="D2990" s="21"/>
      <c r="E2990" s="22" t="s">
        <v>11638</v>
      </c>
      <c r="H2990" s="23" t="s">
        <v>47</v>
      </c>
      <c r="I2990" s="21"/>
      <c r="J2990" s="25"/>
      <c r="K2990" s="26" t="s">
        <v>44</v>
      </c>
      <c r="L2990" s="16"/>
      <c r="M2990" s="21"/>
    </row>
    <row r="2991">
      <c r="A2991" s="28">
        <v>46232.0</v>
      </c>
      <c r="B2991" s="16" t="s">
        <v>11639</v>
      </c>
      <c r="C2991" s="20" t="s">
        <v>11640</v>
      </c>
      <c r="D2991" s="21"/>
      <c r="E2991" s="22" t="s">
        <v>11641</v>
      </c>
      <c r="H2991" s="23" t="s">
        <v>47</v>
      </c>
      <c r="I2991" s="21"/>
      <c r="J2991" s="25"/>
      <c r="K2991" s="26" t="s">
        <v>44</v>
      </c>
      <c r="L2991" s="16"/>
      <c r="M2991" s="21"/>
    </row>
    <row r="2992">
      <c r="A2992" s="28">
        <v>46232.0</v>
      </c>
      <c r="B2992" s="16" t="s">
        <v>11642</v>
      </c>
      <c r="C2992" s="20" t="s">
        <v>11643</v>
      </c>
      <c r="D2992" s="21"/>
      <c r="E2992" s="22" t="s">
        <v>11644</v>
      </c>
      <c r="H2992" s="23" t="s">
        <v>2549</v>
      </c>
      <c r="I2992" s="21"/>
      <c r="J2992" s="25"/>
      <c r="K2992" s="26" t="s">
        <v>44</v>
      </c>
      <c r="L2992" s="16"/>
      <c r="M2992" s="21"/>
    </row>
    <row r="2993">
      <c r="A2993" s="28">
        <v>46232.0</v>
      </c>
      <c r="B2993" s="16" t="s">
        <v>11645</v>
      </c>
      <c r="C2993" s="20" t="s">
        <v>11646</v>
      </c>
      <c r="D2993" s="21"/>
      <c r="E2993" s="22" t="s">
        <v>11647</v>
      </c>
      <c r="H2993" s="23" t="s">
        <v>2549</v>
      </c>
      <c r="I2993" s="21"/>
      <c r="J2993" s="25"/>
      <c r="K2993" s="26" t="s">
        <v>44</v>
      </c>
      <c r="L2993" s="16"/>
      <c r="M2993" s="21"/>
    </row>
    <row r="2994">
      <c r="A2994" s="28">
        <v>46232.0</v>
      </c>
      <c r="B2994" s="16" t="s">
        <v>11648</v>
      </c>
      <c r="C2994" s="20" t="s">
        <v>11649</v>
      </c>
      <c r="D2994" s="21"/>
      <c r="E2994" s="22" t="s">
        <v>11650</v>
      </c>
      <c r="H2994" s="23" t="s">
        <v>2549</v>
      </c>
      <c r="I2994" s="21"/>
      <c r="J2994" s="25"/>
      <c r="K2994" s="26" t="s">
        <v>44</v>
      </c>
      <c r="L2994" s="16"/>
      <c r="M2994" s="21"/>
    </row>
    <row r="2995">
      <c r="A2995" s="28">
        <v>46232.0</v>
      </c>
      <c r="B2995" s="16" t="s">
        <v>11651</v>
      </c>
      <c r="C2995" s="20" t="s">
        <v>11652</v>
      </c>
      <c r="D2995" s="21"/>
      <c r="E2995" s="41"/>
      <c r="H2995" s="23" t="s">
        <v>47</v>
      </c>
      <c r="I2995" s="21"/>
      <c r="J2995" s="25"/>
      <c r="K2995" s="26" t="s">
        <v>44</v>
      </c>
      <c r="L2995" s="16"/>
      <c r="M2995" s="21"/>
    </row>
    <row r="2996">
      <c r="A2996" s="28">
        <v>46232.0</v>
      </c>
      <c r="B2996" s="16" t="s">
        <v>11653</v>
      </c>
      <c r="C2996" s="20" t="s">
        <v>11654</v>
      </c>
      <c r="D2996" s="21"/>
      <c r="E2996" s="41"/>
      <c r="H2996" s="23" t="s">
        <v>47</v>
      </c>
      <c r="I2996" s="21"/>
      <c r="J2996" s="25"/>
      <c r="K2996" s="26" t="s">
        <v>44</v>
      </c>
      <c r="L2996" s="16"/>
      <c r="M2996" s="21"/>
    </row>
    <row r="2997">
      <c r="A2997" s="28">
        <v>46232.0</v>
      </c>
      <c r="B2997" s="16" t="s">
        <v>11655</v>
      </c>
      <c r="C2997" s="20" t="s">
        <v>11656</v>
      </c>
      <c r="D2997" s="21"/>
      <c r="E2997" s="22" t="s">
        <v>11657</v>
      </c>
      <c r="H2997" s="23" t="s">
        <v>2549</v>
      </c>
      <c r="I2997" s="21"/>
      <c r="J2997" s="25"/>
      <c r="K2997" s="26" t="s">
        <v>44</v>
      </c>
      <c r="L2997" s="16"/>
      <c r="M2997" s="21"/>
    </row>
    <row r="2998">
      <c r="A2998" s="28">
        <v>46232.0</v>
      </c>
      <c r="B2998" s="16" t="s">
        <v>11658</v>
      </c>
      <c r="C2998" s="20" t="s">
        <v>11659</v>
      </c>
      <c r="D2998" s="21"/>
      <c r="E2998" s="22" t="s">
        <v>11660</v>
      </c>
      <c r="H2998" s="23" t="s">
        <v>2549</v>
      </c>
      <c r="I2998" s="21"/>
      <c r="J2998" s="25"/>
      <c r="K2998" s="26" t="s">
        <v>44</v>
      </c>
      <c r="L2998" s="16"/>
      <c r="M2998" s="21"/>
    </row>
    <row r="2999">
      <c r="A2999" s="28">
        <v>46232.0</v>
      </c>
      <c r="B2999" s="16" t="s">
        <v>11661</v>
      </c>
      <c r="C2999" s="20" t="s">
        <v>664</v>
      </c>
      <c r="D2999" s="21"/>
      <c r="E2999" s="22" t="s">
        <v>11662</v>
      </c>
      <c r="H2999" s="23" t="s">
        <v>47</v>
      </c>
      <c r="I2999" s="21"/>
      <c r="J2999" s="25"/>
      <c r="K2999" s="26" t="s">
        <v>44</v>
      </c>
      <c r="L2999" s="16"/>
      <c r="M2999" s="21"/>
    </row>
    <row r="3000">
      <c r="A3000" s="28">
        <v>46232.0</v>
      </c>
      <c r="B3000" s="16" t="s">
        <v>11663</v>
      </c>
      <c r="C3000" s="20" t="s">
        <v>11664</v>
      </c>
      <c r="D3000" s="21"/>
      <c r="E3000" s="22" t="s">
        <v>11665</v>
      </c>
      <c r="H3000" s="23" t="s">
        <v>47</v>
      </c>
      <c r="I3000" s="21"/>
      <c r="J3000" s="25"/>
      <c r="K3000" s="26" t="s">
        <v>44</v>
      </c>
      <c r="L3000" s="16"/>
      <c r="M3000" s="21"/>
    </row>
    <row r="3001">
      <c r="A3001" s="28">
        <v>46232.0</v>
      </c>
      <c r="B3001" s="16" t="s">
        <v>11666</v>
      </c>
      <c r="C3001" s="20" t="s">
        <v>11667</v>
      </c>
      <c r="D3001" s="21"/>
      <c r="E3001" s="22" t="s">
        <v>11668</v>
      </c>
      <c r="H3001" s="23" t="s">
        <v>2549</v>
      </c>
      <c r="I3001" s="21"/>
      <c r="J3001" s="25"/>
      <c r="K3001" s="26" t="s">
        <v>44</v>
      </c>
      <c r="L3001" s="16"/>
      <c r="M3001" s="21"/>
    </row>
    <row r="3002">
      <c r="A3002" s="28">
        <v>46232.0</v>
      </c>
      <c r="B3002" s="16" t="s">
        <v>11669</v>
      </c>
      <c r="C3002" s="20" t="s">
        <v>11670</v>
      </c>
      <c r="D3002" s="21"/>
      <c r="E3002" s="22" t="s">
        <v>11671</v>
      </c>
      <c r="H3002" s="23" t="s">
        <v>2549</v>
      </c>
      <c r="I3002" s="21"/>
      <c r="J3002" s="25"/>
      <c r="K3002" s="26" t="s">
        <v>44</v>
      </c>
      <c r="L3002" s="16"/>
      <c r="M3002" s="21"/>
    </row>
    <row r="3003">
      <c r="A3003" s="28">
        <v>46232.0</v>
      </c>
      <c r="B3003" s="16" t="s">
        <v>11672</v>
      </c>
      <c r="C3003" s="20" t="s">
        <v>11673</v>
      </c>
      <c r="D3003" s="21"/>
      <c r="E3003" s="41"/>
      <c r="H3003" s="23" t="s">
        <v>47</v>
      </c>
      <c r="I3003" s="21"/>
      <c r="J3003" s="25"/>
      <c r="K3003" s="26" t="s">
        <v>44</v>
      </c>
      <c r="L3003" s="16"/>
      <c r="M3003" s="21"/>
    </row>
    <row r="3004">
      <c r="A3004" s="28">
        <v>46232.0</v>
      </c>
      <c r="B3004" s="16" t="s">
        <v>11674</v>
      </c>
      <c r="C3004" s="20" t="s">
        <v>11675</v>
      </c>
      <c r="D3004" s="21"/>
      <c r="E3004" s="22" t="s">
        <v>11676</v>
      </c>
      <c r="H3004" s="23" t="s">
        <v>2549</v>
      </c>
      <c r="I3004" s="21"/>
      <c r="J3004" s="25"/>
      <c r="K3004" s="26" t="s">
        <v>44</v>
      </c>
      <c r="L3004" s="16"/>
      <c r="M3004" s="21"/>
    </row>
    <row r="3005">
      <c r="A3005" s="28">
        <v>46232.0</v>
      </c>
      <c r="B3005" s="16" t="s">
        <v>11677</v>
      </c>
      <c r="C3005" s="20" t="s">
        <v>11678</v>
      </c>
      <c r="D3005" s="21"/>
      <c r="E3005" s="22" t="s">
        <v>11679</v>
      </c>
      <c r="H3005" s="23" t="s">
        <v>2549</v>
      </c>
      <c r="I3005" s="21"/>
      <c r="J3005" s="25"/>
      <c r="K3005" s="26" t="s">
        <v>44</v>
      </c>
      <c r="L3005" s="16"/>
      <c r="M3005" s="21"/>
    </row>
    <row r="3006">
      <c r="A3006" s="28">
        <v>46232.0</v>
      </c>
      <c r="B3006" s="16" t="s">
        <v>11680</v>
      </c>
      <c r="C3006" s="20" t="s">
        <v>11681</v>
      </c>
      <c r="D3006" s="21"/>
      <c r="E3006" s="41"/>
      <c r="H3006" s="23" t="s">
        <v>47</v>
      </c>
      <c r="I3006" s="21"/>
      <c r="J3006" s="25"/>
      <c r="K3006" s="26" t="s">
        <v>44</v>
      </c>
      <c r="L3006" s="16"/>
      <c r="M3006" s="21"/>
    </row>
    <row r="3007">
      <c r="A3007" s="28">
        <v>46232.0</v>
      </c>
      <c r="B3007" s="16" t="s">
        <v>11682</v>
      </c>
      <c r="C3007" s="20" t="s">
        <v>11683</v>
      </c>
      <c r="D3007" s="21"/>
      <c r="E3007" s="41"/>
      <c r="H3007" s="23" t="s">
        <v>47</v>
      </c>
      <c r="I3007" s="21"/>
      <c r="J3007" s="25"/>
      <c r="K3007" s="26" t="s">
        <v>44</v>
      </c>
      <c r="L3007" s="16"/>
      <c r="M3007" s="21"/>
    </row>
    <row r="3008">
      <c r="A3008" s="28">
        <v>46232.0</v>
      </c>
      <c r="B3008" s="16" t="s">
        <v>11684</v>
      </c>
      <c r="C3008" s="20" t="s">
        <v>11685</v>
      </c>
      <c r="D3008" s="21"/>
      <c r="E3008" s="41"/>
      <c r="H3008" s="23" t="s">
        <v>47</v>
      </c>
      <c r="I3008" s="21"/>
      <c r="J3008" s="25"/>
      <c r="K3008" s="26" t="s">
        <v>44</v>
      </c>
      <c r="L3008" s="16"/>
      <c r="M3008" s="21"/>
    </row>
    <row r="3009">
      <c r="A3009" s="28">
        <v>46232.0</v>
      </c>
      <c r="B3009" s="16" t="s">
        <v>11686</v>
      </c>
      <c r="C3009" s="20" t="s">
        <v>11687</v>
      </c>
      <c r="D3009" s="21"/>
      <c r="E3009" s="22" t="s">
        <v>11688</v>
      </c>
      <c r="H3009" s="23" t="s">
        <v>47</v>
      </c>
      <c r="I3009" s="21"/>
      <c r="J3009" s="25"/>
      <c r="K3009" s="26" t="s">
        <v>44</v>
      </c>
      <c r="L3009" s="16"/>
      <c r="M3009" s="21"/>
    </row>
    <row r="3010">
      <c r="A3010" s="28">
        <v>46232.0</v>
      </c>
      <c r="B3010" s="16" t="s">
        <v>11689</v>
      </c>
      <c r="C3010" s="20" t="s">
        <v>11690</v>
      </c>
      <c r="D3010" s="21"/>
      <c r="E3010" s="41"/>
      <c r="H3010" s="23" t="s">
        <v>47</v>
      </c>
      <c r="I3010" s="21"/>
      <c r="J3010" s="25"/>
      <c r="K3010" s="26" t="s">
        <v>44</v>
      </c>
      <c r="L3010" s="16"/>
      <c r="M3010" s="21"/>
    </row>
    <row r="3011">
      <c r="A3011" s="28">
        <v>46232.0</v>
      </c>
      <c r="B3011" s="16" t="s">
        <v>11691</v>
      </c>
      <c r="C3011" s="20" t="s">
        <v>11692</v>
      </c>
      <c r="D3011" s="21"/>
      <c r="E3011" s="41"/>
      <c r="H3011" s="23" t="s">
        <v>47</v>
      </c>
      <c r="I3011" s="21"/>
      <c r="J3011" s="25"/>
      <c r="K3011" s="26" t="s">
        <v>44</v>
      </c>
      <c r="L3011" s="16"/>
      <c r="M3011" s="21"/>
    </row>
    <row r="3012">
      <c r="A3012" s="28">
        <v>46232.0</v>
      </c>
      <c r="B3012" s="16" t="s">
        <v>11693</v>
      </c>
      <c r="C3012" s="20" t="s">
        <v>11694</v>
      </c>
      <c r="D3012" s="21"/>
      <c r="E3012" s="22" t="s">
        <v>11695</v>
      </c>
      <c r="H3012" s="23" t="s">
        <v>2549</v>
      </c>
      <c r="I3012" s="21"/>
      <c r="J3012" s="25"/>
      <c r="K3012" s="26" t="s">
        <v>44</v>
      </c>
      <c r="L3012" s="16"/>
      <c r="M3012" s="21"/>
    </row>
    <row r="3013">
      <c r="A3013" s="28">
        <v>46232.0</v>
      </c>
      <c r="B3013" s="16" t="s">
        <v>11696</v>
      </c>
      <c r="C3013" s="20" t="s">
        <v>11697</v>
      </c>
      <c r="D3013" s="21"/>
      <c r="E3013" s="22" t="s">
        <v>11698</v>
      </c>
      <c r="H3013" s="23" t="s">
        <v>2549</v>
      </c>
      <c r="I3013" s="21"/>
      <c r="J3013" s="25"/>
      <c r="K3013" s="26" t="s">
        <v>44</v>
      </c>
      <c r="L3013" s="16"/>
      <c r="M3013" s="21"/>
    </row>
    <row r="3014">
      <c r="A3014" s="28">
        <v>46232.0</v>
      </c>
      <c r="B3014" s="16" t="s">
        <v>11699</v>
      </c>
      <c r="C3014" s="46" t="s">
        <v>11700</v>
      </c>
      <c r="D3014" s="21"/>
      <c r="E3014" s="22" t="s">
        <v>11701</v>
      </c>
      <c r="H3014" s="23" t="s">
        <v>47</v>
      </c>
      <c r="I3014" s="21"/>
      <c r="J3014" s="25"/>
      <c r="K3014" s="26" t="s">
        <v>44</v>
      </c>
      <c r="L3014" s="16"/>
      <c r="M3014" s="21"/>
    </row>
    <row r="3015">
      <c r="A3015" s="28">
        <v>46232.0</v>
      </c>
      <c r="B3015" s="16" t="s">
        <v>11702</v>
      </c>
      <c r="C3015" s="20" t="s">
        <v>11703</v>
      </c>
      <c r="D3015" s="21"/>
      <c r="E3015" s="22" t="s">
        <v>11704</v>
      </c>
      <c r="H3015" s="23" t="s">
        <v>47</v>
      </c>
      <c r="I3015" s="21"/>
      <c r="J3015" s="25"/>
      <c r="K3015" s="26" t="s">
        <v>44</v>
      </c>
      <c r="L3015" s="16"/>
      <c r="M3015" s="21"/>
    </row>
    <row r="3016">
      <c r="A3016" s="28">
        <v>46232.0</v>
      </c>
      <c r="B3016" s="16" t="s">
        <v>11705</v>
      </c>
      <c r="C3016" s="20" t="s">
        <v>11706</v>
      </c>
      <c r="D3016" s="21"/>
      <c r="E3016" s="22" t="s">
        <v>11707</v>
      </c>
      <c r="H3016" s="23" t="s">
        <v>2549</v>
      </c>
      <c r="I3016" s="21"/>
      <c r="J3016" s="25"/>
      <c r="K3016" s="26" t="s">
        <v>44</v>
      </c>
      <c r="L3016" s="16"/>
      <c r="M3016" s="21"/>
    </row>
    <row r="3017">
      <c r="A3017" s="28">
        <v>46232.0</v>
      </c>
      <c r="B3017" s="16" t="s">
        <v>11708</v>
      </c>
      <c r="C3017" s="20" t="s">
        <v>11709</v>
      </c>
      <c r="D3017" s="21"/>
      <c r="E3017" s="22" t="s">
        <v>11710</v>
      </c>
      <c r="H3017" s="23" t="s">
        <v>2549</v>
      </c>
      <c r="I3017" s="21"/>
      <c r="J3017" s="25"/>
      <c r="K3017" s="26" t="s">
        <v>44</v>
      </c>
      <c r="L3017" s="16"/>
      <c r="M3017" s="21"/>
    </row>
    <row r="3018">
      <c r="A3018" s="28">
        <v>46232.0</v>
      </c>
      <c r="B3018" s="16" t="s">
        <v>11711</v>
      </c>
      <c r="C3018" s="20" t="s">
        <v>11712</v>
      </c>
      <c r="D3018" s="21"/>
      <c r="E3018" s="22" t="s">
        <v>11713</v>
      </c>
      <c r="H3018" s="23" t="s">
        <v>2549</v>
      </c>
      <c r="I3018" s="21"/>
      <c r="J3018" s="25"/>
      <c r="K3018" s="26" t="s">
        <v>44</v>
      </c>
      <c r="L3018" s="16"/>
      <c r="M3018" s="21"/>
    </row>
    <row r="3019">
      <c r="A3019" s="28">
        <v>46232.0</v>
      </c>
      <c r="B3019" s="16" t="s">
        <v>11714</v>
      </c>
      <c r="C3019" s="20" t="s">
        <v>11715</v>
      </c>
      <c r="D3019" s="21"/>
      <c r="E3019" s="22" t="s">
        <v>11716</v>
      </c>
      <c r="H3019" s="23" t="s">
        <v>47</v>
      </c>
      <c r="I3019" s="21"/>
      <c r="J3019" s="25"/>
      <c r="K3019" s="26" t="s">
        <v>44</v>
      </c>
      <c r="L3019" s="16"/>
      <c r="M3019" s="21"/>
    </row>
    <row r="3020">
      <c r="A3020" s="28">
        <v>46232.0</v>
      </c>
      <c r="B3020" s="16" t="s">
        <v>11717</v>
      </c>
      <c r="C3020" s="20" t="s">
        <v>11718</v>
      </c>
      <c r="D3020" s="21"/>
      <c r="E3020" s="41"/>
      <c r="H3020" s="23" t="s">
        <v>2549</v>
      </c>
      <c r="I3020" s="21"/>
      <c r="J3020" s="25"/>
      <c r="K3020" s="26" t="s">
        <v>44</v>
      </c>
      <c r="L3020" s="16"/>
      <c r="M3020" s="21"/>
    </row>
    <row r="3021">
      <c r="A3021" s="28">
        <v>46232.0</v>
      </c>
      <c r="B3021" s="16" t="s">
        <v>11719</v>
      </c>
      <c r="C3021" s="20" t="s">
        <v>11720</v>
      </c>
      <c r="D3021" s="21"/>
      <c r="E3021" s="22" t="s">
        <v>11721</v>
      </c>
      <c r="H3021" s="23" t="s">
        <v>6506</v>
      </c>
      <c r="I3021" s="21"/>
      <c r="J3021" s="25"/>
      <c r="K3021" s="26" t="s">
        <v>44</v>
      </c>
      <c r="L3021" s="16"/>
      <c r="M3021" s="21"/>
    </row>
    <row r="3022">
      <c r="A3022" s="28">
        <v>46232.0</v>
      </c>
      <c r="B3022" s="16" t="s">
        <v>11722</v>
      </c>
      <c r="C3022" s="20" t="s">
        <v>11723</v>
      </c>
      <c r="D3022" s="21"/>
      <c r="E3022" s="22" t="s">
        <v>11724</v>
      </c>
      <c r="H3022" s="23" t="s">
        <v>2549</v>
      </c>
      <c r="I3022" s="21"/>
      <c r="J3022" s="25"/>
      <c r="K3022" s="26" t="s">
        <v>44</v>
      </c>
      <c r="L3022" s="16"/>
      <c r="M3022" s="21"/>
    </row>
    <row r="3023">
      <c r="A3023" s="28">
        <v>46232.0</v>
      </c>
      <c r="B3023" s="16" t="s">
        <v>11725</v>
      </c>
      <c r="C3023" s="20" t="s">
        <v>11726</v>
      </c>
      <c r="D3023" s="21"/>
      <c r="E3023" s="22" t="s">
        <v>11727</v>
      </c>
      <c r="H3023" s="23" t="s">
        <v>47</v>
      </c>
      <c r="I3023" s="21"/>
      <c r="J3023" s="25"/>
      <c r="K3023" s="26" t="s">
        <v>44</v>
      </c>
      <c r="L3023" s="16"/>
      <c r="M3023" s="21"/>
    </row>
    <row r="3024">
      <c r="A3024" s="28">
        <v>46232.0</v>
      </c>
      <c r="B3024" s="16" t="s">
        <v>11728</v>
      </c>
      <c r="C3024" s="20" t="s">
        <v>11729</v>
      </c>
      <c r="D3024" s="21"/>
      <c r="E3024" s="22" t="s">
        <v>11730</v>
      </c>
      <c r="H3024" s="23" t="s">
        <v>47</v>
      </c>
      <c r="I3024" s="21"/>
      <c r="J3024" s="25"/>
      <c r="K3024" s="26" t="s">
        <v>44</v>
      </c>
      <c r="L3024" s="16"/>
      <c r="M3024" s="21"/>
    </row>
    <row r="3025">
      <c r="A3025" s="28">
        <v>46232.0</v>
      </c>
      <c r="B3025" s="16" t="s">
        <v>11731</v>
      </c>
      <c r="C3025" s="20" t="s">
        <v>11732</v>
      </c>
      <c r="D3025" s="21"/>
      <c r="E3025" s="22" t="s">
        <v>11733</v>
      </c>
      <c r="H3025" s="23" t="s">
        <v>2549</v>
      </c>
      <c r="I3025" s="21"/>
      <c r="J3025" s="25"/>
      <c r="K3025" s="26" t="s">
        <v>44</v>
      </c>
      <c r="L3025" s="16"/>
      <c r="M3025" s="21"/>
    </row>
    <row r="3026">
      <c r="A3026" s="28">
        <v>46232.0</v>
      </c>
      <c r="B3026" s="16" t="s">
        <v>11734</v>
      </c>
      <c r="C3026" s="20" t="s">
        <v>11735</v>
      </c>
      <c r="D3026" s="21"/>
      <c r="E3026" s="22" t="s">
        <v>11736</v>
      </c>
      <c r="H3026" s="23" t="s">
        <v>2549</v>
      </c>
      <c r="I3026" s="21"/>
      <c r="J3026" s="25"/>
      <c r="K3026" s="26" t="s">
        <v>44</v>
      </c>
      <c r="L3026" s="16"/>
      <c r="M3026" s="21"/>
    </row>
    <row r="3027">
      <c r="A3027" s="28">
        <v>46232.0</v>
      </c>
      <c r="B3027" s="16" t="s">
        <v>11737</v>
      </c>
      <c r="C3027" s="20" t="s">
        <v>11738</v>
      </c>
      <c r="D3027" s="21"/>
      <c r="E3027" s="41"/>
      <c r="H3027" s="23" t="s">
        <v>47</v>
      </c>
      <c r="I3027" s="21"/>
      <c r="J3027" s="25"/>
      <c r="K3027" s="26" t="s">
        <v>44</v>
      </c>
      <c r="L3027" s="16"/>
      <c r="M3027" s="21"/>
    </row>
    <row r="3028">
      <c r="A3028" s="28">
        <v>46232.0</v>
      </c>
      <c r="B3028" s="16" t="s">
        <v>11739</v>
      </c>
      <c r="C3028" s="20" t="s">
        <v>11740</v>
      </c>
      <c r="D3028" s="21"/>
      <c r="E3028" s="22" t="s">
        <v>11741</v>
      </c>
      <c r="H3028" s="23" t="s">
        <v>2549</v>
      </c>
      <c r="I3028" s="21"/>
      <c r="J3028" s="25"/>
      <c r="K3028" s="26" t="s">
        <v>44</v>
      </c>
      <c r="L3028" s="16"/>
      <c r="M3028" s="21"/>
    </row>
    <row r="3029">
      <c r="A3029" s="28">
        <v>46232.0</v>
      </c>
      <c r="B3029" s="16" t="s">
        <v>11742</v>
      </c>
      <c r="C3029" s="20" t="s">
        <v>11743</v>
      </c>
      <c r="D3029" s="21"/>
      <c r="E3029" s="22" t="s">
        <v>11744</v>
      </c>
      <c r="H3029" s="23" t="s">
        <v>47</v>
      </c>
      <c r="I3029" s="21"/>
      <c r="J3029" s="25"/>
      <c r="K3029" s="26" t="s">
        <v>44</v>
      </c>
      <c r="L3029" s="16"/>
      <c r="M3029" s="21"/>
    </row>
    <row r="3030">
      <c r="A3030" s="28">
        <v>46232.0</v>
      </c>
      <c r="B3030" s="16" t="s">
        <v>11745</v>
      </c>
      <c r="C3030" s="20" t="s">
        <v>11746</v>
      </c>
      <c r="D3030" s="21"/>
      <c r="E3030" s="22" t="s">
        <v>11747</v>
      </c>
      <c r="H3030" s="23" t="s">
        <v>47</v>
      </c>
      <c r="I3030" s="21"/>
      <c r="J3030" s="25"/>
      <c r="K3030" s="26" t="s">
        <v>44</v>
      </c>
      <c r="L3030" s="16"/>
      <c r="M3030" s="21"/>
    </row>
    <row r="3031">
      <c r="A3031" s="28">
        <v>46232.0</v>
      </c>
      <c r="B3031" s="16" t="s">
        <v>11748</v>
      </c>
      <c r="C3031" s="20" t="s">
        <v>11749</v>
      </c>
      <c r="D3031" s="21"/>
      <c r="E3031" s="22" t="s">
        <v>11750</v>
      </c>
      <c r="H3031" s="23" t="s">
        <v>47</v>
      </c>
      <c r="I3031" s="21"/>
      <c r="J3031" s="25"/>
      <c r="K3031" s="26" t="s">
        <v>44</v>
      </c>
      <c r="L3031" s="16"/>
      <c r="M3031" s="21"/>
    </row>
    <row r="3032">
      <c r="A3032" s="28">
        <v>46232.0</v>
      </c>
      <c r="B3032" s="16" t="s">
        <v>11751</v>
      </c>
      <c r="C3032" s="20" t="s">
        <v>11752</v>
      </c>
      <c r="D3032" s="21"/>
      <c r="E3032" s="22" t="s">
        <v>11753</v>
      </c>
      <c r="H3032" s="23" t="s">
        <v>2549</v>
      </c>
      <c r="I3032" s="21"/>
      <c r="J3032" s="25"/>
      <c r="K3032" s="26" t="s">
        <v>44</v>
      </c>
      <c r="L3032" s="16"/>
      <c r="M3032" s="21"/>
    </row>
    <row r="3033">
      <c r="A3033" s="28">
        <v>46232.0</v>
      </c>
      <c r="B3033" s="16" t="s">
        <v>11754</v>
      </c>
      <c r="C3033" s="20" t="s">
        <v>11755</v>
      </c>
      <c r="D3033" s="21"/>
      <c r="E3033" s="22" t="s">
        <v>11756</v>
      </c>
      <c r="H3033" s="23" t="s">
        <v>2549</v>
      </c>
      <c r="I3033" s="21"/>
      <c r="J3033" s="25"/>
      <c r="K3033" s="26" t="s">
        <v>44</v>
      </c>
      <c r="L3033" s="16"/>
      <c r="M3033" s="21"/>
    </row>
    <row r="3034">
      <c r="A3034" s="28">
        <v>46232.0</v>
      </c>
      <c r="B3034" s="16" t="s">
        <v>11757</v>
      </c>
      <c r="C3034" s="20" t="s">
        <v>11758</v>
      </c>
      <c r="D3034" s="21"/>
      <c r="E3034" s="41"/>
      <c r="H3034" s="23" t="s">
        <v>2549</v>
      </c>
      <c r="I3034" s="21"/>
      <c r="J3034" s="25"/>
      <c r="K3034" s="26" t="s">
        <v>44</v>
      </c>
      <c r="L3034" s="16"/>
      <c r="M3034" s="21"/>
    </row>
    <row r="3035">
      <c r="A3035" s="28">
        <v>46232.0</v>
      </c>
      <c r="B3035" s="16" t="s">
        <v>11759</v>
      </c>
      <c r="C3035" s="20" t="s">
        <v>11760</v>
      </c>
      <c r="D3035" s="21"/>
      <c r="E3035" s="22" t="s">
        <v>11761</v>
      </c>
      <c r="H3035" s="23" t="s">
        <v>47</v>
      </c>
      <c r="I3035" s="21"/>
      <c r="J3035" s="25"/>
      <c r="K3035" s="26" t="s">
        <v>44</v>
      </c>
      <c r="L3035" s="16"/>
      <c r="M3035" s="21"/>
    </row>
    <row r="3036">
      <c r="A3036" s="28">
        <v>46232.0</v>
      </c>
      <c r="B3036" s="16" t="s">
        <v>11762</v>
      </c>
      <c r="C3036" s="20" t="s">
        <v>11763</v>
      </c>
      <c r="D3036" s="21"/>
      <c r="E3036" s="22" t="s">
        <v>11764</v>
      </c>
      <c r="H3036" s="23" t="s">
        <v>2549</v>
      </c>
      <c r="I3036" s="21"/>
      <c r="J3036" s="25"/>
      <c r="K3036" s="26" t="s">
        <v>44</v>
      </c>
      <c r="L3036" s="16"/>
      <c r="M3036" s="21"/>
    </row>
    <row r="3037">
      <c r="A3037" s="28">
        <v>46232.0</v>
      </c>
      <c r="B3037" s="16" t="s">
        <v>11765</v>
      </c>
      <c r="C3037" s="20" t="s">
        <v>11766</v>
      </c>
      <c r="D3037" s="21"/>
      <c r="E3037" s="22" t="s">
        <v>11767</v>
      </c>
      <c r="H3037" s="23" t="s">
        <v>2549</v>
      </c>
      <c r="I3037" s="21"/>
      <c r="J3037" s="25"/>
      <c r="K3037" s="26" t="s">
        <v>44</v>
      </c>
      <c r="L3037" s="16"/>
      <c r="M3037" s="21"/>
    </row>
    <row r="3038">
      <c r="A3038" s="28">
        <v>46232.0</v>
      </c>
      <c r="B3038" s="16" t="s">
        <v>11768</v>
      </c>
      <c r="C3038" s="20" t="s">
        <v>11769</v>
      </c>
      <c r="D3038" s="21"/>
      <c r="E3038" s="22" t="s">
        <v>11770</v>
      </c>
      <c r="H3038" s="23" t="s">
        <v>47</v>
      </c>
      <c r="I3038" s="21"/>
      <c r="J3038" s="25"/>
      <c r="K3038" s="26" t="s">
        <v>44</v>
      </c>
      <c r="L3038" s="16"/>
      <c r="M3038" s="21"/>
    </row>
    <row r="3039">
      <c r="A3039" s="28">
        <v>46232.0</v>
      </c>
      <c r="B3039" s="16" t="s">
        <v>11771</v>
      </c>
      <c r="C3039" s="20" t="s">
        <v>11772</v>
      </c>
      <c r="D3039" s="21"/>
      <c r="E3039" s="22" t="s">
        <v>11773</v>
      </c>
      <c r="H3039" s="23" t="s">
        <v>11267</v>
      </c>
      <c r="I3039" s="21"/>
      <c r="J3039" s="25"/>
      <c r="K3039" s="26" t="s">
        <v>44</v>
      </c>
      <c r="L3039" s="16"/>
      <c r="M3039" s="21"/>
    </row>
    <row r="3040">
      <c r="A3040" s="28">
        <v>46232.0</v>
      </c>
      <c r="B3040" s="16" t="s">
        <v>11774</v>
      </c>
      <c r="C3040" s="20" t="s">
        <v>11775</v>
      </c>
      <c r="D3040" s="21"/>
      <c r="E3040" s="22" t="s">
        <v>11776</v>
      </c>
      <c r="H3040" s="23" t="s">
        <v>2549</v>
      </c>
      <c r="I3040" s="21"/>
      <c r="J3040" s="25"/>
      <c r="K3040" s="26" t="s">
        <v>44</v>
      </c>
      <c r="L3040" s="16"/>
      <c r="M3040" s="21"/>
    </row>
    <row r="3041">
      <c r="A3041" s="28">
        <v>46232.0</v>
      </c>
      <c r="B3041" s="16" t="s">
        <v>11777</v>
      </c>
      <c r="C3041" s="20" t="s">
        <v>11778</v>
      </c>
      <c r="D3041" s="21"/>
      <c r="E3041" s="22" t="s">
        <v>11779</v>
      </c>
      <c r="H3041" s="23" t="s">
        <v>2549</v>
      </c>
      <c r="I3041" s="21"/>
      <c r="J3041" s="25"/>
      <c r="K3041" s="26" t="s">
        <v>44</v>
      </c>
      <c r="L3041" s="16"/>
      <c r="M3041" s="21"/>
    </row>
    <row r="3042">
      <c r="A3042" s="28">
        <v>46232.0</v>
      </c>
      <c r="B3042" s="16" t="s">
        <v>11780</v>
      </c>
      <c r="C3042" s="20" t="s">
        <v>11781</v>
      </c>
      <c r="D3042" s="21"/>
      <c r="E3042" s="22" t="s">
        <v>11782</v>
      </c>
      <c r="H3042" s="23" t="s">
        <v>2549</v>
      </c>
      <c r="I3042" s="21"/>
      <c r="J3042" s="25"/>
      <c r="K3042" s="26" t="s">
        <v>44</v>
      </c>
      <c r="L3042" s="16"/>
      <c r="M3042" s="21"/>
    </row>
    <row r="3043">
      <c r="A3043" s="28">
        <v>46232.0</v>
      </c>
      <c r="B3043" s="16" t="s">
        <v>11783</v>
      </c>
      <c r="C3043" s="20" t="s">
        <v>11784</v>
      </c>
      <c r="D3043" s="21"/>
      <c r="E3043" s="22" t="s">
        <v>11785</v>
      </c>
      <c r="H3043" s="23" t="s">
        <v>2549</v>
      </c>
      <c r="I3043" s="21"/>
      <c r="J3043" s="25"/>
      <c r="K3043" s="26" t="s">
        <v>44</v>
      </c>
      <c r="L3043" s="16"/>
      <c r="M3043" s="21"/>
    </row>
    <row r="3044">
      <c r="A3044" s="28">
        <v>46232.0</v>
      </c>
      <c r="B3044" s="16" t="s">
        <v>11786</v>
      </c>
      <c r="C3044" s="20" t="s">
        <v>11787</v>
      </c>
      <c r="D3044" s="21"/>
      <c r="E3044" s="22" t="s">
        <v>11788</v>
      </c>
      <c r="H3044" s="23" t="s">
        <v>2549</v>
      </c>
      <c r="I3044" s="21"/>
      <c r="J3044" s="25"/>
      <c r="K3044" s="26" t="s">
        <v>44</v>
      </c>
      <c r="L3044" s="16"/>
      <c r="M3044" s="21"/>
    </row>
    <row r="3045">
      <c r="A3045" s="28">
        <v>46232.0</v>
      </c>
      <c r="B3045" s="16" t="s">
        <v>11789</v>
      </c>
      <c r="C3045" s="20" t="s">
        <v>11790</v>
      </c>
      <c r="D3045" s="21"/>
      <c r="E3045" s="22" t="s">
        <v>11791</v>
      </c>
      <c r="H3045" s="23" t="s">
        <v>2549</v>
      </c>
      <c r="I3045" s="21"/>
      <c r="J3045" s="25"/>
      <c r="K3045" s="26" t="s">
        <v>44</v>
      </c>
      <c r="L3045" s="16"/>
      <c r="M3045" s="21"/>
    </row>
    <row r="3046">
      <c r="A3046" s="28">
        <v>46232.0</v>
      </c>
      <c r="B3046" s="16" t="s">
        <v>11792</v>
      </c>
      <c r="C3046" s="20" t="s">
        <v>11793</v>
      </c>
      <c r="D3046" s="21"/>
      <c r="E3046" s="22" t="s">
        <v>11794</v>
      </c>
      <c r="H3046" s="23" t="s">
        <v>47</v>
      </c>
      <c r="I3046" s="21"/>
      <c r="J3046" s="25"/>
      <c r="K3046" s="26" t="s">
        <v>44</v>
      </c>
      <c r="L3046" s="16"/>
      <c r="M3046" s="21"/>
    </row>
    <row r="3047">
      <c r="A3047" s="28">
        <v>46232.0</v>
      </c>
      <c r="B3047" s="16" t="s">
        <v>11795</v>
      </c>
      <c r="C3047" s="20" t="s">
        <v>11796</v>
      </c>
      <c r="D3047" s="21"/>
      <c r="E3047" s="22" t="s">
        <v>11797</v>
      </c>
      <c r="H3047" s="23" t="s">
        <v>2549</v>
      </c>
      <c r="I3047" s="21"/>
      <c r="J3047" s="25"/>
      <c r="K3047" s="26" t="s">
        <v>44</v>
      </c>
      <c r="L3047" s="16"/>
      <c r="M3047" s="21"/>
    </row>
    <row r="3048">
      <c r="A3048" s="28">
        <v>46232.0</v>
      </c>
      <c r="B3048" s="16" t="s">
        <v>11798</v>
      </c>
      <c r="C3048" s="20" t="s">
        <v>11799</v>
      </c>
      <c r="D3048" s="21"/>
      <c r="E3048" s="41"/>
      <c r="H3048" s="23" t="s">
        <v>47</v>
      </c>
      <c r="I3048" s="21"/>
      <c r="J3048" s="25"/>
      <c r="K3048" s="26" t="s">
        <v>44</v>
      </c>
      <c r="L3048" s="16"/>
      <c r="M3048" s="21"/>
    </row>
    <row r="3049">
      <c r="A3049" s="28">
        <v>46232.0</v>
      </c>
      <c r="B3049" s="16" t="s">
        <v>11800</v>
      </c>
      <c r="C3049" s="20" t="s">
        <v>11801</v>
      </c>
      <c r="D3049" s="21"/>
      <c r="E3049" s="22" t="s">
        <v>11802</v>
      </c>
      <c r="H3049" s="23" t="s">
        <v>2549</v>
      </c>
      <c r="I3049" s="21"/>
      <c r="J3049" s="25"/>
      <c r="K3049" s="26" t="s">
        <v>44</v>
      </c>
      <c r="L3049" s="16"/>
      <c r="M3049" s="21"/>
    </row>
    <row r="3050">
      <c r="A3050" s="28">
        <v>46232.0</v>
      </c>
      <c r="B3050" s="16" t="s">
        <v>11803</v>
      </c>
      <c r="C3050" s="20" t="s">
        <v>11804</v>
      </c>
      <c r="D3050" s="21"/>
      <c r="E3050" s="41"/>
      <c r="H3050" s="23" t="s">
        <v>2549</v>
      </c>
      <c r="I3050" s="21"/>
      <c r="J3050" s="25"/>
      <c r="K3050" s="26" t="s">
        <v>44</v>
      </c>
      <c r="L3050" s="16"/>
      <c r="M3050" s="21"/>
    </row>
    <row r="3051">
      <c r="A3051" s="28">
        <v>46232.0</v>
      </c>
      <c r="B3051" s="16" t="s">
        <v>11805</v>
      </c>
      <c r="C3051" s="20" t="s">
        <v>11806</v>
      </c>
      <c r="D3051" s="21"/>
      <c r="E3051" s="22" t="s">
        <v>11807</v>
      </c>
      <c r="H3051" s="23" t="s">
        <v>47</v>
      </c>
      <c r="I3051" s="21"/>
      <c r="J3051" s="25"/>
      <c r="K3051" s="26" t="s">
        <v>44</v>
      </c>
      <c r="L3051" s="16"/>
      <c r="M3051" s="21"/>
    </row>
    <row r="3052">
      <c r="A3052" s="28">
        <v>46232.0</v>
      </c>
      <c r="B3052" s="16" t="s">
        <v>11808</v>
      </c>
      <c r="C3052" s="20" t="s">
        <v>11809</v>
      </c>
      <c r="D3052" s="21"/>
      <c r="E3052" s="22" t="s">
        <v>11810</v>
      </c>
      <c r="H3052" s="23" t="s">
        <v>47</v>
      </c>
      <c r="I3052" s="21"/>
      <c r="J3052" s="25"/>
      <c r="K3052" s="26" t="s">
        <v>44</v>
      </c>
      <c r="L3052" s="16"/>
      <c r="M3052" s="21"/>
    </row>
    <row r="3053">
      <c r="A3053" s="28">
        <v>46232.0</v>
      </c>
      <c r="B3053" s="16" t="s">
        <v>11811</v>
      </c>
      <c r="C3053" s="20" t="s">
        <v>11812</v>
      </c>
      <c r="D3053" s="21"/>
      <c r="E3053" s="22" t="s">
        <v>11813</v>
      </c>
      <c r="H3053" s="23" t="s">
        <v>47</v>
      </c>
      <c r="I3053" s="21"/>
      <c r="J3053" s="25"/>
      <c r="K3053" s="26" t="s">
        <v>44</v>
      </c>
      <c r="L3053" s="16"/>
      <c r="M3053" s="21"/>
    </row>
    <row r="3054">
      <c r="A3054" s="28">
        <v>46232.0</v>
      </c>
      <c r="B3054" s="16" t="s">
        <v>11814</v>
      </c>
      <c r="C3054" s="20" t="s">
        <v>11815</v>
      </c>
      <c r="D3054" s="21"/>
      <c r="E3054" s="22" t="s">
        <v>11816</v>
      </c>
      <c r="H3054" s="23" t="s">
        <v>2549</v>
      </c>
      <c r="I3054" s="21"/>
      <c r="J3054" s="25"/>
      <c r="K3054" s="26" t="s">
        <v>44</v>
      </c>
      <c r="L3054" s="16"/>
      <c r="M3054" s="21"/>
    </row>
    <row r="3055">
      <c r="A3055" s="28">
        <v>46232.0</v>
      </c>
      <c r="B3055" s="16" t="s">
        <v>11817</v>
      </c>
      <c r="C3055" s="20" t="s">
        <v>11818</v>
      </c>
      <c r="D3055" s="21"/>
      <c r="E3055" s="41"/>
      <c r="H3055" s="23" t="s">
        <v>6506</v>
      </c>
      <c r="I3055" s="21"/>
      <c r="J3055" s="25"/>
      <c r="K3055" s="26" t="s">
        <v>44</v>
      </c>
      <c r="L3055" s="16"/>
      <c r="M3055" s="21"/>
    </row>
    <row r="3056">
      <c r="A3056" s="28">
        <v>46232.0</v>
      </c>
      <c r="B3056" s="16" t="s">
        <v>11819</v>
      </c>
      <c r="C3056" s="20" t="s">
        <v>11820</v>
      </c>
      <c r="D3056" s="21"/>
      <c r="E3056" s="22" t="s">
        <v>11821</v>
      </c>
      <c r="H3056" s="23" t="s">
        <v>47</v>
      </c>
      <c r="I3056" s="21"/>
      <c r="J3056" s="25"/>
      <c r="K3056" s="26" t="s">
        <v>44</v>
      </c>
      <c r="L3056" s="16"/>
      <c r="M3056" s="21"/>
    </row>
    <row r="3057">
      <c r="A3057" s="28">
        <v>46232.0</v>
      </c>
      <c r="B3057" s="16" t="s">
        <v>11822</v>
      </c>
      <c r="C3057" s="20" t="s">
        <v>11823</v>
      </c>
      <c r="D3057" s="21"/>
      <c r="E3057" s="22" t="s">
        <v>11824</v>
      </c>
      <c r="H3057" s="23" t="s">
        <v>47</v>
      </c>
      <c r="I3057" s="21"/>
      <c r="J3057" s="25"/>
      <c r="K3057" s="26" t="s">
        <v>44</v>
      </c>
      <c r="L3057" s="16"/>
      <c r="M3057" s="21"/>
    </row>
    <row r="3058">
      <c r="A3058" s="28">
        <v>46232.0</v>
      </c>
      <c r="B3058" s="16" t="s">
        <v>11825</v>
      </c>
      <c r="C3058" s="20" t="s">
        <v>11826</v>
      </c>
      <c r="D3058" s="21"/>
      <c r="E3058" s="22" t="s">
        <v>11827</v>
      </c>
      <c r="H3058" s="23" t="s">
        <v>2549</v>
      </c>
      <c r="I3058" s="21"/>
      <c r="J3058" s="25"/>
      <c r="K3058" s="26" t="s">
        <v>44</v>
      </c>
      <c r="L3058" s="16"/>
      <c r="M3058" s="21"/>
    </row>
    <row r="3059">
      <c r="A3059" s="28">
        <v>46232.0</v>
      </c>
      <c r="B3059" s="16" t="s">
        <v>11828</v>
      </c>
      <c r="C3059" s="20" t="s">
        <v>11829</v>
      </c>
      <c r="D3059" s="21"/>
      <c r="E3059" s="22" t="s">
        <v>11830</v>
      </c>
      <c r="H3059" s="23" t="s">
        <v>2549</v>
      </c>
      <c r="I3059" s="21"/>
      <c r="J3059" s="25"/>
      <c r="K3059" s="26" t="s">
        <v>44</v>
      </c>
      <c r="L3059" s="16"/>
      <c r="M3059" s="21"/>
    </row>
    <row r="3060">
      <c r="A3060" s="28">
        <v>46232.0</v>
      </c>
      <c r="B3060" s="16" t="s">
        <v>11831</v>
      </c>
      <c r="C3060" s="20" t="s">
        <v>11832</v>
      </c>
      <c r="D3060" s="21"/>
      <c r="E3060" s="22" t="s">
        <v>11833</v>
      </c>
      <c r="H3060" s="23" t="s">
        <v>47</v>
      </c>
      <c r="I3060" s="21"/>
      <c r="J3060" s="25"/>
      <c r="K3060" s="26" t="s">
        <v>44</v>
      </c>
      <c r="L3060" s="16"/>
      <c r="M3060" s="21"/>
    </row>
    <row r="3061">
      <c r="A3061" s="28">
        <v>46232.0</v>
      </c>
      <c r="B3061" s="16" t="s">
        <v>11834</v>
      </c>
      <c r="C3061" s="20" t="s">
        <v>11835</v>
      </c>
      <c r="D3061" s="21"/>
      <c r="E3061" s="22" t="s">
        <v>11836</v>
      </c>
      <c r="H3061" s="23" t="s">
        <v>2549</v>
      </c>
      <c r="I3061" s="21"/>
      <c r="J3061" s="25"/>
      <c r="K3061" s="26" t="s">
        <v>44</v>
      </c>
      <c r="L3061" s="16"/>
      <c r="M3061" s="21"/>
    </row>
    <row r="3062">
      <c r="A3062" s="28">
        <v>46232.0</v>
      </c>
      <c r="B3062" s="16" t="s">
        <v>11837</v>
      </c>
      <c r="C3062" s="20" t="s">
        <v>11838</v>
      </c>
      <c r="D3062" s="21"/>
      <c r="E3062" s="22" t="s">
        <v>11839</v>
      </c>
      <c r="H3062" s="23" t="s">
        <v>47</v>
      </c>
      <c r="I3062" s="21"/>
      <c r="J3062" s="25"/>
      <c r="K3062" s="26" t="s">
        <v>44</v>
      </c>
      <c r="L3062" s="16"/>
      <c r="M3062" s="21"/>
    </row>
    <row r="3063">
      <c r="A3063" s="28">
        <v>46232.0</v>
      </c>
      <c r="B3063" s="16" t="s">
        <v>11840</v>
      </c>
      <c r="C3063" s="20" t="s">
        <v>11841</v>
      </c>
      <c r="D3063" s="21"/>
      <c r="E3063" s="22" t="s">
        <v>11842</v>
      </c>
      <c r="H3063" s="23" t="s">
        <v>47</v>
      </c>
      <c r="I3063" s="21"/>
      <c r="J3063" s="25"/>
      <c r="K3063" s="26" t="s">
        <v>44</v>
      </c>
      <c r="L3063" s="16"/>
      <c r="M3063" s="21"/>
    </row>
    <row r="3064">
      <c r="A3064" s="28">
        <v>46232.0</v>
      </c>
      <c r="B3064" s="16" t="s">
        <v>11843</v>
      </c>
      <c r="C3064" s="20" t="s">
        <v>11844</v>
      </c>
      <c r="D3064" s="21"/>
      <c r="E3064" s="22" t="s">
        <v>11845</v>
      </c>
      <c r="H3064" s="23" t="s">
        <v>47</v>
      </c>
      <c r="I3064" s="21"/>
      <c r="J3064" s="25"/>
      <c r="K3064" s="26" t="s">
        <v>44</v>
      </c>
      <c r="L3064" s="16"/>
      <c r="M3064" s="21"/>
    </row>
    <row r="3065">
      <c r="A3065" s="28">
        <v>46232.0</v>
      </c>
      <c r="B3065" s="16" t="s">
        <v>11846</v>
      </c>
      <c r="C3065" s="20" t="s">
        <v>11847</v>
      </c>
      <c r="D3065" s="21"/>
      <c r="E3065" s="22" t="s">
        <v>11848</v>
      </c>
      <c r="H3065" s="23" t="s">
        <v>47</v>
      </c>
      <c r="I3065" s="21"/>
      <c r="J3065" s="25"/>
      <c r="K3065" s="26" t="s">
        <v>44</v>
      </c>
      <c r="L3065" s="16"/>
      <c r="M3065" s="21"/>
    </row>
    <row r="3066">
      <c r="A3066" s="28">
        <v>46232.0</v>
      </c>
      <c r="B3066" s="16" t="s">
        <v>11849</v>
      </c>
      <c r="C3066" s="20" t="s">
        <v>11850</v>
      </c>
      <c r="D3066" s="21"/>
      <c r="E3066" s="41"/>
      <c r="H3066" s="23" t="s">
        <v>47</v>
      </c>
      <c r="I3066" s="21"/>
      <c r="J3066" s="25"/>
      <c r="K3066" s="26" t="s">
        <v>44</v>
      </c>
      <c r="L3066" s="16"/>
      <c r="M3066" s="21"/>
    </row>
    <row r="3067">
      <c r="A3067" s="28">
        <v>46232.0</v>
      </c>
      <c r="B3067" s="16" t="s">
        <v>11851</v>
      </c>
      <c r="C3067" s="20" t="s">
        <v>11852</v>
      </c>
      <c r="D3067" s="21"/>
      <c r="E3067" s="22" t="s">
        <v>11853</v>
      </c>
      <c r="H3067" s="23" t="s">
        <v>47</v>
      </c>
      <c r="I3067" s="21"/>
      <c r="J3067" s="25"/>
      <c r="K3067" s="26" t="s">
        <v>44</v>
      </c>
      <c r="L3067" s="16"/>
      <c r="M3067" s="21"/>
    </row>
    <row r="3068">
      <c r="A3068" s="28">
        <v>46232.0</v>
      </c>
      <c r="B3068" s="16" t="s">
        <v>11854</v>
      </c>
      <c r="C3068" s="20" t="s">
        <v>11855</v>
      </c>
      <c r="D3068" s="21"/>
      <c r="E3068" s="22" t="s">
        <v>11856</v>
      </c>
      <c r="H3068" s="23" t="s">
        <v>2549</v>
      </c>
      <c r="I3068" s="21"/>
      <c r="J3068" s="25"/>
      <c r="K3068" s="26" t="s">
        <v>44</v>
      </c>
      <c r="L3068" s="16"/>
      <c r="M3068" s="21"/>
    </row>
    <row r="3069">
      <c r="A3069" s="28">
        <v>46232.0</v>
      </c>
      <c r="B3069" s="16" t="s">
        <v>11857</v>
      </c>
      <c r="C3069" s="20" t="s">
        <v>11858</v>
      </c>
      <c r="D3069" s="21"/>
      <c r="E3069" s="22" t="s">
        <v>11859</v>
      </c>
      <c r="H3069" s="23" t="s">
        <v>47</v>
      </c>
      <c r="I3069" s="21"/>
      <c r="J3069" s="25"/>
      <c r="K3069" s="26" t="s">
        <v>44</v>
      </c>
      <c r="L3069" s="16"/>
      <c r="M3069" s="21"/>
    </row>
    <row r="3070">
      <c r="A3070" s="28">
        <v>46232.0</v>
      </c>
      <c r="B3070" s="16" t="s">
        <v>11860</v>
      </c>
      <c r="C3070" s="20" t="s">
        <v>11861</v>
      </c>
      <c r="D3070" s="21"/>
      <c r="E3070" s="22" t="s">
        <v>11862</v>
      </c>
      <c r="H3070" s="23" t="s">
        <v>2549</v>
      </c>
      <c r="I3070" s="21"/>
      <c r="J3070" s="25"/>
      <c r="K3070" s="26" t="s">
        <v>44</v>
      </c>
      <c r="L3070" s="16"/>
      <c r="M3070" s="21"/>
    </row>
    <row r="3071">
      <c r="A3071" s="28">
        <v>46232.0</v>
      </c>
      <c r="B3071" s="16" t="s">
        <v>11863</v>
      </c>
      <c r="C3071" s="20" t="s">
        <v>11864</v>
      </c>
      <c r="D3071" s="21"/>
      <c r="E3071" s="22" t="s">
        <v>11865</v>
      </c>
      <c r="H3071" s="23" t="s">
        <v>2549</v>
      </c>
      <c r="I3071" s="21"/>
      <c r="J3071" s="25"/>
      <c r="K3071" s="26" t="s">
        <v>44</v>
      </c>
      <c r="L3071" s="16"/>
      <c r="M3071" s="21"/>
    </row>
    <row r="3072">
      <c r="A3072" s="28">
        <v>46232.0</v>
      </c>
      <c r="B3072" s="16" t="s">
        <v>11866</v>
      </c>
      <c r="C3072" s="20" t="s">
        <v>11867</v>
      </c>
      <c r="D3072" s="21"/>
      <c r="E3072" s="41"/>
      <c r="H3072" s="23" t="s">
        <v>2549</v>
      </c>
      <c r="I3072" s="21"/>
      <c r="J3072" s="25"/>
      <c r="K3072" s="26" t="s">
        <v>44</v>
      </c>
      <c r="L3072" s="16"/>
      <c r="M3072" s="21"/>
    </row>
    <row r="3073">
      <c r="A3073" s="28">
        <v>46232.0</v>
      </c>
      <c r="B3073" s="16" t="s">
        <v>11868</v>
      </c>
      <c r="C3073" s="20" t="s">
        <v>11869</v>
      </c>
      <c r="D3073" s="21"/>
      <c r="E3073" s="22" t="s">
        <v>11870</v>
      </c>
      <c r="H3073" s="23" t="s">
        <v>2549</v>
      </c>
      <c r="I3073" s="21"/>
      <c r="J3073" s="25"/>
      <c r="K3073" s="26" t="s">
        <v>44</v>
      </c>
      <c r="L3073" s="16"/>
      <c r="M3073" s="21"/>
    </row>
    <row r="3074">
      <c r="A3074" s="28">
        <v>46232.0</v>
      </c>
      <c r="B3074" s="16" t="s">
        <v>11871</v>
      </c>
      <c r="C3074" s="20" t="s">
        <v>11872</v>
      </c>
      <c r="D3074" s="21"/>
      <c r="E3074" s="22" t="s">
        <v>11873</v>
      </c>
      <c r="H3074" s="23" t="s">
        <v>47</v>
      </c>
      <c r="I3074" s="21"/>
      <c r="J3074" s="25"/>
      <c r="K3074" s="26" t="s">
        <v>44</v>
      </c>
      <c r="L3074" s="16"/>
      <c r="M3074" s="21"/>
    </row>
    <row r="3075">
      <c r="A3075" s="28">
        <v>46232.0</v>
      </c>
      <c r="B3075" s="16" t="s">
        <v>11874</v>
      </c>
      <c r="C3075" s="20" t="s">
        <v>11875</v>
      </c>
      <c r="D3075" s="21"/>
      <c r="E3075" s="41"/>
      <c r="H3075" s="23" t="s">
        <v>47</v>
      </c>
      <c r="I3075" s="21"/>
      <c r="J3075" s="25"/>
      <c r="K3075" s="26" t="s">
        <v>44</v>
      </c>
      <c r="L3075" s="16"/>
      <c r="M3075" s="21"/>
    </row>
    <row r="3076">
      <c r="A3076" s="28">
        <v>46232.0</v>
      </c>
      <c r="B3076" s="16" t="s">
        <v>11876</v>
      </c>
      <c r="C3076" s="20" t="s">
        <v>11877</v>
      </c>
      <c r="D3076" s="21"/>
      <c r="E3076" s="22" t="s">
        <v>11878</v>
      </c>
      <c r="H3076" s="23" t="s">
        <v>11267</v>
      </c>
      <c r="I3076" s="21"/>
      <c r="J3076" s="25"/>
      <c r="K3076" s="26" t="s">
        <v>44</v>
      </c>
      <c r="L3076" s="16"/>
      <c r="M3076" s="21"/>
    </row>
    <row r="3077">
      <c r="A3077" s="28">
        <v>46232.0</v>
      </c>
      <c r="B3077" s="16" t="s">
        <v>11879</v>
      </c>
      <c r="C3077" s="20" t="s">
        <v>11880</v>
      </c>
      <c r="D3077" s="21"/>
      <c r="E3077" s="22" t="s">
        <v>11881</v>
      </c>
      <c r="H3077" s="23" t="s">
        <v>2549</v>
      </c>
      <c r="I3077" s="21"/>
      <c r="J3077" s="25"/>
      <c r="K3077" s="26" t="s">
        <v>44</v>
      </c>
      <c r="L3077" s="16"/>
      <c r="M3077" s="21"/>
    </row>
    <row r="3078">
      <c r="A3078" s="28">
        <v>46232.0</v>
      </c>
      <c r="B3078" s="16" t="s">
        <v>11882</v>
      </c>
      <c r="C3078" s="20" t="s">
        <v>11883</v>
      </c>
      <c r="D3078" s="21"/>
      <c r="E3078" s="22" t="s">
        <v>11884</v>
      </c>
      <c r="H3078" s="23" t="s">
        <v>2549</v>
      </c>
      <c r="I3078" s="21"/>
      <c r="J3078" s="25"/>
      <c r="K3078" s="26" t="s">
        <v>44</v>
      </c>
      <c r="L3078" s="16"/>
      <c r="M3078" s="21"/>
    </row>
    <row r="3079">
      <c r="A3079" s="28">
        <v>46232.0</v>
      </c>
      <c r="B3079" s="16" t="s">
        <v>11885</v>
      </c>
      <c r="C3079" s="20" t="s">
        <v>11886</v>
      </c>
      <c r="D3079" s="21"/>
      <c r="E3079" s="22" t="s">
        <v>11887</v>
      </c>
      <c r="H3079" s="23" t="s">
        <v>47</v>
      </c>
      <c r="I3079" s="21"/>
      <c r="J3079" s="25"/>
      <c r="K3079" s="26" t="s">
        <v>44</v>
      </c>
      <c r="L3079" s="16"/>
      <c r="M3079" s="21"/>
    </row>
    <row r="3080">
      <c r="A3080" s="28">
        <v>46232.0</v>
      </c>
      <c r="B3080" s="16" t="s">
        <v>11888</v>
      </c>
      <c r="C3080" s="20" t="s">
        <v>11889</v>
      </c>
      <c r="D3080" s="21"/>
      <c r="E3080" s="22" t="s">
        <v>11890</v>
      </c>
      <c r="H3080" s="23" t="s">
        <v>2549</v>
      </c>
      <c r="I3080" s="21"/>
      <c r="J3080" s="25"/>
      <c r="K3080" s="26" t="s">
        <v>44</v>
      </c>
      <c r="L3080" s="16"/>
      <c r="M3080" s="21"/>
    </row>
    <row r="3081">
      <c r="A3081" s="28">
        <v>46232.0</v>
      </c>
      <c r="B3081" s="16" t="s">
        <v>11891</v>
      </c>
      <c r="C3081" s="20" t="s">
        <v>11892</v>
      </c>
      <c r="D3081" s="21"/>
      <c r="E3081" s="22" t="s">
        <v>11893</v>
      </c>
      <c r="H3081" s="23" t="s">
        <v>2549</v>
      </c>
      <c r="I3081" s="21"/>
      <c r="J3081" s="25"/>
      <c r="K3081" s="26" t="s">
        <v>44</v>
      </c>
      <c r="L3081" s="16"/>
      <c r="M3081" s="21"/>
    </row>
    <row r="3082">
      <c r="A3082" s="28">
        <v>46232.0</v>
      </c>
      <c r="B3082" s="16" t="s">
        <v>11894</v>
      </c>
      <c r="C3082" s="20" t="s">
        <v>11895</v>
      </c>
      <c r="D3082" s="21"/>
      <c r="E3082" s="22" t="s">
        <v>11896</v>
      </c>
      <c r="H3082" s="23" t="s">
        <v>47</v>
      </c>
      <c r="I3082" s="21"/>
      <c r="J3082" s="25"/>
      <c r="K3082" s="26" t="s">
        <v>44</v>
      </c>
      <c r="L3082" s="16"/>
      <c r="M3082" s="21"/>
    </row>
    <row r="3083">
      <c r="A3083" s="28">
        <v>46232.0</v>
      </c>
      <c r="B3083" s="16" t="s">
        <v>11897</v>
      </c>
      <c r="C3083" s="20" t="s">
        <v>11898</v>
      </c>
      <c r="D3083" s="21"/>
      <c r="E3083" s="22" t="s">
        <v>11899</v>
      </c>
      <c r="H3083" s="23" t="s">
        <v>47</v>
      </c>
      <c r="I3083" s="21"/>
      <c r="J3083" s="25"/>
      <c r="K3083" s="26" t="s">
        <v>44</v>
      </c>
      <c r="L3083" s="16"/>
      <c r="M3083" s="21"/>
    </row>
    <row r="3084">
      <c r="A3084" s="28">
        <v>46232.0</v>
      </c>
      <c r="B3084" s="16" t="s">
        <v>11900</v>
      </c>
      <c r="C3084" s="20" t="s">
        <v>11901</v>
      </c>
      <c r="D3084" s="21"/>
      <c r="E3084" s="22" t="s">
        <v>11902</v>
      </c>
      <c r="H3084" s="23" t="s">
        <v>47</v>
      </c>
      <c r="I3084" s="21"/>
      <c r="J3084" s="25"/>
      <c r="K3084" s="26" t="s">
        <v>44</v>
      </c>
      <c r="L3084" s="16"/>
      <c r="M3084" s="21"/>
    </row>
    <row r="3085">
      <c r="A3085" s="28">
        <v>46232.0</v>
      </c>
      <c r="B3085" s="16" t="s">
        <v>11903</v>
      </c>
      <c r="C3085" s="20" t="s">
        <v>11904</v>
      </c>
      <c r="D3085" s="21"/>
      <c r="E3085" s="41"/>
      <c r="H3085" s="23" t="s">
        <v>2549</v>
      </c>
      <c r="I3085" s="21"/>
      <c r="J3085" s="25"/>
      <c r="K3085" s="26" t="s">
        <v>44</v>
      </c>
      <c r="L3085" s="16"/>
      <c r="M3085" s="21"/>
    </row>
    <row r="3086">
      <c r="A3086" s="28">
        <v>46232.0</v>
      </c>
      <c r="B3086" s="16" t="s">
        <v>11905</v>
      </c>
      <c r="C3086" s="20" t="s">
        <v>11906</v>
      </c>
      <c r="D3086" s="21"/>
      <c r="E3086" s="22" t="s">
        <v>11907</v>
      </c>
      <c r="H3086" s="23" t="s">
        <v>11267</v>
      </c>
      <c r="I3086" s="21"/>
      <c r="J3086" s="25"/>
      <c r="K3086" s="26" t="s">
        <v>44</v>
      </c>
      <c r="L3086" s="16"/>
      <c r="M3086" s="21"/>
    </row>
    <row r="3087">
      <c r="A3087" s="28">
        <v>46232.0</v>
      </c>
      <c r="B3087" s="16" t="s">
        <v>11908</v>
      </c>
      <c r="C3087" s="20" t="s">
        <v>11909</v>
      </c>
      <c r="D3087" s="21"/>
      <c r="E3087" s="41"/>
      <c r="H3087" s="23" t="s">
        <v>2549</v>
      </c>
      <c r="I3087" s="21"/>
      <c r="J3087" s="25"/>
      <c r="K3087" s="26" t="s">
        <v>44</v>
      </c>
      <c r="L3087" s="16"/>
      <c r="M3087" s="21"/>
    </row>
    <row r="3088">
      <c r="A3088" s="28">
        <v>46232.0</v>
      </c>
      <c r="B3088" s="16" t="s">
        <v>11910</v>
      </c>
      <c r="C3088" s="20" t="s">
        <v>11911</v>
      </c>
      <c r="D3088" s="21"/>
      <c r="E3088" s="22" t="s">
        <v>11912</v>
      </c>
      <c r="H3088" s="23" t="s">
        <v>2549</v>
      </c>
      <c r="I3088" s="21"/>
      <c r="J3088" s="25"/>
      <c r="K3088" s="26" t="s">
        <v>44</v>
      </c>
      <c r="L3088" s="16"/>
      <c r="M3088" s="21"/>
    </row>
    <row r="3089">
      <c r="A3089" s="28">
        <v>46232.0</v>
      </c>
      <c r="B3089" s="16" t="s">
        <v>11913</v>
      </c>
      <c r="C3089" s="20" t="s">
        <v>11914</v>
      </c>
      <c r="D3089" s="21"/>
      <c r="E3089" s="22" t="s">
        <v>11915</v>
      </c>
      <c r="H3089" s="23" t="s">
        <v>2549</v>
      </c>
      <c r="I3089" s="21"/>
      <c r="J3089" s="25"/>
      <c r="K3089" s="26" t="s">
        <v>44</v>
      </c>
      <c r="L3089" s="16"/>
      <c r="M3089" s="21"/>
    </row>
    <row r="3090">
      <c r="A3090" s="28">
        <v>46232.0</v>
      </c>
      <c r="B3090" s="16" t="s">
        <v>11916</v>
      </c>
      <c r="C3090" s="20" t="s">
        <v>11917</v>
      </c>
      <c r="D3090" s="21"/>
      <c r="E3090" s="22" t="s">
        <v>11918</v>
      </c>
      <c r="H3090" s="23" t="s">
        <v>2549</v>
      </c>
      <c r="I3090" s="21"/>
      <c r="J3090" s="25"/>
      <c r="K3090" s="26" t="s">
        <v>44</v>
      </c>
      <c r="L3090" s="16"/>
      <c r="M3090" s="21"/>
    </row>
    <row r="3091">
      <c r="A3091" s="28">
        <v>46232.0</v>
      </c>
      <c r="B3091" s="16" t="s">
        <v>11919</v>
      </c>
      <c r="C3091" s="20" t="s">
        <v>11920</v>
      </c>
      <c r="D3091" s="21"/>
      <c r="E3091" s="22" t="s">
        <v>11921</v>
      </c>
      <c r="H3091" s="23" t="s">
        <v>47</v>
      </c>
      <c r="I3091" s="21"/>
      <c r="J3091" s="25"/>
      <c r="K3091" s="26" t="s">
        <v>44</v>
      </c>
      <c r="L3091" s="16"/>
      <c r="M3091" s="21"/>
    </row>
    <row r="3092">
      <c r="A3092" s="28">
        <v>46232.0</v>
      </c>
      <c r="B3092" s="16" t="s">
        <v>11922</v>
      </c>
      <c r="C3092" s="46" t="s">
        <v>11923</v>
      </c>
      <c r="D3092" s="21"/>
      <c r="E3092" s="22" t="s">
        <v>11924</v>
      </c>
      <c r="H3092" s="23" t="s">
        <v>2549</v>
      </c>
      <c r="I3092" s="21"/>
      <c r="J3092" s="25"/>
      <c r="K3092" s="26" t="s">
        <v>44</v>
      </c>
      <c r="L3092" s="16"/>
      <c r="M3092" s="21"/>
    </row>
    <row r="3093">
      <c r="A3093" s="28">
        <v>46232.0</v>
      </c>
      <c r="B3093" s="16" t="s">
        <v>11925</v>
      </c>
      <c r="C3093" s="20" t="s">
        <v>11926</v>
      </c>
      <c r="D3093" s="21"/>
      <c r="E3093" s="41"/>
      <c r="H3093" s="23" t="s">
        <v>2549</v>
      </c>
      <c r="I3093" s="21"/>
      <c r="J3093" s="25"/>
      <c r="K3093" s="26" t="s">
        <v>44</v>
      </c>
      <c r="L3093" s="16"/>
      <c r="M3093" s="21"/>
    </row>
    <row r="3094">
      <c r="A3094" s="28">
        <v>46232.0</v>
      </c>
      <c r="B3094" s="16" t="s">
        <v>11927</v>
      </c>
      <c r="C3094" s="20" t="s">
        <v>11928</v>
      </c>
      <c r="D3094" s="21"/>
      <c r="E3094" s="22" t="s">
        <v>11929</v>
      </c>
      <c r="H3094" s="23" t="s">
        <v>47</v>
      </c>
      <c r="I3094" s="21"/>
      <c r="J3094" s="25"/>
      <c r="K3094" s="26" t="s">
        <v>44</v>
      </c>
      <c r="L3094" s="16"/>
      <c r="M3094" s="21"/>
    </row>
    <row r="3095">
      <c r="A3095" s="28">
        <v>46232.0</v>
      </c>
      <c r="B3095" s="16" t="s">
        <v>11930</v>
      </c>
      <c r="C3095" s="20" t="s">
        <v>11931</v>
      </c>
      <c r="D3095" s="21"/>
      <c r="E3095" s="41"/>
      <c r="H3095" s="23" t="s">
        <v>2549</v>
      </c>
      <c r="I3095" s="21"/>
      <c r="J3095" s="25"/>
      <c r="K3095" s="26" t="s">
        <v>44</v>
      </c>
      <c r="L3095" s="16"/>
      <c r="M3095" s="21"/>
    </row>
    <row r="3096">
      <c r="A3096" s="28">
        <v>46232.0</v>
      </c>
      <c r="B3096" s="16" t="s">
        <v>11932</v>
      </c>
      <c r="C3096" s="20" t="s">
        <v>11933</v>
      </c>
      <c r="D3096" s="21"/>
      <c r="E3096" s="22" t="s">
        <v>11934</v>
      </c>
      <c r="H3096" s="23" t="s">
        <v>47</v>
      </c>
      <c r="I3096" s="21"/>
      <c r="J3096" s="25"/>
      <c r="K3096" s="26" t="s">
        <v>44</v>
      </c>
      <c r="L3096" s="16"/>
      <c r="M3096" s="21"/>
    </row>
    <row r="3097">
      <c r="A3097" s="28">
        <v>46232.0</v>
      </c>
      <c r="B3097" s="16" t="s">
        <v>11935</v>
      </c>
      <c r="C3097" s="20" t="s">
        <v>11936</v>
      </c>
      <c r="D3097" s="21"/>
      <c r="E3097" s="22" t="s">
        <v>11937</v>
      </c>
      <c r="H3097" s="23" t="s">
        <v>2549</v>
      </c>
      <c r="I3097" s="21"/>
      <c r="J3097" s="25"/>
      <c r="K3097" s="26" t="s">
        <v>44</v>
      </c>
      <c r="L3097" s="16"/>
      <c r="M3097" s="21"/>
    </row>
    <row r="3098">
      <c r="A3098" s="28">
        <v>46232.0</v>
      </c>
      <c r="B3098" s="16" t="s">
        <v>11938</v>
      </c>
      <c r="C3098" s="20" t="s">
        <v>11939</v>
      </c>
      <c r="D3098" s="21"/>
      <c r="E3098" s="22" t="s">
        <v>11940</v>
      </c>
      <c r="H3098" s="23" t="s">
        <v>2549</v>
      </c>
      <c r="I3098" s="21"/>
      <c r="J3098" s="25"/>
      <c r="K3098" s="26" t="s">
        <v>44</v>
      </c>
      <c r="L3098" s="16"/>
      <c r="M3098" s="21"/>
    </row>
    <row r="3099">
      <c r="A3099" s="28">
        <v>46232.0</v>
      </c>
      <c r="B3099" s="16" t="s">
        <v>11941</v>
      </c>
      <c r="C3099" s="20" t="s">
        <v>11942</v>
      </c>
      <c r="D3099" s="21"/>
      <c r="E3099" s="22" t="s">
        <v>11943</v>
      </c>
      <c r="H3099" s="23" t="s">
        <v>2549</v>
      </c>
      <c r="I3099" s="21"/>
      <c r="J3099" s="25"/>
      <c r="K3099" s="26" t="s">
        <v>44</v>
      </c>
      <c r="L3099" s="16"/>
      <c r="M3099" s="21"/>
    </row>
    <row r="3100">
      <c r="A3100" s="28">
        <v>46232.0</v>
      </c>
      <c r="B3100" s="16" t="s">
        <v>11944</v>
      </c>
      <c r="C3100" s="20" t="s">
        <v>11945</v>
      </c>
      <c r="D3100" s="21"/>
      <c r="E3100" s="22" t="s">
        <v>11946</v>
      </c>
      <c r="H3100" s="23" t="s">
        <v>2549</v>
      </c>
      <c r="I3100" s="21"/>
      <c r="J3100" s="25"/>
      <c r="K3100" s="26" t="s">
        <v>44</v>
      </c>
      <c r="L3100" s="16"/>
      <c r="M3100" s="21"/>
    </row>
    <row r="3101">
      <c r="A3101" s="28">
        <v>46232.0</v>
      </c>
      <c r="B3101" s="16" t="s">
        <v>11947</v>
      </c>
      <c r="C3101" s="20" t="s">
        <v>11948</v>
      </c>
      <c r="D3101" s="21"/>
      <c r="E3101" s="22" t="s">
        <v>11949</v>
      </c>
      <c r="H3101" s="23" t="s">
        <v>2549</v>
      </c>
      <c r="I3101" s="21"/>
      <c r="J3101" s="25"/>
      <c r="K3101" s="26" t="s">
        <v>44</v>
      </c>
      <c r="L3101" s="16"/>
      <c r="M3101" s="21"/>
    </row>
    <row r="3102">
      <c r="A3102" s="28">
        <v>46232.0</v>
      </c>
      <c r="B3102" s="16" t="s">
        <v>11950</v>
      </c>
      <c r="C3102" s="20" t="s">
        <v>11951</v>
      </c>
      <c r="D3102" s="21"/>
      <c r="E3102" s="22" t="s">
        <v>11952</v>
      </c>
      <c r="H3102" s="23" t="s">
        <v>2549</v>
      </c>
      <c r="I3102" s="21"/>
      <c r="J3102" s="25"/>
      <c r="K3102" s="26" t="s">
        <v>44</v>
      </c>
      <c r="L3102" s="16"/>
      <c r="M3102" s="21"/>
    </row>
    <row r="3103">
      <c r="A3103" s="28">
        <v>46232.0</v>
      </c>
      <c r="B3103" s="16" t="s">
        <v>11953</v>
      </c>
      <c r="C3103" s="20" t="s">
        <v>11954</v>
      </c>
      <c r="D3103" s="21"/>
      <c r="E3103" s="22" t="s">
        <v>11955</v>
      </c>
      <c r="H3103" s="23" t="s">
        <v>11267</v>
      </c>
      <c r="I3103" s="21"/>
      <c r="J3103" s="25"/>
      <c r="K3103" s="26" t="s">
        <v>44</v>
      </c>
      <c r="L3103" s="16"/>
      <c r="M3103" s="21"/>
    </row>
    <row r="3104">
      <c r="A3104" s="28">
        <v>46232.0</v>
      </c>
      <c r="B3104" s="16" t="s">
        <v>11956</v>
      </c>
      <c r="C3104" s="20" t="s">
        <v>11957</v>
      </c>
      <c r="D3104" s="21"/>
      <c r="E3104" s="22" t="s">
        <v>11958</v>
      </c>
      <c r="H3104" s="23" t="s">
        <v>2549</v>
      </c>
      <c r="I3104" s="21"/>
      <c r="J3104" s="25"/>
      <c r="K3104" s="26" t="s">
        <v>44</v>
      </c>
      <c r="L3104" s="16"/>
      <c r="M3104" s="21"/>
    </row>
    <row r="3105">
      <c r="A3105" s="28">
        <v>46232.0</v>
      </c>
      <c r="B3105" s="16" t="s">
        <v>11959</v>
      </c>
      <c r="C3105" s="20" t="s">
        <v>11960</v>
      </c>
      <c r="D3105" s="21"/>
      <c r="E3105" s="22" t="s">
        <v>11961</v>
      </c>
      <c r="H3105" s="23" t="s">
        <v>47</v>
      </c>
      <c r="I3105" s="21"/>
      <c r="J3105" s="25"/>
      <c r="K3105" s="26" t="s">
        <v>44</v>
      </c>
      <c r="L3105" s="16"/>
      <c r="M3105" s="21"/>
    </row>
    <row r="3106">
      <c r="A3106" s="28">
        <v>46232.0</v>
      </c>
      <c r="B3106" s="16" t="s">
        <v>11962</v>
      </c>
      <c r="C3106" s="20" t="s">
        <v>11963</v>
      </c>
      <c r="D3106" s="21"/>
      <c r="E3106" s="22" t="s">
        <v>11964</v>
      </c>
      <c r="H3106" s="23" t="s">
        <v>11965</v>
      </c>
      <c r="I3106" s="21"/>
      <c r="J3106" s="25"/>
      <c r="K3106" s="26" t="s">
        <v>44</v>
      </c>
      <c r="L3106" s="16"/>
      <c r="M3106" s="21"/>
    </row>
    <row r="3107">
      <c r="A3107" s="28">
        <v>46232.0</v>
      </c>
      <c r="B3107" s="16" t="s">
        <v>11966</v>
      </c>
      <c r="C3107" s="20" t="s">
        <v>11967</v>
      </c>
      <c r="D3107" s="21"/>
      <c r="E3107" s="22" t="s">
        <v>11968</v>
      </c>
      <c r="H3107" s="23" t="s">
        <v>2549</v>
      </c>
      <c r="I3107" s="21"/>
      <c r="J3107" s="25"/>
      <c r="K3107" s="26" t="s">
        <v>44</v>
      </c>
      <c r="L3107" s="16"/>
      <c r="M3107" s="21"/>
    </row>
    <row r="3108">
      <c r="A3108" s="28">
        <v>46232.0</v>
      </c>
      <c r="B3108" s="16" t="s">
        <v>11969</v>
      </c>
      <c r="C3108" s="20" t="s">
        <v>11970</v>
      </c>
      <c r="D3108" s="21"/>
      <c r="E3108" s="22" t="s">
        <v>11971</v>
      </c>
      <c r="H3108" s="23" t="s">
        <v>2549</v>
      </c>
      <c r="I3108" s="21"/>
      <c r="J3108" s="25"/>
      <c r="K3108" s="26" t="s">
        <v>44</v>
      </c>
      <c r="L3108" s="16"/>
      <c r="M3108" s="21"/>
    </row>
    <row r="3109">
      <c r="A3109" s="28">
        <v>46232.0</v>
      </c>
      <c r="B3109" s="16" t="s">
        <v>11972</v>
      </c>
      <c r="C3109" s="20" t="s">
        <v>11973</v>
      </c>
      <c r="D3109" s="21"/>
      <c r="E3109" s="22" t="s">
        <v>11974</v>
      </c>
      <c r="H3109" s="23" t="s">
        <v>2549</v>
      </c>
      <c r="I3109" s="21"/>
      <c r="J3109" s="25"/>
      <c r="K3109" s="26" t="s">
        <v>44</v>
      </c>
      <c r="L3109" s="16"/>
      <c r="M3109" s="21"/>
    </row>
    <row r="3110">
      <c r="A3110" s="28">
        <v>46232.0</v>
      </c>
      <c r="B3110" s="16" t="s">
        <v>11975</v>
      </c>
      <c r="C3110" s="20" t="s">
        <v>11976</v>
      </c>
      <c r="D3110" s="21"/>
      <c r="E3110" s="22" t="s">
        <v>11977</v>
      </c>
      <c r="H3110" s="23" t="s">
        <v>47</v>
      </c>
      <c r="I3110" s="21"/>
      <c r="J3110" s="25"/>
      <c r="K3110" s="26" t="s">
        <v>44</v>
      </c>
      <c r="L3110" s="16"/>
      <c r="M3110" s="21"/>
    </row>
    <row r="3111">
      <c r="A3111" s="28">
        <v>46232.0</v>
      </c>
      <c r="B3111" s="16" t="s">
        <v>11978</v>
      </c>
      <c r="C3111" s="20" t="s">
        <v>11979</v>
      </c>
      <c r="D3111" s="21"/>
      <c r="E3111" s="22" t="s">
        <v>11980</v>
      </c>
      <c r="H3111" s="23" t="s">
        <v>2549</v>
      </c>
      <c r="I3111" s="21"/>
      <c r="J3111" s="25"/>
      <c r="K3111" s="26" t="s">
        <v>44</v>
      </c>
      <c r="L3111" s="16"/>
      <c r="M3111" s="21"/>
    </row>
    <row r="3112">
      <c r="A3112" s="28">
        <v>46232.0</v>
      </c>
      <c r="B3112" s="16" t="s">
        <v>11981</v>
      </c>
      <c r="C3112" s="20" t="s">
        <v>11982</v>
      </c>
      <c r="D3112" s="21"/>
      <c r="E3112" s="22" t="s">
        <v>11983</v>
      </c>
      <c r="H3112" s="23" t="s">
        <v>2549</v>
      </c>
      <c r="I3112" s="21"/>
      <c r="J3112" s="25"/>
      <c r="K3112" s="26" t="s">
        <v>44</v>
      </c>
      <c r="L3112" s="16"/>
      <c r="M3112" s="21"/>
    </row>
    <row r="3113">
      <c r="A3113" s="28">
        <v>46232.0</v>
      </c>
      <c r="B3113" s="16" t="s">
        <v>11984</v>
      </c>
      <c r="C3113" s="20" t="s">
        <v>11985</v>
      </c>
      <c r="D3113" s="21"/>
      <c r="E3113" s="22" t="s">
        <v>11986</v>
      </c>
      <c r="H3113" s="23" t="s">
        <v>47</v>
      </c>
      <c r="I3113" s="21"/>
      <c r="J3113" s="25"/>
      <c r="K3113" s="26" t="s">
        <v>44</v>
      </c>
      <c r="L3113" s="16"/>
      <c r="M3113" s="21"/>
    </row>
    <row r="3114">
      <c r="A3114" s="28">
        <v>46232.0</v>
      </c>
      <c r="B3114" s="16" t="s">
        <v>11987</v>
      </c>
      <c r="C3114" s="20" t="s">
        <v>11988</v>
      </c>
      <c r="D3114" s="21"/>
      <c r="E3114" s="41"/>
      <c r="H3114" s="23" t="s">
        <v>2549</v>
      </c>
      <c r="I3114" s="21"/>
      <c r="J3114" s="25"/>
      <c r="K3114" s="26" t="s">
        <v>44</v>
      </c>
      <c r="L3114" s="16"/>
      <c r="M3114" s="21"/>
    </row>
    <row r="3115">
      <c r="A3115" s="28">
        <v>46232.0</v>
      </c>
      <c r="B3115" s="16" t="s">
        <v>11989</v>
      </c>
      <c r="C3115" s="20" t="s">
        <v>11990</v>
      </c>
      <c r="D3115" s="21"/>
      <c r="E3115" s="22" t="s">
        <v>11991</v>
      </c>
      <c r="H3115" s="23" t="s">
        <v>2549</v>
      </c>
      <c r="I3115" s="21"/>
      <c r="J3115" s="25"/>
      <c r="K3115" s="26" t="s">
        <v>44</v>
      </c>
      <c r="L3115" s="16"/>
      <c r="M3115" s="21"/>
    </row>
    <row r="3116">
      <c r="A3116" s="28">
        <v>46232.0</v>
      </c>
      <c r="B3116" s="16" t="s">
        <v>11992</v>
      </c>
      <c r="C3116" s="20" t="s">
        <v>11993</v>
      </c>
      <c r="D3116" s="21"/>
      <c r="E3116" s="41"/>
      <c r="H3116" s="23" t="s">
        <v>2549</v>
      </c>
      <c r="I3116" s="21"/>
      <c r="J3116" s="25"/>
      <c r="K3116" s="26" t="s">
        <v>44</v>
      </c>
      <c r="L3116" s="16"/>
      <c r="M3116" s="21"/>
    </row>
    <row r="3117">
      <c r="A3117" s="28">
        <v>46232.0</v>
      </c>
      <c r="B3117" s="16" t="s">
        <v>11994</v>
      </c>
      <c r="C3117" s="20" t="s">
        <v>11995</v>
      </c>
      <c r="D3117" s="21"/>
      <c r="E3117" s="22" t="s">
        <v>11996</v>
      </c>
      <c r="H3117" s="23" t="s">
        <v>2549</v>
      </c>
      <c r="I3117" s="21"/>
      <c r="J3117" s="25"/>
      <c r="K3117" s="26" t="s">
        <v>44</v>
      </c>
      <c r="L3117" s="16"/>
      <c r="M3117" s="21"/>
    </row>
    <row r="3118">
      <c r="A3118" s="28">
        <v>46232.0</v>
      </c>
      <c r="B3118" s="16" t="s">
        <v>11997</v>
      </c>
      <c r="C3118" s="46" t="s">
        <v>11998</v>
      </c>
      <c r="D3118" s="21"/>
      <c r="E3118" s="22" t="s">
        <v>11999</v>
      </c>
      <c r="H3118" s="23" t="s">
        <v>2549</v>
      </c>
      <c r="I3118" s="21"/>
      <c r="J3118" s="25"/>
      <c r="K3118" s="26" t="s">
        <v>44</v>
      </c>
      <c r="L3118" s="16"/>
      <c r="M3118" s="21"/>
    </row>
    <row r="3119">
      <c r="A3119" s="28">
        <v>46232.0</v>
      </c>
      <c r="B3119" s="16" t="s">
        <v>12000</v>
      </c>
      <c r="C3119" s="20" t="s">
        <v>12001</v>
      </c>
      <c r="D3119" s="21"/>
      <c r="E3119" s="22" t="s">
        <v>12002</v>
      </c>
      <c r="H3119" s="23" t="s">
        <v>2549</v>
      </c>
      <c r="I3119" s="21"/>
      <c r="J3119" s="25"/>
      <c r="K3119" s="26" t="s">
        <v>44</v>
      </c>
      <c r="L3119" s="16"/>
      <c r="M3119" s="21"/>
    </row>
    <row r="3120">
      <c r="A3120" s="28">
        <v>46232.0</v>
      </c>
      <c r="B3120" s="16" t="s">
        <v>12003</v>
      </c>
      <c r="C3120" s="20" t="s">
        <v>12004</v>
      </c>
      <c r="D3120" s="21"/>
      <c r="E3120" s="22" t="s">
        <v>12005</v>
      </c>
      <c r="H3120" s="23" t="s">
        <v>47</v>
      </c>
      <c r="I3120" s="21"/>
      <c r="J3120" s="25"/>
      <c r="K3120" s="26" t="s">
        <v>44</v>
      </c>
      <c r="L3120" s="16"/>
      <c r="M3120" s="21"/>
    </row>
    <row r="3121">
      <c r="A3121" s="28">
        <v>46232.0</v>
      </c>
      <c r="B3121" s="16" t="s">
        <v>12006</v>
      </c>
      <c r="C3121" s="20" t="s">
        <v>12007</v>
      </c>
      <c r="D3121" s="21"/>
      <c r="E3121" s="41"/>
      <c r="H3121" s="23" t="s">
        <v>2549</v>
      </c>
      <c r="I3121" s="21"/>
      <c r="J3121" s="25"/>
      <c r="K3121" s="26" t="s">
        <v>44</v>
      </c>
      <c r="L3121" s="16"/>
      <c r="M3121" s="21"/>
    </row>
    <row r="3122">
      <c r="A3122" s="28">
        <v>46232.0</v>
      </c>
      <c r="B3122" s="16" t="s">
        <v>12008</v>
      </c>
      <c r="C3122" s="20" t="s">
        <v>12009</v>
      </c>
      <c r="D3122" s="21"/>
      <c r="E3122" s="41"/>
      <c r="H3122" s="23" t="s">
        <v>2549</v>
      </c>
      <c r="I3122" s="21"/>
      <c r="J3122" s="25"/>
      <c r="K3122" s="26" t="s">
        <v>44</v>
      </c>
      <c r="L3122" s="16"/>
      <c r="M3122" s="21"/>
    </row>
    <row r="3123">
      <c r="A3123" s="28">
        <v>46232.0</v>
      </c>
      <c r="B3123" s="16" t="s">
        <v>12010</v>
      </c>
      <c r="C3123" s="20" t="s">
        <v>12011</v>
      </c>
      <c r="D3123" s="21"/>
      <c r="E3123" s="22" t="s">
        <v>12012</v>
      </c>
      <c r="H3123" s="23" t="s">
        <v>2549</v>
      </c>
      <c r="I3123" s="21"/>
      <c r="J3123" s="25"/>
      <c r="K3123" s="26" t="s">
        <v>44</v>
      </c>
      <c r="L3123" s="16"/>
      <c r="M3123" s="21"/>
    </row>
    <row r="3124">
      <c r="A3124" s="28">
        <v>46232.0</v>
      </c>
      <c r="B3124" s="16" t="s">
        <v>12013</v>
      </c>
      <c r="C3124" s="20" t="s">
        <v>12014</v>
      </c>
      <c r="D3124" s="21"/>
      <c r="E3124" s="22" t="s">
        <v>12015</v>
      </c>
      <c r="H3124" s="23" t="s">
        <v>47</v>
      </c>
      <c r="I3124" s="21"/>
      <c r="J3124" s="25"/>
      <c r="K3124" s="26" t="s">
        <v>44</v>
      </c>
      <c r="L3124" s="16"/>
      <c r="M3124" s="21"/>
    </row>
    <row r="3125">
      <c r="A3125" s="28">
        <v>46232.0</v>
      </c>
      <c r="B3125" s="16" t="s">
        <v>12016</v>
      </c>
      <c r="C3125" s="20" t="s">
        <v>12017</v>
      </c>
      <c r="D3125" s="21"/>
      <c r="E3125" s="22" t="s">
        <v>12018</v>
      </c>
      <c r="H3125" s="23" t="s">
        <v>2549</v>
      </c>
      <c r="I3125" s="21"/>
      <c r="J3125" s="25"/>
      <c r="K3125" s="26" t="s">
        <v>44</v>
      </c>
      <c r="L3125" s="16"/>
      <c r="M3125" s="21"/>
    </row>
    <row r="3126">
      <c r="A3126" s="28">
        <v>46232.0</v>
      </c>
      <c r="B3126" s="16" t="s">
        <v>12019</v>
      </c>
      <c r="C3126" s="20" t="s">
        <v>12020</v>
      </c>
      <c r="D3126" s="21"/>
      <c r="E3126" s="22" t="s">
        <v>12021</v>
      </c>
      <c r="H3126" s="23" t="s">
        <v>2549</v>
      </c>
      <c r="I3126" s="21"/>
      <c r="J3126" s="25"/>
      <c r="K3126" s="26" t="s">
        <v>44</v>
      </c>
      <c r="L3126" s="16"/>
      <c r="M3126" s="21"/>
    </row>
    <row r="3127">
      <c r="A3127" s="28">
        <v>46232.0</v>
      </c>
      <c r="B3127" s="16" t="s">
        <v>12022</v>
      </c>
      <c r="C3127" s="20" t="s">
        <v>12023</v>
      </c>
      <c r="D3127" s="21"/>
      <c r="E3127" s="22" t="s">
        <v>12024</v>
      </c>
      <c r="H3127" s="23" t="s">
        <v>2549</v>
      </c>
      <c r="I3127" s="21"/>
      <c r="J3127" s="25"/>
      <c r="K3127" s="26" t="s">
        <v>44</v>
      </c>
      <c r="L3127" s="16"/>
      <c r="M3127" s="21"/>
    </row>
    <row r="3128">
      <c r="A3128" s="28">
        <v>46232.0</v>
      </c>
      <c r="B3128" s="16" t="s">
        <v>12025</v>
      </c>
      <c r="C3128" s="20" t="s">
        <v>12026</v>
      </c>
      <c r="D3128" s="21"/>
      <c r="E3128" s="22" t="s">
        <v>12027</v>
      </c>
      <c r="H3128" s="23" t="s">
        <v>47</v>
      </c>
      <c r="I3128" s="21"/>
      <c r="J3128" s="25"/>
      <c r="K3128" s="26" t="s">
        <v>44</v>
      </c>
      <c r="L3128" s="16"/>
      <c r="M3128" s="21"/>
    </row>
    <row r="3129">
      <c r="A3129" s="28">
        <v>46232.0</v>
      </c>
      <c r="B3129" s="16" t="s">
        <v>12028</v>
      </c>
      <c r="C3129" s="20" t="s">
        <v>12029</v>
      </c>
      <c r="D3129" s="21"/>
      <c r="E3129" s="22" t="s">
        <v>12030</v>
      </c>
      <c r="H3129" s="23" t="s">
        <v>2549</v>
      </c>
      <c r="I3129" s="21"/>
      <c r="J3129" s="25"/>
      <c r="K3129" s="26" t="s">
        <v>44</v>
      </c>
      <c r="L3129" s="16"/>
      <c r="M3129" s="21"/>
    </row>
    <row r="3130">
      <c r="A3130" s="28">
        <v>46232.0</v>
      </c>
      <c r="B3130" s="16" t="s">
        <v>12031</v>
      </c>
      <c r="C3130" s="20" t="s">
        <v>12032</v>
      </c>
      <c r="D3130" s="21"/>
      <c r="E3130" s="22" t="s">
        <v>12033</v>
      </c>
      <c r="H3130" s="23" t="s">
        <v>2549</v>
      </c>
      <c r="I3130" s="21"/>
      <c r="J3130" s="25"/>
      <c r="K3130" s="26" t="s">
        <v>44</v>
      </c>
      <c r="L3130" s="16"/>
      <c r="M3130" s="21"/>
    </row>
    <row r="3131">
      <c r="A3131" s="28">
        <v>46232.0</v>
      </c>
      <c r="B3131" s="16" t="s">
        <v>12034</v>
      </c>
      <c r="C3131" s="20" t="s">
        <v>12035</v>
      </c>
      <c r="D3131" s="21"/>
      <c r="E3131" s="22" t="s">
        <v>12036</v>
      </c>
      <c r="H3131" s="23" t="s">
        <v>2549</v>
      </c>
      <c r="I3131" s="21"/>
      <c r="J3131" s="25"/>
      <c r="K3131" s="26" t="s">
        <v>44</v>
      </c>
      <c r="L3131" s="16"/>
      <c r="M3131" s="21"/>
    </row>
    <row r="3132">
      <c r="A3132" s="28">
        <v>46232.0</v>
      </c>
      <c r="B3132" s="16" t="s">
        <v>12037</v>
      </c>
      <c r="C3132" s="20" t="s">
        <v>12038</v>
      </c>
      <c r="D3132" s="21"/>
      <c r="E3132" s="41"/>
      <c r="H3132" s="23" t="s">
        <v>2549</v>
      </c>
      <c r="I3132" s="21"/>
      <c r="J3132" s="25"/>
      <c r="K3132" s="26" t="s">
        <v>44</v>
      </c>
      <c r="L3132" s="16"/>
      <c r="M3132" s="21"/>
    </row>
    <row r="3133">
      <c r="A3133" s="28">
        <v>46232.0</v>
      </c>
      <c r="B3133" s="16" t="s">
        <v>12039</v>
      </c>
      <c r="C3133" s="46" t="s">
        <v>12040</v>
      </c>
      <c r="D3133" s="21"/>
      <c r="E3133" s="22" t="s">
        <v>12041</v>
      </c>
      <c r="H3133" s="23" t="s">
        <v>47</v>
      </c>
      <c r="I3133" s="21"/>
      <c r="J3133" s="25"/>
      <c r="K3133" s="26" t="s">
        <v>44</v>
      </c>
      <c r="L3133" s="16"/>
      <c r="M3133" s="21"/>
    </row>
    <row r="3134">
      <c r="A3134" s="28">
        <v>46232.0</v>
      </c>
      <c r="B3134" s="16" t="s">
        <v>12042</v>
      </c>
      <c r="C3134" s="20" t="s">
        <v>12043</v>
      </c>
      <c r="D3134" s="21"/>
      <c r="E3134" s="41"/>
      <c r="H3134" s="23" t="s">
        <v>11267</v>
      </c>
      <c r="I3134" s="21"/>
      <c r="J3134" s="25"/>
      <c r="K3134" s="26" t="s">
        <v>44</v>
      </c>
      <c r="L3134" s="16"/>
      <c r="M3134" s="21"/>
    </row>
    <row r="3135">
      <c r="A3135" s="28">
        <v>46232.0</v>
      </c>
      <c r="B3135" s="16" t="s">
        <v>12044</v>
      </c>
      <c r="C3135" s="20" t="s">
        <v>12045</v>
      </c>
      <c r="D3135" s="21"/>
      <c r="E3135" s="22" t="s">
        <v>12046</v>
      </c>
      <c r="H3135" s="23" t="s">
        <v>47</v>
      </c>
      <c r="I3135" s="21"/>
      <c r="J3135" s="25"/>
      <c r="K3135" s="26" t="s">
        <v>44</v>
      </c>
      <c r="L3135" s="16"/>
      <c r="M3135" s="21"/>
    </row>
    <row r="3136">
      <c r="A3136" s="28">
        <v>46232.0</v>
      </c>
      <c r="B3136" s="16" t="s">
        <v>12047</v>
      </c>
      <c r="C3136" s="20" t="s">
        <v>12048</v>
      </c>
      <c r="D3136" s="21"/>
      <c r="E3136" s="22" t="s">
        <v>12049</v>
      </c>
      <c r="H3136" s="23" t="s">
        <v>47</v>
      </c>
      <c r="I3136" s="21"/>
      <c r="J3136" s="25"/>
      <c r="K3136" s="26" t="s">
        <v>44</v>
      </c>
      <c r="L3136" s="16"/>
      <c r="M3136" s="21"/>
    </row>
    <row r="3137">
      <c r="A3137" s="28">
        <v>46232.0</v>
      </c>
      <c r="B3137" s="16" t="s">
        <v>12050</v>
      </c>
      <c r="C3137" s="20" t="s">
        <v>12051</v>
      </c>
      <c r="D3137" s="21"/>
      <c r="E3137" s="22" t="s">
        <v>12052</v>
      </c>
      <c r="H3137" s="23" t="s">
        <v>47</v>
      </c>
      <c r="I3137" s="21"/>
      <c r="J3137" s="25"/>
      <c r="K3137" s="26" t="s">
        <v>44</v>
      </c>
      <c r="L3137" s="16"/>
      <c r="M3137" s="21"/>
    </row>
    <row r="3138">
      <c r="A3138" s="28">
        <v>46232.0</v>
      </c>
      <c r="B3138" s="16" t="s">
        <v>12053</v>
      </c>
      <c r="C3138" s="20" t="s">
        <v>12054</v>
      </c>
      <c r="D3138" s="21"/>
      <c r="E3138" s="22" t="s">
        <v>12055</v>
      </c>
      <c r="H3138" s="23" t="s">
        <v>2549</v>
      </c>
      <c r="I3138" s="21"/>
      <c r="J3138" s="25"/>
      <c r="K3138" s="26" t="s">
        <v>44</v>
      </c>
      <c r="L3138" s="16"/>
      <c r="M3138" s="21"/>
    </row>
    <row r="3139">
      <c r="A3139" s="28">
        <v>46232.0</v>
      </c>
      <c r="B3139" s="16" t="s">
        <v>12056</v>
      </c>
      <c r="C3139" s="20" t="s">
        <v>12057</v>
      </c>
      <c r="D3139" s="21"/>
      <c r="E3139" s="22" t="s">
        <v>12058</v>
      </c>
      <c r="H3139" s="23" t="s">
        <v>2549</v>
      </c>
      <c r="I3139" s="21"/>
      <c r="J3139" s="25"/>
      <c r="K3139" s="26" t="s">
        <v>44</v>
      </c>
      <c r="L3139" s="16"/>
      <c r="M3139" s="21"/>
    </row>
    <row r="3140">
      <c r="A3140" s="28">
        <v>46232.0</v>
      </c>
      <c r="B3140" s="16" t="s">
        <v>12059</v>
      </c>
      <c r="C3140" s="20" t="s">
        <v>12060</v>
      </c>
      <c r="D3140" s="21"/>
      <c r="E3140" s="22" t="s">
        <v>12061</v>
      </c>
      <c r="H3140" s="23" t="s">
        <v>2549</v>
      </c>
      <c r="I3140" s="21"/>
      <c r="J3140" s="25"/>
      <c r="K3140" s="26" t="s">
        <v>44</v>
      </c>
      <c r="L3140" s="16"/>
      <c r="M3140" s="21"/>
    </row>
    <row r="3141">
      <c r="A3141" s="28">
        <v>46232.0</v>
      </c>
      <c r="B3141" s="16" t="s">
        <v>12062</v>
      </c>
      <c r="C3141" s="20" t="s">
        <v>12063</v>
      </c>
      <c r="D3141" s="21"/>
      <c r="E3141" s="41"/>
      <c r="H3141" s="23" t="s">
        <v>47</v>
      </c>
      <c r="I3141" s="21"/>
      <c r="J3141" s="25"/>
      <c r="K3141" s="26" t="s">
        <v>44</v>
      </c>
      <c r="L3141" s="16"/>
      <c r="M3141" s="21"/>
    </row>
    <row r="3142">
      <c r="A3142" s="28">
        <v>46232.0</v>
      </c>
      <c r="B3142" s="16" t="s">
        <v>12064</v>
      </c>
      <c r="C3142" s="20" t="s">
        <v>12065</v>
      </c>
      <c r="D3142" s="21"/>
      <c r="E3142" s="22" t="s">
        <v>12066</v>
      </c>
      <c r="H3142" s="23" t="s">
        <v>47</v>
      </c>
      <c r="I3142" s="21"/>
      <c r="J3142" s="25"/>
      <c r="K3142" s="26" t="s">
        <v>44</v>
      </c>
      <c r="L3142" s="16"/>
      <c r="M3142" s="21"/>
    </row>
    <row r="3143">
      <c r="A3143" s="28">
        <v>46232.0</v>
      </c>
      <c r="B3143" s="16" t="s">
        <v>12067</v>
      </c>
      <c r="C3143" s="20" t="s">
        <v>12068</v>
      </c>
      <c r="D3143" s="21"/>
      <c r="E3143" s="22" t="s">
        <v>12069</v>
      </c>
      <c r="H3143" s="23" t="s">
        <v>47</v>
      </c>
      <c r="I3143" s="21"/>
      <c r="J3143" s="25"/>
      <c r="K3143" s="26" t="s">
        <v>44</v>
      </c>
      <c r="L3143" s="16"/>
      <c r="M3143" s="21"/>
    </row>
    <row r="3144">
      <c r="A3144" s="28">
        <v>46232.0</v>
      </c>
      <c r="B3144" s="16" t="s">
        <v>12070</v>
      </c>
      <c r="C3144" s="20" t="s">
        <v>12071</v>
      </c>
      <c r="D3144" s="21"/>
      <c r="E3144" s="22" t="s">
        <v>12072</v>
      </c>
      <c r="H3144" s="23" t="s">
        <v>2549</v>
      </c>
      <c r="I3144" s="21"/>
      <c r="J3144" s="25"/>
      <c r="K3144" s="26" t="s">
        <v>44</v>
      </c>
      <c r="L3144" s="16"/>
      <c r="M3144" s="21"/>
    </row>
    <row r="3145">
      <c r="A3145" s="28">
        <v>46232.0</v>
      </c>
      <c r="B3145" s="16" t="s">
        <v>12073</v>
      </c>
      <c r="C3145" s="20" t="s">
        <v>12074</v>
      </c>
      <c r="D3145" s="21"/>
      <c r="E3145" s="22" t="s">
        <v>12075</v>
      </c>
      <c r="H3145" s="23" t="s">
        <v>47</v>
      </c>
      <c r="I3145" s="21"/>
      <c r="J3145" s="25"/>
      <c r="K3145" s="26" t="s">
        <v>44</v>
      </c>
      <c r="L3145" s="16"/>
      <c r="M3145" s="21"/>
    </row>
    <row r="3146">
      <c r="A3146" s="28">
        <v>46232.0</v>
      </c>
      <c r="B3146" s="16" t="s">
        <v>12076</v>
      </c>
      <c r="C3146" s="20" t="s">
        <v>12077</v>
      </c>
      <c r="D3146" s="21"/>
      <c r="E3146" s="22" t="s">
        <v>12078</v>
      </c>
      <c r="H3146" s="23" t="s">
        <v>2549</v>
      </c>
      <c r="I3146" s="21"/>
      <c r="J3146" s="25"/>
      <c r="K3146" s="26" t="s">
        <v>44</v>
      </c>
      <c r="L3146" s="16"/>
      <c r="M3146" s="21"/>
    </row>
    <row r="3147">
      <c r="A3147" s="28">
        <v>46232.0</v>
      </c>
      <c r="B3147" s="16" t="s">
        <v>12079</v>
      </c>
      <c r="C3147" s="20" t="s">
        <v>12080</v>
      </c>
      <c r="D3147" s="21"/>
      <c r="E3147" s="22" t="s">
        <v>12081</v>
      </c>
      <c r="H3147" s="23" t="s">
        <v>6506</v>
      </c>
      <c r="I3147" s="21"/>
      <c r="J3147" s="25"/>
      <c r="K3147" s="26" t="s">
        <v>44</v>
      </c>
      <c r="L3147" s="16"/>
      <c r="M3147" s="21"/>
    </row>
    <row r="3148">
      <c r="A3148" s="28">
        <v>46232.0</v>
      </c>
      <c r="B3148" s="16" t="s">
        <v>12082</v>
      </c>
      <c r="C3148" s="20" t="s">
        <v>12083</v>
      </c>
      <c r="D3148" s="21"/>
      <c r="E3148" s="22" t="s">
        <v>12084</v>
      </c>
      <c r="H3148" s="23" t="s">
        <v>2549</v>
      </c>
      <c r="I3148" s="21"/>
      <c r="J3148" s="25"/>
      <c r="K3148" s="26" t="s">
        <v>44</v>
      </c>
      <c r="L3148" s="16"/>
      <c r="M3148" s="21"/>
    </row>
    <row r="3149">
      <c r="A3149" s="28">
        <v>46232.0</v>
      </c>
      <c r="B3149" s="16" t="s">
        <v>12085</v>
      </c>
      <c r="C3149" s="20" t="s">
        <v>12086</v>
      </c>
      <c r="D3149" s="21"/>
      <c r="E3149" s="22" t="s">
        <v>12087</v>
      </c>
      <c r="H3149" s="23" t="s">
        <v>2549</v>
      </c>
      <c r="I3149" s="21"/>
      <c r="J3149" s="25"/>
      <c r="K3149" s="26" t="s">
        <v>44</v>
      </c>
      <c r="L3149" s="16"/>
      <c r="M3149" s="21"/>
    </row>
    <row r="3150">
      <c r="A3150" s="28">
        <v>46232.0</v>
      </c>
      <c r="B3150" s="16" t="s">
        <v>12088</v>
      </c>
      <c r="C3150" s="20" t="s">
        <v>12089</v>
      </c>
      <c r="D3150" s="21"/>
      <c r="E3150" s="22" t="s">
        <v>12090</v>
      </c>
      <c r="H3150" s="23" t="s">
        <v>2549</v>
      </c>
      <c r="I3150" s="21"/>
      <c r="J3150" s="25"/>
      <c r="K3150" s="26" t="s">
        <v>44</v>
      </c>
      <c r="L3150" s="16"/>
      <c r="M3150" s="21"/>
    </row>
    <row r="3151">
      <c r="A3151" s="28">
        <v>46232.0</v>
      </c>
      <c r="B3151" s="16" t="s">
        <v>12091</v>
      </c>
      <c r="C3151" s="20" t="s">
        <v>12092</v>
      </c>
      <c r="D3151" s="21"/>
      <c r="E3151" s="22" t="s">
        <v>12093</v>
      </c>
      <c r="H3151" s="23" t="s">
        <v>47</v>
      </c>
      <c r="I3151" s="21"/>
      <c r="J3151" s="25"/>
      <c r="K3151" s="26" t="s">
        <v>44</v>
      </c>
      <c r="L3151" s="16"/>
      <c r="M3151" s="21"/>
    </row>
    <row r="3152">
      <c r="A3152" s="28">
        <v>46232.0</v>
      </c>
      <c r="B3152" s="16" t="s">
        <v>12094</v>
      </c>
      <c r="C3152" s="20" t="s">
        <v>12095</v>
      </c>
      <c r="D3152" s="21"/>
      <c r="E3152" s="22" t="s">
        <v>12096</v>
      </c>
      <c r="H3152" s="23" t="s">
        <v>47</v>
      </c>
      <c r="I3152" s="21"/>
      <c r="J3152" s="25"/>
      <c r="K3152" s="26" t="s">
        <v>44</v>
      </c>
      <c r="L3152" s="16"/>
      <c r="M3152" s="21"/>
    </row>
    <row r="3153">
      <c r="A3153" s="28">
        <v>46232.0</v>
      </c>
      <c r="B3153" s="16" t="s">
        <v>12097</v>
      </c>
      <c r="C3153" s="20" t="s">
        <v>12098</v>
      </c>
      <c r="D3153" s="21"/>
      <c r="E3153" s="22" t="s">
        <v>12099</v>
      </c>
      <c r="H3153" s="23" t="s">
        <v>12100</v>
      </c>
      <c r="I3153" s="21"/>
      <c r="J3153" s="25"/>
      <c r="K3153" s="26" t="s">
        <v>44</v>
      </c>
      <c r="L3153" s="16"/>
      <c r="M3153" s="21"/>
    </row>
    <row r="3154">
      <c r="A3154" s="28">
        <v>46232.0</v>
      </c>
      <c r="B3154" s="16" t="s">
        <v>12101</v>
      </c>
      <c r="C3154" s="20" t="s">
        <v>12102</v>
      </c>
      <c r="D3154" s="21"/>
      <c r="E3154" s="22" t="s">
        <v>12103</v>
      </c>
      <c r="H3154" s="23" t="s">
        <v>47</v>
      </c>
      <c r="I3154" s="21"/>
      <c r="J3154" s="25"/>
      <c r="K3154" s="26" t="s">
        <v>44</v>
      </c>
      <c r="L3154" s="16"/>
      <c r="M3154" s="21"/>
    </row>
    <row r="3155">
      <c r="A3155" s="28">
        <v>46232.0</v>
      </c>
      <c r="B3155" s="16" t="s">
        <v>12104</v>
      </c>
      <c r="C3155" s="20" t="s">
        <v>12105</v>
      </c>
      <c r="D3155" s="21"/>
      <c r="E3155" s="22" t="s">
        <v>12106</v>
      </c>
      <c r="H3155" s="23" t="s">
        <v>47</v>
      </c>
      <c r="I3155" s="21"/>
      <c r="J3155" s="25"/>
      <c r="K3155" s="26" t="s">
        <v>44</v>
      </c>
      <c r="L3155" s="16"/>
      <c r="M3155" s="21"/>
    </row>
    <row r="3156">
      <c r="A3156" s="28">
        <v>46232.0</v>
      </c>
      <c r="B3156" s="16" t="s">
        <v>12107</v>
      </c>
      <c r="C3156" s="20" t="s">
        <v>12108</v>
      </c>
      <c r="D3156" s="21"/>
      <c r="E3156" s="22" t="s">
        <v>12109</v>
      </c>
      <c r="H3156" s="23" t="s">
        <v>47</v>
      </c>
      <c r="I3156" s="21"/>
      <c r="J3156" s="25"/>
      <c r="K3156" s="26" t="s">
        <v>44</v>
      </c>
      <c r="L3156" s="16"/>
      <c r="M3156" s="21"/>
    </row>
    <row r="3157">
      <c r="A3157" s="28">
        <v>46232.0</v>
      </c>
      <c r="B3157" s="16" t="s">
        <v>12110</v>
      </c>
      <c r="C3157" s="20" t="s">
        <v>12111</v>
      </c>
      <c r="D3157" s="21"/>
      <c r="E3157" s="22" t="s">
        <v>12112</v>
      </c>
      <c r="H3157" s="23" t="s">
        <v>47</v>
      </c>
      <c r="I3157" s="21"/>
      <c r="J3157" s="25"/>
      <c r="K3157" s="26" t="s">
        <v>44</v>
      </c>
      <c r="L3157" s="16"/>
      <c r="M3157" s="21"/>
    </row>
    <row r="3158">
      <c r="A3158" s="28">
        <v>46232.0</v>
      </c>
      <c r="B3158" s="16" t="s">
        <v>12113</v>
      </c>
      <c r="C3158" s="20" t="s">
        <v>12114</v>
      </c>
      <c r="D3158" s="21"/>
      <c r="E3158" s="22" t="s">
        <v>12115</v>
      </c>
      <c r="H3158" s="23" t="s">
        <v>2549</v>
      </c>
      <c r="I3158" s="21"/>
      <c r="J3158" s="25"/>
      <c r="K3158" s="26" t="s">
        <v>44</v>
      </c>
      <c r="L3158" s="16"/>
      <c r="M3158" s="21"/>
    </row>
    <row r="3159">
      <c r="A3159" s="28">
        <v>46232.0</v>
      </c>
      <c r="B3159" s="16" t="s">
        <v>12116</v>
      </c>
      <c r="C3159" s="20" t="s">
        <v>12117</v>
      </c>
      <c r="D3159" s="21"/>
      <c r="E3159" s="22" t="s">
        <v>12118</v>
      </c>
      <c r="H3159" s="23" t="s">
        <v>2549</v>
      </c>
      <c r="I3159" s="21"/>
      <c r="J3159" s="25"/>
      <c r="K3159" s="26" t="s">
        <v>44</v>
      </c>
      <c r="L3159" s="16"/>
      <c r="M3159" s="21"/>
    </row>
    <row r="3160">
      <c r="A3160" s="28">
        <v>46232.0</v>
      </c>
      <c r="B3160" s="16" t="s">
        <v>12119</v>
      </c>
      <c r="C3160" s="20" t="s">
        <v>12120</v>
      </c>
      <c r="D3160" s="21"/>
      <c r="E3160" s="22" t="s">
        <v>12121</v>
      </c>
      <c r="H3160" s="23" t="s">
        <v>2549</v>
      </c>
      <c r="I3160" s="21"/>
      <c r="J3160" s="25"/>
      <c r="K3160" s="26" t="s">
        <v>44</v>
      </c>
      <c r="L3160" s="16"/>
      <c r="M3160" s="21"/>
    </row>
    <row r="3161">
      <c r="A3161" s="28">
        <v>46232.0</v>
      </c>
      <c r="B3161" s="16" t="s">
        <v>12122</v>
      </c>
      <c r="C3161" s="20" t="s">
        <v>12123</v>
      </c>
      <c r="D3161" s="21"/>
      <c r="E3161" s="22" t="s">
        <v>12124</v>
      </c>
      <c r="H3161" s="23" t="s">
        <v>2549</v>
      </c>
      <c r="I3161" s="21"/>
      <c r="J3161" s="25"/>
      <c r="K3161" s="26" t="s">
        <v>44</v>
      </c>
      <c r="L3161" s="16"/>
      <c r="M3161" s="21"/>
    </row>
    <row r="3162">
      <c r="A3162" s="28">
        <v>46232.0</v>
      </c>
      <c r="B3162" s="16" t="s">
        <v>12125</v>
      </c>
      <c r="C3162" s="20" t="s">
        <v>12126</v>
      </c>
      <c r="D3162" s="21"/>
      <c r="E3162" s="22" t="s">
        <v>12127</v>
      </c>
      <c r="H3162" s="23" t="s">
        <v>2549</v>
      </c>
      <c r="I3162" s="21"/>
      <c r="J3162" s="25"/>
      <c r="K3162" s="26" t="s">
        <v>44</v>
      </c>
      <c r="L3162" s="16"/>
      <c r="M3162" s="21"/>
    </row>
    <row r="3163">
      <c r="A3163" s="28">
        <v>46232.0</v>
      </c>
      <c r="B3163" s="16" t="s">
        <v>12128</v>
      </c>
      <c r="C3163" s="20" t="s">
        <v>12129</v>
      </c>
      <c r="D3163" s="21"/>
      <c r="E3163" s="22" t="s">
        <v>12130</v>
      </c>
      <c r="H3163" s="23" t="s">
        <v>2549</v>
      </c>
      <c r="I3163" s="21"/>
      <c r="J3163" s="25"/>
      <c r="K3163" s="26" t="s">
        <v>44</v>
      </c>
      <c r="L3163" s="16"/>
      <c r="M3163" s="21"/>
    </row>
    <row r="3164">
      <c r="A3164" s="28">
        <v>46232.0</v>
      </c>
      <c r="B3164" s="16" t="s">
        <v>12131</v>
      </c>
      <c r="C3164" s="20" t="s">
        <v>717</v>
      </c>
      <c r="D3164" s="21"/>
      <c r="E3164" s="22" t="s">
        <v>12132</v>
      </c>
      <c r="H3164" s="23" t="s">
        <v>47</v>
      </c>
      <c r="I3164" s="21"/>
      <c r="J3164" s="25"/>
      <c r="K3164" s="26" t="s">
        <v>44</v>
      </c>
      <c r="L3164" s="16"/>
      <c r="M3164" s="21"/>
    </row>
    <row r="3165">
      <c r="A3165" s="28">
        <v>46232.0</v>
      </c>
      <c r="B3165" s="16" t="s">
        <v>12133</v>
      </c>
      <c r="C3165" s="20" t="s">
        <v>12134</v>
      </c>
      <c r="D3165" s="21"/>
      <c r="E3165" s="22" t="s">
        <v>12135</v>
      </c>
      <c r="H3165" s="23" t="s">
        <v>2549</v>
      </c>
      <c r="I3165" s="21"/>
      <c r="J3165" s="25"/>
      <c r="K3165" s="26" t="s">
        <v>44</v>
      </c>
      <c r="L3165" s="16"/>
      <c r="M3165" s="21"/>
    </row>
    <row r="3166">
      <c r="A3166" s="28">
        <v>46232.0</v>
      </c>
      <c r="B3166" s="16" t="s">
        <v>12136</v>
      </c>
      <c r="C3166" s="20" t="s">
        <v>12137</v>
      </c>
      <c r="D3166" s="21"/>
      <c r="E3166" s="22" t="s">
        <v>12138</v>
      </c>
      <c r="H3166" s="23" t="s">
        <v>2549</v>
      </c>
      <c r="I3166" s="21"/>
      <c r="J3166" s="25"/>
      <c r="K3166" s="26" t="s">
        <v>44</v>
      </c>
      <c r="L3166" s="16"/>
      <c r="M3166" s="21"/>
    </row>
    <row r="3167">
      <c r="A3167" s="28">
        <v>46232.0</v>
      </c>
      <c r="B3167" s="16" t="s">
        <v>12139</v>
      </c>
      <c r="C3167" s="20" t="s">
        <v>12140</v>
      </c>
      <c r="D3167" s="21"/>
      <c r="E3167" s="22" t="s">
        <v>12141</v>
      </c>
      <c r="H3167" s="23" t="s">
        <v>2549</v>
      </c>
      <c r="I3167" s="21"/>
      <c r="J3167" s="25"/>
      <c r="K3167" s="26" t="s">
        <v>44</v>
      </c>
      <c r="L3167" s="16"/>
      <c r="M3167" s="21"/>
    </row>
    <row r="3168">
      <c r="A3168" s="28">
        <v>46232.0</v>
      </c>
      <c r="B3168" s="16" t="s">
        <v>12142</v>
      </c>
      <c r="C3168" s="20" t="s">
        <v>12143</v>
      </c>
      <c r="D3168" s="21"/>
      <c r="E3168" s="22" t="s">
        <v>12144</v>
      </c>
      <c r="H3168" s="23" t="s">
        <v>2549</v>
      </c>
      <c r="I3168" s="21"/>
      <c r="J3168" s="25"/>
      <c r="K3168" s="26" t="s">
        <v>44</v>
      </c>
      <c r="L3168" s="16"/>
      <c r="M3168" s="21"/>
    </row>
    <row r="3169">
      <c r="A3169" s="28">
        <v>46232.0</v>
      </c>
      <c r="B3169" s="16" t="s">
        <v>12145</v>
      </c>
      <c r="C3169" s="20" t="s">
        <v>12146</v>
      </c>
      <c r="D3169" s="21"/>
      <c r="E3169" s="22" t="s">
        <v>12147</v>
      </c>
      <c r="H3169" s="23" t="s">
        <v>2549</v>
      </c>
      <c r="I3169" s="21"/>
      <c r="J3169" s="25"/>
      <c r="K3169" s="26" t="s">
        <v>44</v>
      </c>
      <c r="L3169" s="16"/>
      <c r="M3169" s="21"/>
    </row>
    <row r="3170">
      <c r="A3170" s="28">
        <v>46232.0</v>
      </c>
      <c r="B3170" s="16" t="s">
        <v>12148</v>
      </c>
      <c r="C3170" s="20" t="s">
        <v>12149</v>
      </c>
      <c r="D3170" s="21"/>
      <c r="E3170" s="22" t="s">
        <v>12150</v>
      </c>
      <c r="H3170" s="23" t="s">
        <v>47</v>
      </c>
      <c r="I3170" s="21"/>
      <c r="J3170" s="25"/>
      <c r="K3170" s="26" t="s">
        <v>44</v>
      </c>
      <c r="L3170" s="16"/>
      <c r="M3170" s="21"/>
    </row>
    <row r="3171">
      <c r="A3171" s="28">
        <v>46232.0</v>
      </c>
      <c r="B3171" s="16" t="s">
        <v>12151</v>
      </c>
      <c r="C3171" s="20" t="s">
        <v>12152</v>
      </c>
      <c r="D3171" s="21"/>
      <c r="E3171" s="22" t="s">
        <v>12153</v>
      </c>
      <c r="H3171" s="23" t="s">
        <v>2549</v>
      </c>
      <c r="I3171" s="21"/>
      <c r="J3171" s="25"/>
      <c r="K3171" s="26" t="s">
        <v>44</v>
      </c>
      <c r="L3171" s="16"/>
      <c r="M3171" s="21"/>
    </row>
    <row r="3172">
      <c r="A3172" s="28">
        <v>46232.0</v>
      </c>
      <c r="B3172" s="16" t="s">
        <v>12154</v>
      </c>
      <c r="C3172" s="20" t="s">
        <v>12155</v>
      </c>
      <c r="D3172" s="21"/>
      <c r="E3172" s="41"/>
      <c r="H3172" s="23" t="s">
        <v>2549</v>
      </c>
      <c r="I3172" s="21"/>
      <c r="J3172" s="25"/>
      <c r="K3172" s="26" t="s">
        <v>44</v>
      </c>
      <c r="L3172" s="16"/>
      <c r="M3172" s="21"/>
    </row>
    <row r="3173">
      <c r="A3173" s="28">
        <v>46232.0</v>
      </c>
      <c r="B3173" s="16" t="s">
        <v>12156</v>
      </c>
      <c r="C3173" s="20" t="s">
        <v>12157</v>
      </c>
      <c r="D3173" s="21"/>
      <c r="E3173" s="22" t="s">
        <v>12158</v>
      </c>
      <c r="H3173" s="23" t="s">
        <v>47</v>
      </c>
      <c r="I3173" s="21"/>
      <c r="J3173" s="25"/>
      <c r="K3173" s="26" t="s">
        <v>44</v>
      </c>
      <c r="L3173" s="16"/>
      <c r="M3173" s="21"/>
    </row>
    <row r="3174">
      <c r="A3174" s="28">
        <v>46232.0</v>
      </c>
      <c r="B3174" s="16" t="s">
        <v>12159</v>
      </c>
      <c r="C3174" s="20" t="s">
        <v>12160</v>
      </c>
      <c r="D3174" s="21"/>
      <c r="E3174" s="22" t="s">
        <v>12161</v>
      </c>
      <c r="H3174" s="23" t="s">
        <v>2549</v>
      </c>
      <c r="I3174" s="21"/>
      <c r="J3174" s="25"/>
      <c r="K3174" s="26" t="s">
        <v>44</v>
      </c>
      <c r="L3174" s="16"/>
      <c r="M3174" s="21"/>
    </row>
    <row r="3175">
      <c r="A3175" s="28">
        <v>46232.0</v>
      </c>
      <c r="B3175" s="16" t="s">
        <v>12162</v>
      </c>
      <c r="C3175" s="20" t="s">
        <v>12163</v>
      </c>
      <c r="D3175" s="21"/>
      <c r="E3175" s="22" t="s">
        <v>12164</v>
      </c>
      <c r="H3175" s="23" t="s">
        <v>2549</v>
      </c>
      <c r="I3175" s="21"/>
      <c r="J3175" s="25"/>
      <c r="K3175" s="26" t="s">
        <v>44</v>
      </c>
      <c r="L3175" s="16"/>
      <c r="M3175" s="21"/>
    </row>
    <row r="3176">
      <c r="A3176" s="28">
        <v>46232.0</v>
      </c>
      <c r="B3176" s="16" t="s">
        <v>12165</v>
      </c>
      <c r="C3176" s="20" t="s">
        <v>12166</v>
      </c>
      <c r="D3176" s="21"/>
      <c r="E3176" s="22" t="s">
        <v>12167</v>
      </c>
      <c r="H3176" s="23" t="s">
        <v>2549</v>
      </c>
      <c r="I3176" s="21"/>
      <c r="J3176" s="25"/>
      <c r="K3176" s="26" t="s">
        <v>44</v>
      </c>
      <c r="L3176" s="16"/>
      <c r="M3176" s="21"/>
    </row>
    <row r="3177">
      <c r="A3177" s="28">
        <v>46232.0</v>
      </c>
      <c r="B3177" s="16" t="s">
        <v>12168</v>
      </c>
      <c r="C3177" s="20" t="s">
        <v>12169</v>
      </c>
      <c r="D3177" s="21"/>
      <c r="E3177" s="22" t="s">
        <v>12170</v>
      </c>
      <c r="H3177" s="23" t="s">
        <v>2549</v>
      </c>
      <c r="I3177" s="21"/>
      <c r="J3177" s="25"/>
      <c r="K3177" s="26" t="s">
        <v>44</v>
      </c>
      <c r="L3177" s="16"/>
      <c r="M3177" s="21"/>
    </row>
    <row r="3178">
      <c r="A3178" s="28">
        <v>46232.0</v>
      </c>
      <c r="B3178" s="16" t="s">
        <v>12171</v>
      </c>
      <c r="C3178" s="20" t="s">
        <v>12172</v>
      </c>
      <c r="D3178" s="21"/>
      <c r="E3178" s="22" t="s">
        <v>12173</v>
      </c>
      <c r="H3178" s="23" t="s">
        <v>47</v>
      </c>
      <c r="I3178" s="21"/>
      <c r="J3178" s="25"/>
      <c r="K3178" s="26" t="s">
        <v>44</v>
      </c>
      <c r="L3178" s="16"/>
      <c r="M3178" s="21"/>
    </row>
    <row r="3179">
      <c r="A3179" s="28">
        <v>46232.0</v>
      </c>
      <c r="B3179" s="16" t="s">
        <v>12174</v>
      </c>
      <c r="C3179" s="46" t="s">
        <v>12175</v>
      </c>
      <c r="D3179" s="21"/>
      <c r="E3179" s="22" t="s">
        <v>12176</v>
      </c>
      <c r="H3179" s="23" t="s">
        <v>2549</v>
      </c>
      <c r="I3179" s="21"/>
      <c r="J3179" s="25"/>
      <c r="K3179" s="26" t="s">
        <v>44</v>
      </c>
      <c r="L3179" s="16"/>
      <c r="M3179" s="21"/>
    </row>
    <row r="3180">
      <c r="A3180" s="28">
        <v>46232.0</v>
      </c>
      <c r="B3180" s="16" t="s">
        <v>12177</v>
      </c>
      <c r="C3180" s="20" t="s">
        <v>12178</v>
      </c>
      <c r="D3180" s="21"/>
      <c r="E3180" s="22" t="s">
        <v>12179</v>
      </c>
      <c r="H3180" s="23" t="s">
        <v>47</v>
      </c>
      <c r="I3180" s="21"/>
      <c r="J3180" s="25"/>
      <c r="K3180" s="26" t="s">
        <v>44</v>
      </c>
      <c r="L3180" s="16"/>
      <c r="M3180" s="21"/>
    </row>
    <row r="3181">
      <c r="A3181" s="28">
        <v>46232.0</v>
      </c>
      <c r="B3181" s="16" t="s">
        <v>12180</v>
      </c>
      <c r="C3181" s="20" t="s">
        <v>12181</v>
      </c>
      <c r="D3181" s="21"/>
      <c r="E3181" s="22" t="s">
        <v>12182</v>
      </c>
      <c r="H3181" s="23" t="s">
        <v>11267</v>
      </c>
      <c r="I3181" s="21"/>
      <c r="J3181" s="25"/>
      <c r="K3181" s="26" t="s">
        <v>44</v>
      </c>
      <c r="L3181" s="16"/>
      <c r="M3181" s="21"/>
    </row>
    <row r="3182">
      <c r="A3182" s="28">
        <v>46232.0</v>
      </c>
      <c r="B3182" s="16" t="s">
        <v>12183</v>
      </c>
      <c r="C3182" s="20" t="s">
        <v>12184</v>
      </c>
      <c r="D3182" s="21"/>
      <c r="E3182" s="22" t="s">
        <v>12185</v>
      </c>
      <c r="H3182" s="23" t="s">
        <v>47</v>
      </c>
      <c r="I3182" s="21"/>
      <c r="J3182" s="25"/>
      <c r="K3182" s="26" t="s">
        <v>44</v>
      </c>
      <c r="L3182" s="16"/>
      <c r="M3182" s="21"/>
    </row>
    <row r="3183">
      <c r="A3183" s="28">
        <v>46232.0</v>
      </c>
      <c r="B3183" s="16" t="s">
        <v>12186</v>
      </c>
      <c r="C3183" s="20" t="s">
        <v>12187</v>
      </c>
      <c r="D3183" s="21"/>
      <c r="E3183" s="41"/>
      <c r="H3183" s="23" t="s">
        <v>47</v>
      </c>
      <c r="I3183" s="21"/>
      <c r="J3183" s="25"/>
      <c r="K3183" s="26" t="s">
        <v>44</v>
      </c>
      <c r="L3183" s="16"/>
      <c r="M3183" s="21"/>
    </row>
    <row r="3184">
      <c r="A3184" s="28">
        <v>46232.0</v>
      </c>
      <c r="B3184" s="16" t="s">
        <v>12188</v>
      </c>
      <c r="C3184" s="20" t="s">
        <v>12189</v>
      </c>
      <c r="D3184" s="21"/>
      <c r="E3184" s="22" t="s">
        <v>12190</v>
      </c>
      <c r="H3184" s="23" t="s">
        <v>47</v>
      </c>
      <c r="I3184" s="21"/>
      <c r="J3184" s="25"/>
      <c r="K3184" s="26" t="s">
        <v>44</v>
      </c>
      <c r="L3184" s="16"/>
      <c r="M3184" s="21"/>
    </row>
    <row r="3185">
      <c r="A3185" s="28">
        <v>46232.0</v>
      </c>
      <c r="B3185" s="16" t="s">
        <v>12191</v>
      </c>
      <c r="C3185" s="20" t="s">
        <v>12192</v>
      </c>
      <c r="D3185" s="21"/>
      <c r="E3185" s="22" t="s">
        <v>12193</v>
      </c>
      <c r="H3185" s="23" t="s">
        <v>2549</v>
      </c>
      <c r="I3185" s="21"/>
      <c r="J3185" s="25"/>
      <c r="K3185" s="26" t="s">
        <v>44</v>
      </c>
      <c r="L3185" s="16"/>
      <c r="M3185" s="21"/>
    </row>
    <row r="3186">
      <c r="A3186" s="28">
        <v>46232.0</v>
      </c>
      <c r="B3186" s="16" t="s">
        <v>12194</v>
      </c>
      <c r="C3186" s="20" t="s">
        <v>12195</v>
      </c>
      <c r="D3186" s="21"/>
      <c r="E3186" s="22" t="s">
        <v>12196</v>
      </c>
      <c r="H3186" s="23" t="s">
        <v>47</v>
      </c>
      <c r="I3186" s="21"/>
      <c r="J3186" s="25"/>
      <c r="K3186" s="26" t="s">
        <v>44</v>
      </c>
      <c r="L3186" s="16"/>
      <c r="M3186" s="21"/>
    </row>
    <row r="3187">
      <c r="A3187" s="28">
        <v>46232.0</v>
      </c>
      <c r="B3187" s="16" t="s">
        <v>12197</v>
      </c>
      <c r="C3187" s="20" t="s">
        <v>12198</v>
      </c>
      <c r="D3187" s="21"/>
      <c r="E3187" s="22" t="s">
        <v>12199</v>
      </c>
      <c r="H3187" s="23" t="s">
        <v>47</v>
      </c>
      <c r="I3187" s="21"/>
      <c r="J3187" s="25"/>
      <c r="K3187" s="26" t="s">
        <v>44</v>
      </c>
      <c r="L3187" s="16"/>
      <c r="M3187" s="21"/>
    </row>
    <row r="3188">
      <c r="A3188" s="28">
        <v>46232.0</v>
      </c>
      <c r="B3188" s="16" t="s">
        <v>12200</v>
      </c>
      <c r="C3188" s="20" t="s">
        <v>12201</v>
      </c>
      <c r="D3188" s="21"/>
      <c r="E3188" s="41"/>
      <c r="H3188" s="23" t="s">
        <v>47</v>
      </c>
      <c r="I3188" s="21"/>
      <c r="J3188" s="25"/>
      <c r="K3188" s="26" t="s">
        <v>44</v>
      </c>
      <c r="L3188" s="16"/>
      <c r="M3188" s="21"/>
    </row>
    <row r="3189">
      <c r="A3189" s="28">
        <v>46232.0</v>
      </c>
      <c r="B3189" s="16" t="s">
        <v>12202</v>
      </c>
      <c r="C3189" s="20" t="s">
        <v>12203</v>
      </c>
      <c r="D3189" s="21"/>
      <c r="E3189" s="22" t="s">
        <v>12204</v>
      </c>
      <c r="H3189" s="78"/>
      <c r="I3189" s="21"/>
      <c r="J3189" s="25"/>
      <c r="K3189" s="26" t="s">
        <v>44</v>
      </c>
      <c r="L3189" s="16"/>
      <c r="M3189" s="21"/>
    </row>
    <row r="3190">
      <c r="A3190" s="28">
        <v>46232.0</v>
      </c>
      <c r="B3190" s="16" t="s">
        <v>12205</v>
      </c>
      <c r="C3190" s="20" t="s">
        <v>12206</v>
      </c>
      <c r="D3190" s="21"/>
      <c r="E3190" s="22" t="s">
        <v>12207</v>
      </c>
      <c r="H3190" s="23" t="s">
        <v>2549</v>
      </c>
      <c r="I3190" s="21"/>
      <c r="J3190" s="25"/>
      <c r="K3190" s="26" t="s">
        <v>44</v>
      </c>
      <c r="L3190" s="16"/>
      <c r="M3190" s="21"/>
    </row>
    <row r="3191">
      <c r="A3191" s="28">
        <v>46232.0</v>
      </c>
      <c r="B3191" s="16" t="s">
        <v>12208</v>
      </c>
      <c r="C3191" s="20" t="s">
        <v>12209</v>
      </c>
      <c r="D3191" s="21"/>
      <c r="E3191" s="22" t="s">
        <v>12210</v>
      </c>
      <c r="H3191" s="23" t="s">
        <v>47</v>
      </c>
      <c r="I3191" s="21"/>
      <c r="J3191" s="25"/>
      <c r="K3191" s="26" t="s">
        <v>44</v>
      </c>
      <c r="L3191" s="16"/>
      <c r="M3191" s="21"/>
    </row>
    <row r="3192">
      <c r="A3192" s="28">
        <v>46232.0</v>
      </c>
      <c r="B3192" s="16" t="s">
        <v>12211</v>
      </c>
      <c r="C3192" s="20" t="s">
        <v>12212</v>
      </c>
      <c r="D3192" s="21"/>
      <c r="E3192" s="22" t="s">
        <v>12213</v>
      </c>
      <c r="H3192" s="23" t="s">
        <v>47</v>
      </c>
      <c r="I3192" s="21"/>
      <c r="J3192" s="25"/>
      <c r="K3192" s="26" t="s">
        <v>44</v>
      </c>
      <c r="L3192" s="16"/>
      <c r="M3192" s="21"/>
    </row>
    <row r="3193">
      <c r="A3193" s="28">
        <v>46232.0</v>
      </c>
      <c r="B3193" s="16" t="s">
        <v>12214</v>
      </c>
      <c r="C3193" s="20" t="s">
        <v>12215</v>
      </c>
      <c r="D3193" s="21"/>
      <c r="E3193" s="22" t="s">
        <v>12216</v>
      </c>
      <c r="H3193" s="23" t="s">
        <v>47</v>
      </c>
      <c r="I3193" s="21"/>
      <c r="J3193" s="25"/>
      <c r="K3193" s="26" t="s">
        <v>44</v>
      </c>
      <c r="L3193" s="16"/>
      <c r="M3193" s="21"/>
    </row>
    <row r="3194">
      <c r="A3194" s="28">
        <v>46232.0</v>
      </c>
      <c r="B3194" s="16" t="s">
        <v>12217</v>
      </c>
      <c r="C3194" s="20" t="s">
        <v>12218</v>
      </c>
      <c r="D3194" s="21"/>
      <c r="E3194" s="22" t="s">
        <v>12219</v>
      </c>
      <c r="H3194" s="23" t="s">
        <v>2549</v>
      </c>
      <c r="I3194" s="21"/>
      <c r="J3194" s="25"/>
      <c r="K3194" s="26" t="s">
        <v>44</v>
      </c>
      <c r="L3194" s="16"/>
      <c r="M3194" s="21"/>
    </row>
    <row r="3195">
      <c r="A3195" s="28">
        <v>46232.0</v>
      </c>
      <c r="B3195" s="16" t="s">
        <v>12220</v>
      </c>
      <c r="C3195" s="20" t="s">
        <v>12221</v>
      </c>
      <c r="D3195" s="21"/>
      <c r="E3195" s="22" t="s">
        <v>12222</v>
      </c>
      <c r="H3195" s="23" t="s">
        <v>47</v>
      </c>
      <c r="I3195" s="21"/>
      <c r="J3195" s="25"/>
      <c r="K3195" s="26" t="s">
        <v>44</v>
      </c>
      <c r="L3195" s="16"/>
      <c r="M3195" s="21"/>
    </row>
    <row r="3196">
      <c r="A3196" s="28">
        <v>46232.0</v>
      </c>
      <c r="B3196" s="16" t="s">
        <v>12223</v>
      </c>
      <c r="C3196" s="20" t="s">
        <v>12224</v>
      </c>
      <c r="D3196" s="21"/>
      <c r="E3196" s="22" t="s">
        <v>12225</v>
      </c>
      <c r="H3196" s="23" t="s">
        <v>47</v>
      </c>
      <c r="I3196" s="21"/>
      <c r="J3196" s="25"/>
      <c r="K3196" s="26" t="s">
        <v>44</v>
      </c>
      <c r="L3196" s="16"/>
      <c r="M3196" s="21"/>
    </row>
    <row r="3197">
      <c r="A3197" s="28">
        <v>46232.0</v>
      </c>
      <c r="B3197" s="16" t="s">
        <v>12226</v>
      </c>
      <c r="C3197" s="20" t="s">
        <v>12227</v>
      </c>
      <c r="D3197" s="21"/>
      <c r="E3197" s="22" t="s">
        <v>12228</v>
      </c>
      <c r="H3197" s="23" t="s">
        <v>2549</v>
      </c>
      <c r="I3197" s="21"/>
      <c r="J3197" s="25"/>
      <c r="K3197" s="26" t="s">
        <v>44</v>
      </c>
      <c r="L3197" s="16"/>
      <c r="M3197" s="21"/>
    </row>
    <row r="3198">
      <c r="A3198" s="28">
        <v>46232.0</v>
      </c>
      <c r="B3198" s="16" t="s">
        <v>12229</v>
      </c>
      <c r="C3198" s="20" t="s">
        <v>12230</v>
      </c>
      <c r="D3198" s="21"/>
      <c r="E3198" s="22" t="s">
        <v>12231</v>
      </c>
      <c r="H3198" s="23" t="s">
        <v>2549</v>
      </c>
      <c r="I3198" s="21"/>
      <c r="J3198" s="25"/>
      <c r="K3198" s="26" t="s">
        <v>44</v>
      </c>
      <c r="L3198" s="16"/>
      <c r="M3198" s="21"/>
    </row>
    <row r="3199">
      <c r="A3199" s="28">
        <v>46232.0</v>
      </c>
      <c r="B3199" s="16" t="s">
        <v>12232</v>
      </c>
      <c r="C3199" s="20" t="s">
        <v>12233</v>
      </c>
      <c r="D3199" s="21"/>
      <c r="E3199" s="22" t="s">
        <v>12234</v>
      </c>
      <c r="H3199" s="23" t="s">
        <v>47</v>
      </c>
      <c r="I3199" s="21"/>
      <c r="J3199" s="25"/>
      <c r="K3199" s="26" t="s">
        <v>44</v>
      </c>
      <c r="L3199" s="16"/>
      <c r="M3199" s="21"/>
    </row>
    <row r="3200">
      <c r="A3200" s="28">
        <v>46232.0</v>
      </c>
      <c r="B3200" s="16" t="s">
        <v>12235</v>
      </c>
      <c r="C3200" s="20" t="s">
        <v>12236</v>
      </c>
      <c r="D3200" s="21"/>
      <c r="E3200" s="22" t="s">
        <v>12237</v>
      </c>
      <c r="H3200" s="23" t="s">
        <v>2549</v>
      </c>
      <c r="I3200" s="21"/>
      <c r="J3200" s="25"/>
      <c r="K3200" s="26" t="s">
        <v>44</v>
      </c>
      <c r="L3200" s="16"/>
      <c r="M3200" s="21"/>
    </row>
    <row r="3201">
      <c r="A3201" s="28">
        <v>46232.0</v>
      </c>
      <c r="B3201" s="16" t="s">
        <v>12238</v>
      </c>
      <c r="C3201" s="20" t="s">
        <v>12239</v>
      </c>
      <c r="D3201" s="21"/>
      <c r="E3201" s="22" t="s">
        <v>12240</v>
      </c>
      <c r="H3201" s="23" t="s">
        <v>2549</v>
      </c>
      <c r="I3201" s="21"/>
      <c r="J3201" s="25"/>
      <c r="K3201" s="26" t="s">
        <v>44</v>
      </c>
      <c r="L3201" s="16"/>
      <c r="M3201" s="21"/>
    </row>
    <row r="3202">
      <c r="A3202" s="28">
        <v>46232.0</v>
      </c>
      <c r="B3202" s="16" t="s">
        <v>12241</v>
      </c>
      <c r="C3202" s="20" t="s">
        <v>12242</v>
      </c>
      <c r="D3202" s="21"/>
      <c r="E3202" s="22" t="s">
        <v>12243</v>
      </c>
      <c r="H3202" s="23" t="s">
        <v>47</v>
      </c>
      <c r="I3202" s="21"/>
      <c r="J3202" s="25"/>
      <c r="K3202" s="26" t="s">
        <v>44</v>
      </c>
      <c r="L3202" s="16"/>
      <c r="M3202" s="21"/>
    </row>
    <row r="3203">
      <c r="A3203" s="28">
        <v>46232.0</v>
      </c>
      <c r="B3203" s="16" t="s">
        <v>12244</v>
      </c>
      <c r="C3203" s="20" t="s">
        <v>12245</v>
      </c>
      <c r="D3203" s="21"/>
      <c r="E3203" s="22" t="s">
        <v>12246</v>
      </c>
      <c r="H3203" s="23" t="s">
        <v>2549</v>
      </c>
      <c r="I3203" s="21"/>
      <c r="J3203" s="25"/>
      <c r="K3203" s="26" t="s">
        <v>44</v>
      </c>
      <c r="L3203" s="16"/>
      <c r="M3203" s="21"/>
    </row>
    <row r="3204">
      <c r="A3204" s="28">
        <v>46232.0</v>
      </c>
      <c r="B3204" s="16" t="s">
        <v>12247</v>
      </c>
      <c r="C3204" s="20" t="s">
        <v>12248</v>
      </c>
      <c r="D3204" s="21"/>
      <c r="E3204" s="22" t="s">
        <v>12249</v>
      </c>
      <c r="H3204" s="23" t="s">
        <v>2549</v>
      </c>
      <c r="I3204" s="21"/>
      <c r="J3204" s="25"/>
      <c r="K3204" s="26" t="s">
        <v>44</v>
      </c>
      <c r="L3204" s="16"/>
      <c r="M3204" s="21"/>
    </row>
    <row r="3205">
      <c r="A3205" s="28">
        <v>46232.0</v>
      </c>
      <c r="B3205" s="16" t="s">
        <v>12250</v>
      </c>
      <c r="C3205" s="20" t="s">
        <v>12251</v>
      </c>
      <c r="D3205" s="21"/>
      <c r="E3205" s="22" t="s">
        <v>12252</v>
      </c>
      <c r="H3205" s="23" t="s">
        <v>47</v>
      </c>
      <c r="I3205" s="21"/>
      <c r="J3205" s="25"/>
      <c r="K3205" s="26" t="s">
        <v>44</v>
      </c>
      <c r="L3205" s="16"/>
      <c r="M3205" s="21"/>
    </row>
    <row r="3206">
      <c r="A3206" s="28">
        <v>46232.0</v>
      </c>
      <c r="B3206" s="16" t="s">
        <v>12253</v>
      </c>
      <c r="C3206" s="20" t="s">
        <v>12254</v>
      </c>
      <c r="D3206" s="21"/>
      <c r="E3206" s="22" t="s">
        <v>12255</v>
      </c>
      <c r="H3206" s="23" t="s">
        <v>47</v>
      </c>
      <c r="I3206" s="21"/>
      <c r="J3206" s="25"/>
      <c r="K3206" s="26" t="s">
        <v>44</v>
      </c>
      <c r="L3206" s="16"/>
      <c r="M3206" s="21"/>
    </row>
    <row r="3207">
      <c r="A3207" s="28">
        <v>46232.0</v>
      </c>
      <c r="B3207" s="16" t="s">
        <v>12256</v>
      </c>
      <c r="C3207" s="20" t="s">
        <v>12257</v>
      </c>
      <c r="D3207" s="21"/>
      <c r="E3207" s="22" t="s">
        <v>12258</v>
      </c>
      <c r="H3207" s="23" t="s">
        <v>47</v>
      </c>
      <c r="I3207" s="21"/>
      <c r="J3207" s="25"/>
      <c r="K3207" s="26" t="s">
        <v>44</v>
      </c>
      <c r="L3207" s="16"/>
      <c r="M3207" s="21"/>
    </row>
    <row r="3208">
      <c r="A3208" s="28">
        <v>46232.0</v>
      </c>
      <c r="B3208" s="16" t="s">
        <v>12259</v>
      </c>
      <c r="C3208" s="20" t="s">
        <v>12260</v>
      </c>
      <c r="D3208" s="21"/>
      <c r="E3208" s="22" t="s">
        <v>12261</v>
      </c>
      <c r="H3208" s="23" t="s">
        <v>47</v>
      </c>
      <c r="I3208" s="21"/>
      <c r="J3208" s="25"/>
      <c r="K3208" s="26" t="s">
        <v>44</v>
      </c>
      <c r="L3208" s="16"/>
      <c r="M3208" s="21"/>
    </row>
    <row r="3209">
      <c r="A3209" s="28">
        <v>46232.0</v>
      </c>
      <c r="B3209" s="16" t="s">
        <v>12262</v>
      </c>
      <c r="C3209" s="20" t="s">
        <v>12263</v>
      </c>
      <c r="D3209" s="21"/>
      <c r="E3209" s="22" t="s">
        <v>12264</v>
      </c>
      <c r="H3209" s="23" t="s">
        <v>47</v>
      </c>
      <c r="I3209" s="21"/>
      <c r="J3209" s="25"/>
      <c r="K3209" s="26" t="s">
        <v>44</v>
      </c>
      <c r="L3209" s="16"/>
      <c r="M3209" s="21"/>
    </row>
    <row r="3210">
      <c r="A3210" s="28">
        <v>46232.0</v>
      </c>
      <c r="B3210" s="16" t="s">
        <v>12265</v>
      </c>
      <c r="C3210" s="20" t="s">
        <v>12266</v>
      </c>
      <c r="D3210" s="21"/>
      <c r="E3210" s="22" t="s">
        <v>12267</v>
      </c>
      <c r="H3210" s="78"/>
      <c r="I3210" s="21"/>
      <c r="J3210" s="25"/>
      <c r="K3210" s="26" t="s">
        <v>44</v>
      </c>
      <c r="L3210" s="16"/>
      <c r="M3210" s="21"/>
    </row>
    <row r="3211">
      <c r="A3211" s="28">
        <v>46232.0</v>
      </c>
      <c r="B3211" s="16" t="s">
        <v>12268</v>
      </c>
      <c r="C3211" s="20" t="s">
        <v>12269</v>
      </c>
      <c r="D3211" s="21"/>
      <c r="E3211" s="22" t="s">
        <v>12270</v>
      </c>
      <c r="H3211" s="78"/>
      <c r="I3211" s="21"/>
      <c r="J3211" s="25"/>
      <c r="K3211" s="26" t="s">
        <v>44</v>
      </c>
      <c r="L3211" s="16"/>
      <c r="M3211" s="21"/>
    </row>
    <row r="3212">
      <c r="A3212" s="28">
        <v>46232.0</v>
      </c>
      <c r="B3212" s="16" t="s">
        <v>12271</v>
      </c>
      <c r="C3212" s="20" t="s">
        <v>12272</v>
      </c>
      <c r="D3212" s="21"/>
      <c r="E3212" s="41"/>
      <c r="H3212" s="78"/>
      <c r="I3212" s="21"/>
      <c r="J3212" s="25"/>
      <c r="K3212" s="26" t="s">
        <v>44</v>
      </c>
      <c r="L3212" s="16"/>
      <c r="M3212" s="21"/>
    </row>
    <row r="3213">
      <c r="A3213" s="28">
        <v>46232.0</v>
      </c>
      <c r="B3213" s="16" t="s">
        <v>12273</v>
      </c>
      <c r="C3213" s="20" t="s">
        <v>12274</v>
      </c>
      <c r="D3213" s="21"/>
      <c r="E3213" s="22" t="s">
        <v>12275</v>
      </c>
      <c r="H3213" s="78"/>
      <c r="I3213" s="21"/>
      <c r="J3213" s="25"/>
      <c r="K3213" s="26" t="s">
        <v>44</v>
      </c>
      <c r="L3213" s="16"/>
      <c r="M3213" s="21"/>
    </row>
    <row r="3214">
      <c r="A3214" s="28">
        <v>46232.0</v>
      </c>
      <c r="B3214" s="16" t="s">
        <v>12276</v>
      </c>
      <c r="C3214" s="20" t="s">
        <v>12277</v>
      </c>
      <c r="D3214" s="21"/>
      <c r="E3214" s="22" t="s">
        <v>12278</v>
      </c>
      <c r="H3214" s="78"/>
      <c r="I3214" s="21"/>
      <c r="J3214" s="25"/>
      <c r="K3214" s="26" t="s">
        <v>44</v>
      </c>
      <c r="L3214" s="16"/>
      <c r="M3214" s="21"/>
    </row>
    <row r="3215">
      <c r="A3215" s="28">
        <v>46232.0</v>
      </c>
      <c r="B3215" s="16" t="s">
        <v>12279</v>
      </c>
      <c r="C3215" s="20" t="s">
        <v>12280</v>
      </c>
      <c r="D3215" s="21"/>
      <c r="E3215" s="22" t="s">
        <v>12281</v>
      </c>
      <c r="H3215" s="78"/>
      <c r="I3215" s="21"/>
      <c r="J3215" s="25"/>
      <c r="K3215" s="26" t="s">
        <v>44</v>
      </c>
      <c r="L3215" s="16"/>
      <c r="M3215" s="21"/>
    </row>
    <row r="3216">
      <c r="A3216" s="28">
        <v>46232.0</v>
      </c>
      <c r="B3216" s="16" t="s">
        <v>12282</v>
      </c>
      <c r="C3216" s="20" t="s">
        <v>12283</v>
      </c>
      <c r="D3216" s="21"/>
      <c r="E3216" s="22" t="s">
        <v>12284</v>
      </c>
      <c r="H3216" s="78"/>
      <c r="I3216" s="21"/>
      <c r="J3216" s="25"/>
      <c r="K3216" s="26" t="s">
        <v>44</v>
      </c>
      <c r="L3216" s="16"/>
      <c r="M3216" s="21"/>
    </row>
    <row r="3217">
      <c r="A3217" s="28">
        <v>46232.0</v>
      </c>
      <c r="B3217" s="16" t="s">
        <v>12285</v>
      </c>
      <c r="C3217" s="20" t="s">
        <v>12286</v>
      </c>
      <c r="D3217" s="21"/>
      <c r="E3217" s="22" t="s">
        <v>12287</v>
      </c>
      <c r="H3217" s="78"/>
      <c r="I3217" s="21"/>
      <c r="J3217" s="25"/>
      <c r="K3217" s="26" t="s">
        <v>44</v>
      </c>
      <c r="L3217" s="16"/>
      <c r="M3217" s="21"/>
    </row>
    <row r="3218">
      <c r="A3218" s="28">
        <v>46232.0</v>
      </c>
      <c r="B3218" s="16" t="s">
        <v>12288</v>
      </c>
      <c r="C3218" s="20" t="s">
        <v>12289</v>
      </c>
      <c r="D3218" s="21"/>
      <c r="E3218" s="22" t="s">
        <v>12290</v>
      </c>
      <c r="H3218" s="78"/>
      <c r="I3218" s="21"/>
      <c r="J3218" s="25"/>
      <c r="K3218" s="26" t="s">
        <v>44</v>
      </c>
      <c r="L3218" s="16"/>
      <c r="M3218" s="21"/>
    </row>
    <row r="3219">
      <c r="A3219" s="28">
        <v>46232.0</v>
      </c>
      <c r="B3219" s="16" t="s">
        <v>12291</v>
      </c>
      <c r="C3219" s="20" t="s">
        <v>12292</v>
      </c>
      <c r="D3219" s="21"/>
      <c r="E3219" s="22" t="s">
        <v>12293</v>
      </c>
      <c r="H3219" s="78"/>
      <c r="I3219" s="21"/>
      <c r="J3219" s="25"/>
      <c r="K3219" s="26" t="s">
        <v>44</v>
      </c>
      <c r="L3219" s="16"/>
      <c r="M3219" s="21"/>
    </row>
    <row r="3220">
      <c r="A3220" s="28">
        <v>46232.0</v>
      </c>
      <c r="B3220" s="16" t="s">
        <v>12294</v>
      </c>
      <c r="C3220" s="20" t="s">
        <v>12295</v>
      </c>
      <c r="D3220" s="21"/>
      <c r="E3220" s="41"/>
      <c r="H3220" s="78"/>
      <c r="I3220" s="21"/>
      <c r="J3220" s="25"/>
      <c r="K3220" s="26" t="s">
        <v>44</v>
      </c>
      <c r="L3220" s="16"/>
      <c r="M3220" s="21"/>
    </row>
    <row r="3221">
      <c r="A3221" s="28">
        <v>46232.0</v>
      </c>
      <c r="B3221" s="16" t="s">
        <v>12296</v>
      </c>
      <c r="C3221" s="20" t="s">
        <v>12297</v>
      </c>
      <c r="D3221" s="21"/>
      <c r="E3221" s="41"/>
      <c r="H3221" s="78"/>
      <c r="I3221" s="21"/>
      <c r="J3221" s="25"/>
      <c r="K3221" s="26" t="s">
        <v>44</v>
      </c>
      <c r="L3221" s="16"/>
      <c r="M3221" s="21"/>
    </row>
    <row r="3222">
      <c r="A3222" s="28">
        <v>46232.0</v>
      </c>
      <c r="B3222" s="16" t="s">
        <v>12298</v>
      </c>
      <c r="C3222" s="20" t="s">
        <v>12299</v>
      </c>
      <c r="D3222" s="21"/>
      <c r="E3222" s="41"/>
      <c r="H3222" s="78"/>
      <c r="I3222" s="21"/>
      <c r="J3222" s="25"/>
      <c r="K3222" s="26" t="s">
        <v>44</v>
      </c>
      <c r="L3222" s="16"/>
      <c r="M3222" s="21"/>
    </row>
    <row r="3223">
      <c r="A3223" s="28">
        <v>46232.0</v>
      </c>
      <c r="B3223" s="16" t="s">
        <v>12300</v>
      </c>
      <c r="C3223" s="20" t="s">
        <v>12301</v>
      </c>
      <c r="D3223" s="21"/>
      <c r="E3223" s="22" t="s">
        <v>12302</v>
      </c>
      <c r="H3223" s="78"/>
      <c r="I3223" s="21"/>
      <c r="J3223" s="25"/>
      <c r="K3223" s="26" t="s">
        <v>44</v>
      </c>
      <c r="L3223" s="16"/>
      <c r="M3223" s="21"/>
    </row>
    <row r="3224">
      <c r="A3224" s="28">
        <v>46232.0</v>
      </c>
      <c r="B3224" s="16" t="s">
        <v>12303</v>
      </c>
      <c r="C3224" s="20" t="s">
        <v>12304</v>
      </c>
      <c r="D3224" s="21"/>
      <c r="E3224" s="22" t="s">
        <v>12305</v>
      </c>
      <c r="H3224" s="78"/>
      <c r="I3224" s="21"/>
      <c r="J3224" s="25"/>
      <c r="K3224" s="26" t="s">
        <v>44</v>
      </c>
      <c r="L3224" s="16"/>
      <c r="M3224" s="21"/>
    </row>
    <row r="3225">
      <c r="A3225" s="28">
        <v>46232.0</v>
      </c>
      <c r="B3225" s="16" t="s">
        <v>12306</v>
      </c>
      <c r="C3225" s="20" t="s">
        <v>12307</v>
      </c>
      <c r="D3225" s="21"/>
      <c r="E3225" s="22" t="s">
        <v>12308</v>
      </c>
      <c r="H3225" s="78"/>
      <c r="I3225" s="21"/>
      <c r="J3225" s="25"/>
      <c r="K3225" s="26" t="s">
        <v>44</v>
      </c>
      <c r="L3225" s="16"/>
      <c r="M3225" s="21"/>
    </row>
    <row r="3226">
      <c r="A3226" s="28">
        <v>46232.0</v>
      </c>
      <c r="B3226" s="16" t="s">
        <v>12309</v>
      </c>
      <c r="C3226" s="20" t="s">
        <v>12310</v>
      </c>
      <c r="D3226" s="21"/>
      <c r="E3226" s="22" t="s">
        <v>12311</v>
      </c>
      <c r="H3226" s="78"/>
      <c r="I3226" s="21"/>
      <c r="J3226" s="25"/>
      <c r="K3226" s="26" t="s">
        <v>44</v>
      </c>
      <c r="L3226" s="16"/>
      <c r="M3226" s="21"/>
    </row>
    <row r="3227">
      <c r="A3227" s="28">
        <v>46232.0</v>
      </c>
      <c r="B3227" s="16" t="s">
        <v>12312</v>
      </c>
      <c r="C3227" s="20" t="s">
        <v>12313</v>
      </c>
      <c r="D3227" s="21"/>
      <c r="E3227" s="22" t="s">
        <v>12314</v>
      </c>
      <c r="H3227" s="78"/>
      <c r="I3227" s="21"/>
      <c r="J3227" s="25"/>
      <c r="K3227" s="26" t="s">
        <v>44</v>
      </c>
      <c r="L3227" s="16"/>
      <c r="M3227" s="21"/>
    </row>
    <row r="3228">
      <c r="A3228" s="28">
        <v>46232.0</v>
      </c>
      <c r="B3228" s="16" t="s">
        <v>12315</v>
      </c>
      <c r="C3228" s="20" t="s">
        <v>12316</v>
      </c>
      <c r="D3228" s="21"/>
      <c r="E3228" s="22" t="s">
        <v>12317</v>
      </c>
      <c r="H3228" s="78"/>
      <c r="I3228" s="21"/>
      <c r="J3228" s="25"/>
      <c r="K3228" s="26" t="s">
        <v>44</v>
      </c>
      <c r="L3228" s="16"/>
      <c r="M3228" s="21"/>
    </row>
    <row r="3229">
      <c r="A3229" s="28">
        <v>46232.0</v>
      </c>
      <c r="B3229" s="16" t="s">
        <v>12318</v>
      </c>
      <c r="C3229" s="20" t="s">
        <v>12319</v>
      </c>
      <c r="D3229" s="21"/>
      <c r="E3229" s="22" t="s">
        <v>12320</v>
      </c>
      <c r="H3229" s="78"/>
      <c r="I3229" s="21"/>
      <c r="J3229" s="25"/>
      <c r="K3229" s="26" t="s">
        <v>44</v>
      </c>
      <c r="L3229" s="16"/>
      <c r="M3229" s="21"/>
    </row>
    <row r="3230">
      <c r="A3230" s="28">
        <v>46232.0</v>
      </c>
      <c r="B3230" s="16" t="s">
        <v>12321</v>
      </c>
      <c r="C3230" s="20" t="s">
        <v>12322</v>
      </c>
      <c r="D3230" s="21"/>
      <c r="E3230" s="22" t="s">
        <v>12323</v>
      </c>
      <c r="H3230" s="78"/>
      <c r="I3230" s="21"/>
      <c r="J3230" s="25"/>
      <c r="K3230" s="26" t="s">
        <v>44</v>
      </c>
      <c r="L3230" s="16"/>
      <c r="M3230" s="21"/>
    </row>
    <row r="3231">
      <c r="A3231" s="28">
        <v>46232.0</v>
      </c>
      <c r="B3231" s="16" t="s">
        <v>12324</v>
      </c>
      <c r="C3231" s="20" t="s">
        <v>12325</v>
      </c>
      <c r="D3231" s="21"/>
      <c r="E3231" s="41"/>
      <c r="H3231" s="78"/>
      <c r="I3231" s="21"/>
      <c r="J3231" s="25"/>
      <c r="K3231" s="26" t="s">
        <v>44</v>
      </c>
      <c r="L3231" s="16"/>
      <c r="M3231" s="21"/>
    </row>
    <row r="3232">
      <c r="A3232" s="28">
        <v>46232.0</v>
      </c>
      <c r="B3232" s="16" t="s">
        <v>12326</v>
      </c>
      <c r="C3232" s="20" t="s">
        <v>12327</v>
      </c>
      <c r="D3232" s="21"/>
      <c r="E3232" s="22" t="s">
        <v>12328</v>
      </c>
      <c r="H3232" s="78"/>
      <c r="I3232" s="21"/>
      <c r="J3232" s="25"/>
      <c r="K3232" s="26" t="s">
        <v>44</v>
      </c>
      <c r="L3232" s="16"/>
      <c r="M3232" s="21"/>
    </row>
    <row r="3233">
      <c r="A3233" s="28">
        <v>46232.0</v>
      </c>
      <c r="B3233" s="16" t="s">
        <v>12329</v>
      </c>
      <c r="C3233" s="20" t="s">
        <v>12330</v>
      </c>
      <c r="D3233" s="21"/>
      <c r="E3233" s="22" t="s">
        <v>12331</v>
      </c>
      <c r="H3233" s="78"/>
      <c r="I3233" s="21"/>
      <c r="J3233" s="25"/>
      <c r="K3233" s="26" t="s">
        <v>44</v>
      </c>
      <c r="L3233" s="16"/>
      <c r="M3233" s="21"/>
    </row>
    <row r="3234">
      <c r="A3234" s="28">
        <v>46232.0</v>
      </c>
      <c r="B3234" s="16" t="s">
        <v>12332</v>
      </c>
      <c r="C3234" s="20" t="s">
        <v>12333</v>
      </c>
      <c r="D3234" s="21"/>
      <c r="E3234" s="22" t="s">
        <v>12334</v>
      </c>
      <c r="H3234" s="78"/>
      <c r="I3234" s="21"/>
      <c r="J3234" s="25"/>
      <c r="K3234" s="26" t="s">
        <v>44</v>
      </c>
      <c r="L3234" s="16"/>
      <c r="M3234" s="21"/>
    </row>
    <row r="3235">
      <c r="A3235" s="28">
        <v>46232.0</v>
      </c>
      <c r="B3235" s="16" t="s">
        <v>12335</v>
      </c>
      <c r="C3235" s="20" t="s">
        <v>12336</v>
      </c>
      <c r="D3235" s="21"/>
      <c r="E3235" s="41"/>
      <c r="H3235" s="78"/>
      <c r="I3235" s="21"/>
      <c r="J3235" s="25"/>
      <c r="K3235" s="26" t="s">
        <v>44</v>
      </c>
      <c r="L3235" s="16"/>
      <c r="M3235" s="21"/>
    </row>
    <row r="3236">
      <c r="A3236" s="28">
        <v>46232.0</v>
      </c>
      <c r="B3236" s="16" t="s">
        <v>12337</v>
      </c>
      <c r="C3236" s="20" t="s">
        <v>12338</v>
      </c>
      <c r="D3236" s="21"/>
      <c r="E3236" s="22" t="s">
        <v>12339</v>
      </c>
      <c r="H3236" s="78"/>
      <c r="I3236" s="21"/>
      <c r="J3236" s="25"/>
      <c r="K3236" s="26" t="s">
        <v>44</v>
      </c>
      <c r="L3236" s="16"/>
      <c r="M3236" s="21"/>
    </row>
    <row r="3237">
      <c r="A3237" s="28">
        <v>46232.0</v>
      </c>
      <c r="B3237" s="16" t="s">
        <v>12340</v>
      </c>
      <c r="C3237" s="20" t="s">
        <v>12341</v>
      </c>
      <c r="D3237" s="21"/>
      <c r="E3237" s="22" t="s">
        <v>12342</v>
      </c>
      <c r="H3237" s="78"/>
      <c r="I3237" s="21"/>
      <c r="J3237" s="25"/>
      <c r="K3237" s="26" t="s">
        <v>44</v>
      </c>
      <c r="L3237" s="16"/>
      <c r="M3237" s="21"/>
    </row>
    <row r="3238">
      <c r="A3238" s="28">
        <v>46232.0</v>
      </c>
      <c r="B3238" s="16" t="s">
        <v>12343</v>
      </c>
      <c r="C3238" s="20" t="s">
        <v>12344</v>
      </c>
      <c r="D3238" s="21"/>
      <c r="E3238" s="41"/>
      <c r="H3238" s="78"/>
      <c r="I3238" s="21"/>
      <c r="J3238" s="25"/>
      <c r="K3238" s="26" t="s">
        <v>44</v>
      </c>
      <c r="L3238" s="16"/>
      <c r="M3238" s="21"/>
    </row>
    <row r="3239">
      <c r="A3239" s="28">
        <v>46232.0</v>
      </c>
      <c r="B3239" s="16" t="s">
        <v>12345</v>
      </c>
      <c r="C3239" s="20" t="s">
        <v>12346</v>
      </c>
      <c r="D3239" s="21"/>
      <c r="E3239" s="22" t="s">
        <v>12347</v>
      </c>
      <c r="H3239" s="78"/>
      <c r="I3239" s="21"/>
      <c r="J3239" s="25"/>
      <c r="K3239" s="26" t="s">
        <v>44</v>
      </c>
      <c r="L3239" s="16"/>
      <c r="M3239" s="21"/>
    </row>
    <row r="3240">
      <c r="A3240" s="28">
        <v>46232.0</v>
      </c>
      <c r="B3240" s="16" t="s">
        <v>12348</v>
      </c>
      <c r="C3240" s="20" t="s">
        <v>12349</v>
      </c>
      <c r="D3240" s="21"/>
      <c r="E3240" s="22" t="s">
        <v>12350</v>
      </c>
      <c r="H3240" s="78"/>
      <c r="I3240" s="21"/>
      <c r="J3240" s="25"/>
      <c r="K3240" s="26" t="s">
        <v>44</v>
      </c>
      <c r="L3240" s="16"/>
      <c r="M3240" s="21"/>
    </row>
    <row r="3241">
      <c r="A3241" s="28">
        <v>46232.0</v>
      </c>
      <c r="B3241" s="16" t="s">
        <v>12351</v>
      </c>
      <c r="C3241" s="20" t="s">
        <v>12352</v>
      </c>
      <c r="D3241" s="21"/>
      <c r="E3241" s="22" t="s">
        <v>12353</v>
      </c>
      <c r="H3241" s="78"/>
      <c r="I3241" s="21"/>
      <c r="J3241" s="25"/>
      <c r="K3241" s="26" t="s">
        <v>44</v>
      </c>
      <c r="L3241" s="16"/>
      <c r="M3241" s="21"/>
    </row>
    <row r="3242">
      <c r="A3242" s="28">
        <v>46232.0</v>
      </c>
      <c r="B3242" s="16" t="s">
        <v>12354</v>
      </c>
      <c r="C3242" s="20" t="s">
        <v>12355</v>
      </c>
      <c r="D3242" s="21"/>
      <c r="E3242" s="22" t="s">
        <v>12356</v>
      </c>
      <c r="H3242" s="78"/>
      <c r="I3242" s="21"/>
      <c r="J3242" s="25"/>
      <c r="K3242" s="26" t="s">
        <v>44</v>
      </c>
      <c r="L3242" s="16"/>
      <c r="M3242" s="21"/>
    </row>
    <row r="3243">
      <c r="A3243" s="28">
        <v>46232.0</v>
      </c>
      <c r="B3243" s="16" t="s">
        <v>12357</v>
      </c>
      <c r="C3243" s="20" t="s">
        <v>12358</v>
      </c>
      <c r="D3243" s="21"/>
      <c r="E3243" s="22" t="s">
        <v>12359</v>
      </c>
      <c r="H3243" s="78"/>
      <c r="I3243" s="21"/>
      <c r="J3243" s="25"/>
      <c r="K3243" s="26" t="s">
        <v>44</v>
      </c>
      <c r="L3243" s="16"/>
      <c r="M3243" s="21"/>
    </row>
    <row r="3244">
      <c r="A3244" s="28">
        <v>46232.0</v>
      </c>
      <c r="B3244" s="16" t="s">
        <v>12360</v>
      </c>
      <c r="C3244" s="20" t="s">
        <v>12361</v>
      </c>
      <c r="D3244" s="21"/>
      <c r="E3244" s="22" t="s">
        <v>12362</v>
      </c>
      <c r="H3244" s="78"/>
      <c r="I3244" s="21"/>
      <c r="J3244" s="25"/>
      <c r="K3244" s="26" t="s">
        <v>44</v>
      </c>
      <c r="L3244" s="16"/>
      <c r="M3244" s="21"/>
    </row>
    <row r="3245">
      <c r="A3245" s="28">
        <v>46232.0</v>
      </c>
      <c r="B3245" s="16" t="s">
        <v>12363</v>
      </c>
      <c r="C3245" s="20" t="s">
        <v>12364</v>
      </c>
      <c r="D3245" s="21"/>
      <c r="E3245" s="22" t="s">
        <v>12365</v>
      </c>
      <c r="H3245" s="78"/>
      <c r="I3245" s="21"/>
      <c r="J3245" s="25"/>
      <c r="K3245" s="26" t="s">
        <v>44</v>
      </c>
      <c r="L3245" s="16"/>
      <c r="M3245" s="21"/>
    </row>
    <row r="3246">
      <c r="A3246" s="28">
        <v>46232.0</v>
      </c>
      <c r="B3246" s="16" t="s">
        <v>12366</v>
      </c>
      <c r="C3246" s="20" t="s">
        <v>12367</v>
      </c>
      <c r="D3246" s="21"/>
      <c r="E3246" s="22" t="s">
        <v>12368</v>
      </c>
      <c r="H3246" s="78"/>
      <c r="I3246" s="21"/>
      <c r="J3246" s="25"/>
      <c r="K3246" s="26" t="s">
        <v>44</v>
      </c>
      <c r="L3246" s="16"/>
      <c r="M3246" s="21"/>
    </row>
    <row r="3247">
      <c r="A3247" s="28">
        <v>46232.0</v>
      </c>
      <c r="B3247" s="16" t="s">
        <v>12369</v>
      </c>
      <c r="C3247" s="20" t="s">
        <v>12370</v>
      </c>
      <c r="D3247" s="21"/>
      <c r="E3247" s="22" t="s">
        <v>12371</v>
      </c>
      <c r="H3247" s="78"/>
      <c r="I3247" s="21"/>
      <c r="J3247" s="25"/>
      <c r="K3247" s="26" t="s">
        <v>44</v>
      </c>
      <c r="L3247" s="16"/>
      <c r="M3247" s="21"/>
    </row>
    <row r="3248">
      <c r="A3248" s="28">
        <v>46232.0</v>
      </c>
      <c r="B3248" s="16" t="s">
        <v>12372</v>
      </c>
      <c r="C3248" s="20" t="s">
        <v>12373</v>
      </c>
      <c r="D3248" s="21"/>
      <c r="E3248" s="22" t="s">
        <v>12374</v>
      </c>
      <c r="H3248" s="78"/>
      <c r="I3248" s="21"/>
      <c r="J3248" s="25"/>
      <c r="K3248" s="26" t="s">
        <v>44</v>
      </c>
      <c r="L3248" s="16"/>
      <c r="M3248" s="21"/>
    </row>
    <row r="3249">
      <c r="A3249" s="28">
        <v>46232.0</v>
      </c>
      <c r="B3249" s="16" t="s">
        <v>12375</v>
      </c>
      <c r="C3249" s="20" t="s">
        <v>12376</v>
      </c>
      <c r="D3249" s="21"/>
      <c r="E3249" s="41"/>
      <c r="H3249" s="78"/>
      <c r="I3249" s="21"/>
      <c r="J3249" s="25"/>
      <c r="K3249" s="26" t="s">
        <v>44</v>
      </c>
      <c r="L3249" s="16"/>
      <c r="M3249" s="21"/>
    </row>
    <row r="3250">
      <c r="A3250" s="28">
        <v>46232.0</v>
      </c>
      <c r="B3250" s="16" t="s">
        <v>12377</v>
      </c>
      <c r="C3250" s="20" t="s">
        <v>12378</v>
      </c>
      <c r="D3250" s="21"/>
      <c r="E3250" s="41"/>
      <c r="H3250" s="78"/>
      <c r="I3250" s="21"/>
      <c r="J3250" s="25"/>
      <c r="K3250" s="26" t="s">
        <v>44</v>
      </c>
      <c r="L3250" s="16"/>
      <c r="M3250" s="21"/>
    </row>
    <row r="3251">
      <c r="A3251" s="28">
        <v>46232.0</v>
      </c>
      <c r="B3251" s="16" t="s">
        <v>12379</v>
      </c>
      <c r="C3251" s="20" t="s">
        <v>12380</v>
      </c>
      <c r="D3251" s="21"/>
      <c r="E3251" s="41"/>
      <c r="H3251" s="78"/>
      <c r="I3251" s="21"/>
      <c r="J3251" s="25"/>
      <c r="K3251" s="26" t="s">
        <v>44</v>
      </c>
      <c r="L3251" s="16"/>
      <c r="M3251" s="21"/>
    </row>
    <row r="3252">
      <c r="A3252" s="28">
        <v>46232.0</v>
      </c>
      <c r="B3252" s="16" t="s">
        <v>12381</v>
      </c>
      <c r="C3252" s="20" t="s">
        <v>12382</v>
      </c>
      <c r="D3252" s="21"/>
      <c r="E3252" s="22" t="s">
        <v>12383</v>
      </c>
      <c r="H3252" s="78"/>
      <c r="I3252" s="21"/>
      <c r="J3252" s="25"/>
      <c r="K3252" s="26" t="s">
        <v>44</v>
      </c>
      <c r="L3252" s="16"/>
      <c r="M3252" s="21"/>
    </row>
    <row r="3253">
      <c r="A3253" s="28">
        <v>46232.0</v>
      </c>
      <c r="B3253" s="16" t="s">
        <v>12384</v>
      </c>
      <c r="C3253" s="20" t="s">
        <v>12385</v>
      </c>
      <c r="D3253" s="21"/>
      <c r="E3253" s="22" t="s">
        <v>12386</v>
      </c>
      <c r="H3253" s="78"/>
      <c r="I3253" s="21"/>
      <c r="J3253" s="25"/>
      <c r="K3253" s="26" t="s">
        <v>44</v>
      </c>
      <c r="L3253" s="16"/>
      <c r="M3253" s="21"/>
    </row>
    <row r="3254">
      <c r="A3254" s="28">
        <v>46232.0</v>
      </c>
      <c r="B3254" s="16" t="s">
        <v>12387</v>
      </c>
      <c r="C3254" s="20" t="s">
        <v>12388</v>
      </c>
      <c r="D3254" s="21"/>
      <c r="E3254" s="22" t="s">
        <v>12389</v>
      </c>
      <c r="H3254" s="78"/>
      <c r="I3254" s="21"/>
      <c r="J3254" s="25"/>
      <c r="K3254" s="26" t="s">
        <v>44</v>
      </c>
      <c r="L3254" s="16"/>
      <c r="M3254" s="21"/>
    </row>
    <row r="3255">
      <c r="A3255" s="28">
        <v>46232.0</v>
      </c>
      <c r="B3255" s="16" t="s">
        <v>12390</v>
      </c>
      <c r="C3255" s="20" t="s">
        <v>12391</v>
      </c>
      <c r="D3255" s="21"/>
      <c r="E3255" s="22" t="s">
        <v>12392</v>
      </c>
      <c r="H3255" s="78"/>
      <c r="I3255" s="21"/>
      <c r="J3255" s="25"/>
      <c r="K3255" s="26" t="s">
        <v>44</v>
      </c>
      <c r="L3255" s="16"/>
      <c r="M3255" s="21"/>
    </row>
    <row r="3256">
      <c r="A3256" s="28">
        <v>46232.0</v>
      </c>
      <c r="B3256" s="16" t="s">
        <v>12393</v>
      </c>
      <c r="C3256" s="20" t="s">
        <v>12394</v>
      </c>
      <c r="D3256" s="21"/>
      <c r="E3256" s="22" t="s">
        <v>12395</v>
      </c>
      <c r="H3256" s="78"/>
      <c r="I3256" s="21"/>
      <c r="J3256" s="25"/>
      <c r="K3256" s="26" t="s">
        <v>44</v>
      </c>
      <c r="L3256" s="16"/>
      <c r="M3256" s="21"/>
    </row>
    <row r="3257">
      <c r="A3257" s="28">
        <v>46232.0</v>
      </c>
      <c r="B3257" s="16" t="s">
        <v>12396</v>
      </c>
      <c r="C3257" s="20" t="s">
        <v>12397</v>
      </c>
      <c r="D3257" s="21"/>
      <c r="E3257" s="22" t="s">
        <v>12398</v>
      </c>
      <c r="H3257" s="78"/>
      <c r="I3257" s="21"/>
      <c r="J3257" s="25"/>
      <c r="K3257" s="26" t="s">
        <v>44</v>
      </c>
      <c r="L3257" s="16"/>
      <c r="M3257" s="21"/>
    </row>
    <row r="3258">
      <c r="A3258" s="28">
        <v>46232.0</v>
      </c>
      <c r="B3258" s="16" t="s">
        <v>12399</v>
      </c>
      <c r="C3258" s="20" t="s">
        <v>12400</v>
      </c>
      <c r="D3258" s="21"/>
      <c r="E3258" s="41"/>
      <c r="H3258" s="78"/>
      <c r="I3258" s="21"/>
      <c r="J3258" s="25"/>
      <c r="K3258" s="26" t="s">
        <v>44</v>
      </c>
      <c r="L3258" s="16"/>
      <c r="M3258" s="21"/>
    </row>
    <row r="3259">
      <c r="A3259" s="28">
        <v>46232.0</v>
      </c>
      <c r="B3259" s="16" t="s">
        <v>12401</v>
      </c>
      <c r="C3259" s="20" t="s">
        <v>12402</v>
      </c>
      <c r="D3259" s="21"/>
      <c r="E3259" s="22" t="s">
        <v>12403</v>
      </c>
      <c r="H3259" s="78"/>
      <c r="I3259" s="21"/>
      <c r="J3259" s="25"/>
      <c r="K3259" s="26" t="s">
        <v>44</v>
      </c>
      <c r="L3259" s="16"/>
      <c r="M3259" s="21"/>
    </row>
    <row r="3260">
      <c r="A3260" s="28">
        <v>46232.0</v>
      </c>
      <c r="B3260" s="16" t="s">
        <v>12404</v>
      </c>
      <c r="C3260" s="20" t="s">
        <v>12405</v>
      </c>
      <c r="D3260" s="21"/>
      <c r="E3260" s="22" t="s">
        <v>12406</v>
      </c>
      <c r="H3260" s="78"/>
      <c r="I3260" s="21"/>
      <c r="J3260" s="25"/>
      <c r="K3260" s="26" t="s">
        <v>44</v>
      </c>
      <c r="L3260" s="16"/>
      <c r="M3260" s="21"/>
    </row>
    <row r="3261">
      <c r="A3261" s="28">
        <v>46232.0</v>
      </c>
      <c r="B3261" s="16" t="s">
        <v>12407</v>
      </c>
      <c r="C3261" s="20" t="s">
        <v>12408</v>
      </c>
      <c r="D3261" s="21"/>
      <c r="E3261" s="22" t="s">
        <v>12409</v>
      </c>
      <c r="H3261" s="78"/>
      <c r="I3261" s="21"/>
      <c r="J3261" s="25"/>
      <c r="K3261" s="26" t="s">
        <v>44</v>
      </c>
      <c r="L3261" s="16"/>
      <c r="M3261" s="21"/>
    </row>
    <row r="3262">
      <c r="A3262" s="28">
        <v>46232.0</v>
      </c>
      <c r="B3262" s="16" t="s">
        <v>12410</v>
      </c>
      <c r="C3262" s="20" t="s">
        <v>12411</v>
      </c>
      <c r="D3262" s="21"/>
      <c r="E3262" s="22" t="s">
        <v>12412</v>
      </c>
      <c r="H3262" s="78"/>
      <c r="I3262" s="21"/>
      <c r="J3262" s="25"/>
      <c r="K3262" s="26" t="s">
        <v>44</v>
      </c>
      <c r="L3262" s="16"/>
      <c r="M3262" s="21"/>
    </row>
    <row r="3263">
      <c r="A3263" s="28">
        <v>46232.0</v>
      </c>
      <c r="B3263" s="16" t="s">
        <v>12413</v>
      </c>
      <c r="C3263" s="20" t="s">
        <v>12414</v>
      </c>
      <c r="D3263" s="21"/>
      <c r="E3263" s="22" t="s">
        <v>12415</v>
      </c>
      <c r="H3263" s="78"/>
      <c r="I3263" s="21"/>
      <c r="J3263" s="25"/>
      <c r="K3263" s="26" t="s">
        <v>44</v>
      </c>
      <c r="L3263" s="16"/>
      <c r="M3263" s="21"/>
    </row>
    <row r="3264">
      <c r="A3264" s="28">
        <v>46232.0</v>
      </c>
      <c r="B3264" s="16" t="s">
        <v>12416</v>
      </c>
      <c r="C3264" s="46" t="s">
        <v>12417</v>
      </c>
      <c r="D3264" s="21"/>
      <c r="E3264" s="22" t="s">
        <v>12418</v>
      </c>
      <c r="H3264" s="78"/>
      <c r="I3264" s="21"/>
      <c r="J3264" s="25"/>
      <c r="K3264" s="26" t="s">
        <v>44</v>
      </c>
      <c r="L3264" s="16"/>
      <c r="M3264" s="21"/>
    </row>
    <row r="3265">
      <c r="A3265" s="28">
        <v>46232.0</v>
      </c>
      <c r="B3265" s="16" t="s">
        <v>12419</v>
      </c>
      <c r="C3265" s="20" t="s">
        <v>12420</v>
      </c>
      <c r="D3265" s="21"/>
      <c r="E3265" s="22" t="s">
        <v>12421</v>
      </c>
      <c r="H3265" s="78"/>
      <c r="I3265" s="21"/>
      <c r="J3265" s="25"/>
      <c r="K3265" s="26" t="s">
        <v>44</v>
      </c>
      <c r="L3265" s="16"/>
      <c r="M3265" s="21"/>
    </row>
    <row r="3266">
      <c r="A3266" s="28">
        <v>46232.0</v>
      </c>
      <c r="B3266" s="16" t="s">
        <v>12422</v>
      </c>
      <c r="C3266" s="20" t="s">
        <v>12423</v>
      </c>
      <c r="D3266" s="21"/>
      <c r="E3266" s="22" t="s">
        <v>12424</v>
      </c>
      <c r="H3266" s="78"/>
      <c r="I3266" s="21"/>
      <c r="J3266" s="25"/>
      <c r="K3266" s="26" t="s">
        <v>44</v>
      </c>
      <c r="L3266" s="16"/>
      <c r="M3266" s="21"/>
    </row>
    <row r="3267">
      <c r="A3267" s="28">
        <v>46232.0</v>
      </c>
      <c r="B3267" s="16" t="s">
        <v>12425</v>
      </c>
      <c r="C3267" s="20" t="s">
        <v>12426</v>
      </c>
      <c r="D3267" s="21"/>
      <c r="E3267" s="22" t="s">
        <v>12427</v>
      </c>
      <c r="H3267" s="78"/>
      <c r="I3267" s="21"/>
      <c r="J3267" s="25"/>
      <c r="K3267" s="26" t="s">
        <v>44</v>
      </c>
      <c r="L3267" s="16"/>
      <c r="M3267" s="21"/>
    </row>
    <row r="3268">
      <c r="A3268" s="28">
        <v>46232.0</v>
      </c>
      <c r="B3268" s="16" t="s">
        <v>12428</v>
      </c>
      <c r="C3268" s="20" t="s">
        <v>12429</v>
      </c>
      <c r="D3268" s="21"/>
      <c r="E3268" s="41"/>
      <c r="H3268" s="78"/>
      <c r="I3268" s="21"/>
      <c r="J3268" s="25"/>
      <c r="K3268" s="26" t="s">
        <v>44</v>
      </c>
      <c r="L3268" s="16"/>
      <c r="M3268" s="21"/>
    </row>
    <row r="3269">
      <c r="A3269" s="28">
        <v>46232.0</v>
      </c>
      <c r="B3269" s="16" t="s">
        <v>12430</v>
      </c>
      <c r="C3269" s="20" t="s">
        <v>12431</v>
      </c>
      <c r="D3269" s="21"/>
      <c r="E3269" s="22" t="s">
        <v>12432</v>
      </c>
      <c r="H3269" s="78"/>
      <c r="I3269" s="21"/>
      <c r="J3269" s="25"/>
      <c r="K3269" s="26" t="s">
        <v>44</v>
      </c>
      <c r="L3269" s="16"/>
      <c r="M3269" s="21"/>
    </row>
    <row r="3270">
      <c r="A3270" s="28">
        <v>46232.0</v>
      </c>
      <c r="B3270" s="16" t="s">
        <v>12433</v>
      </c>
      <c r="C3270" s="20" t="s">
        <v>12434</v>
      </c>
      <c r="D3270" s="21"/>
      <c r="E3270" s="22" t="s">
        <v>12435</v>
      </c>
      <c r="H3270" s="78"/>
      <c r="I3270" s="21"/>
      <c r="J3270" s="25"/>
      <c r="K3270" s="26" t="s">
        <v>44</v>
      </c>
      <c r="L3270" s="16"/>
      <c r="M3270" s="21"/>
    </row>
    <row r="3271">
      <c r="A3271" s="28">
        <v>46232.0</v>
      </c>
      <c r="B3271" s="16" t="s">
        <v>12436</v>
      </c>
      <c r="C3271" s="20" t="s">
        <v>12437</v>
      </c>
      <c r="D3271" s="21"/>
      <c r="E3271" s="22" t="s">
        <v>12438</v>
      </c>
      <c r="H3271" s="78"/>
      <c r="I3271" s="21"/>
      <c r="J3271" s="25"/>
      <c r="K3271" s="26" t="s">
        <v>44</v>
      </c>
      <c r="L3271" s="16"/>
      <c r="M3271" s="21"/>
    </row>
    <row r="3272">
      <c r="A3272" s="28">
        <v>46232.0</v>
      </c>
      <c r="B3272" s="16" t="s">
        <v>12439</v>
      </c>
      <c r="C3272" s="20" t="s">
        <v>12440</v>
      </c>
      <c r="D3272" s="21"/>
      <c r="E3272" s="22" t="s">
        <v>12441</v>
      </c>
      <c r="H3272" s="78"/>
      <c r="I3272" s="21"/>
      <c r="J3272" s="25"/>
      <c r="K3272" s="26" t="s">
        <v>44</v>
      </c>
      <c r="L3272" s="16"/>
      <c r="M3272" s="21"/>
    </row>
    <row r="3273">
      <c r="A3273" s="28">
        <v>46232.0</v>
      </c>
      <c r="B3273" s="16" t="s">
        <v>12442</v>
      </c>
      <c r="C3273" s="20" t="s">
        <v>12443</v>
      </c>
      <c r="D3273" s="21"/>
      <c r="E3273" s="22" t="s">
        <v>12444</v>
      </c>
      <c r="H3273" s="78"/>
      <c r="I3273" s="21"/>
      <c r="J3273" s="25"/>
      <c r="K3273" s="26" t="s">
        <v>44</v>
      </c>
      <c r="L3273" s="16"/>
      <c r="M3273" s="21"/>
    </row>
    <row r="3274">
      <c r="A3274" s="28">
        <v>46232.0</v>
      </c>
      <c r="B3274" s="16" t="s">
        <v>12445</v>
      </c>
      <c r="C3274" s="20" t="s">
        <v>12446</v>
      </c>
      <c r="D3274" s="21"/>
      <c r="E3274" s="22" t="s">
        <v>12447</v>
      </c>
      <c r="H3274" s="78"/>
      <c r="I3274" s="21"/>
      <c r="J3274" s="25"/>
      <c r="K3274" s="26" t="s">
        <v>44</v>
      </c>
      <c r="L3274" s="16"/>
      <c r="M3274" s="21"/>
    </row>
    <row r="3275">
      <c r="A3275" s="28">
        <v>46232.0</v>
      </c>
      <c r="B3275" s="16" t="s">
        <v>12448</v>
      </c>
      <c r="C3275" s="20" t="s">
        <v>12449</v>
      </c>
      <c r="D3275" s="21"/>
      <c r="E3275" s="41"/>
      <c r="H3275" s="78"/>
      <c r="I3275" s="21"/>
      <c r="J3275" s="25"/>
      <c r="K3275" s="26" t="s">
        <v>44</v>
      </c>
      <c r="L3275" s="16"/>
      <c r="M3275" s="21"/>
    </row>
    <row r="3276">
      <c r="A3276" s="28">
        <v>46232.0</v>
      </c>
      <c r="B3276" s="16" t="s">
        <v>12450</v>
      </c>
      <c r="C3276" s="20" t="s">
        <v>12451</v>
      </c>
      <c r="D3276" s="21"/>
      <c r="E3276" s="41"/>
      <c r="H3276" s="78"/>
      <c r="I3276" s="21"/>
      <c r="J3276" s="25"/>
      <c r="K3276" s="26" t="s">
        <v>44</v>
      </c>
      <c r="L3276" s="16"/>
      <c r="M3276" s="21"/>
    </row>
    <row r="3277">
      <c r="A3277" s="28">
        <v>46232.0</v>
      </c>
      <c r="B3277" s="16" t="s">
        <v>12452</v>
      </c>
      <c r="C3277" s="20" t="s">
        <v>12453</v>
      </c>
      <c r="D3277" s="21"/>
      <c r="E3277" s="22" t="s">
        <v>12454</v>
      </c>
      <c r="H3277" s="78"/>
      <c r="I3277" s="21"/>
      <c r="J3277" s="25"/>
      <c r="K3277" s="26" t="s">
        <v>44</v>
      </c>
      <c r="L3277" s="16"/>
      <c r="M3277" s="21"/>
    </row>
    <row r="3278">
      <c r="A3278" s="28">
        <v>46232.0</v>
      </c>
      <c r="B3278" s="16" t="s">
        <v>12455</v>
      </c>
      <c r="C3278" s="20" t="s">
        <v>12456</v>
      </c>
      <c r="D3278" s="21"/>
      <c r="E3278" s="22" t="s">
        <v>12457</v>
      </c>
      <c r="H3278" s="78"/>
      <c r="I3278" s="21"/>
      <c r="J3278" s="25"/>
      <c r="K3278" s="26" t="s">
        <v>44</v>
      </c>
      <c r="L3278" s="16"/>
      <c r="M3278" s="21"/>
    </row>
    <row r="3279">
      <c r="A3279" s="28">
        <v>46232.0</v>
      </c>
      <c r="B3279" s="16" t="s">
        <v>12458</v>
      </c>
      <c r="C3279" s="20" t="s">
        <v>12459</v>
      </c>
      <c r="D3279" s="21"/>
      <c r="E3279" s="41"/>
      <c r="H3279" s="78"/>
      <c r="I3279" s="21"/>
      <c r="J3279" s="25"/>
      <c r="K3279" s="26" t="s">
        <v>44</v>
      </c>
      <c r="L3279" s="16"/>
      <c r="M3279" s="21"/>
    </row>
    <row r="3280">
      <c r="A3280" s="28">
        <v>46232.0</v>
      </c>
      <c r="B3280" s="16" t="s">
        <v>12460</v>
      </c>
      <c r="C3280" s="20" t="s">
        <v>12461</v>
      </c>
      <c r="D3280" s="21"/>
      <c r="E3280" s="22" t="s">
        <v>12462</v>
      </c>
      <c r="H3280" s="78"/>
      <c r="I3280" s="21"/>
      <c r="J3280" s="25"/>
      <c r="K3280" s="26" t="s">
        <v>44</v>
      </c>
      <c r="L3280" s="16"/>
      <c r="M3280" s="21"/>
    </row>
    <row r="3281">
      <c r="A3281" s="28">
        <v>46232.0</v>
      </c>
      <c r="B3281" s="16" t="s">
        <v>12463</v>
      </c>
      <c r="C3281" s="20" t="s">
        <v>12464</v>
      </c>
      <c r="D3281" s="21"/>
      <c r="E3281" s="22" t="s">
        <v>12465</v>
      </c>
      <c r="H3281" s="78"/>
      <c r="I3281" s="21"/>
      <c r="J3281" s="25"/>
      <c r="K3281" s="26" t="s">
        <v>44</v>
      </c>
      <c r="L3281" s="16"/>
      <c r="M3281" s="21"/>
    </row>
    <row r="3282">
      <c r="A3282" s="28">
        <v>46232.0</v>
      </c>
      <c r="B3282" s="16" t="s">
        <v>12466</v>
      </c>
      <c r="C3282" s="20" t="s">
        <v>12467</v>
      </c>
      <c r="D3282" s="21"/>
      <c r="E3282" s="22" t="s">
        <v>12468</v>
      </c>
      <c r="H3282" s="78"/>
      <c r="I3282" s="21"/>
      <c r="J3282" s="25"/>
      <c r="K3282" s="26" t="s">
        <v>44</v>
      </c>
      <c r="L3282" s="16"/>
      <c r="M3282" s="21"/>
    </row>
    <row r="3283">
      <c r="A3283" s="28">
        <v>46232.0</v>
      </c>
      <c r="B3283" s="16" t="s">
        <v>12469</v>
      </c>
      <c r="C3283" s="20" t="s">
        <v>12470</v>
      </c>
      <c r="D3283" s="21"/>
      <c r="E3283" s="22" t="s">
        <v>12471</v>
      </c>
      <c r="H3283" s="78"/>
      <c r="I3283" s="21"/>
      <c r="J3283" s="25"/>
      <c r="K3283" s="26" t="s">
        <v>44</v>
      </c>
      <c r="L3283" s="16"/>
      <c r="M3283" s="21"/>
    </row>
    <row r="3284">
      <c r="A3284" s="28">
        <v>46232.0</v>
      </c>
      <c r="B3284" s="16" t="s">
        <v>12472</v>
      </c>
      <c r="C3284" s="20" t="s">
        <v>12473</v>
      </c>
      <c r="D3284" s="21"/>
      <c r="E3284" s="22" t="s">
        <v>12474</v>
      </c>
      <c r="H3284" s="78"/>
      <c r="I3284" s="21"/>
      <c r="J3284" s="25"/>
      <c r="K3284" s="26" t="s">
        <v>44</v>
      </c>
      <c r="L3284" s="16"/>
      <c r="M3284" s="21"/>
    </row>
    <row r="3285">
      <c r="A3285" s="28">
        <v>46232.0</v>
      </c>
      <c r="B3285" s="16" t="s">
        <v>12475</v>
      </c>
      <c r="C3285" s="20" t="s">
        <v>12476</v>
      </c>
      <c r="D3285" s="21"/>
      <c r="E3285" s="22" t="s">
        <v>12477</v>
      </c>
      <c r="H3285" s="78"/>
      <c r="I3285" s="21"/>
      <c r="J3285" s="25"/>
      <c r="K3285" s="26" t="s">
        <v>44</v>
      </c>
      <c r="L3285" s="16"/>
      <c r="M3285" s="21"/>
    </row>
    <row r="3286">
      <c r="A3286" s="28">
        <v>46232.0</v>
      </c>
      <c r="B3286" s="16" t="s">
        <v>12478</v>
      </c>
      <c r="C3286" s="46" t="s">
        <v>12479</v>
      </c>
      <c r="D3286" s="21"/>
      <c r="E3286" s="41"/>
      <c r="H3286" s="78"/>
      <c r="I3286" s="21"/>
      <c r="J3286" s="25"/>
      <c r="K3286" s="26" t="s">
        <v>44</v>
      </c>
      <c r="L3286" s="16"/>
      <c r="M3286" s="21"/>
    </row>
    <row r="3287">
      <c r="A3287" s="28">
        <v>46232.0</v>
      </c>
      <c r="B3287" s="16" t="s">
        <v>12480</v>
      </c>
      <c r="C3287" s="20" t="s">
        <v>12481</v>
      </c>
      <c r="D3287" s="21"/>
      <c r="E3287" s="22" t="s">
        <v>12482</v>
      </c>
      <c r="H3287" s="78"/>
      <c r="I3287" s="21"/>
      <c r="J3287" s="25"/>
      <c r="K3287" s="26" t="s">
        <v>44</v>
      </c>
      <c r="L3287" s="16"/>
      <c r="M3287" s="21"/>
    </row>
    <row r="3288">
      <c r="A3288" s="28">
        <v>46232.0</v>
      </c>
      <c r="B3288" s="16" t="s">
        <v>12483</v>
      </c>
      <c r="C3288" s="20" t="s">
        <v>12484</v>
      </c>
      <c r="D3288" s="21"/>
      <c r="E3288" s="22" t="s">
        <v>12485</v>
      </c>
      <c r="H3288" s="78"/>
      <c r="I3288" s="21"/>
      <c r="J3288" s="25"/>
      <c r="K3288" s="26" t="s">
        <v>44</v>
      </c>
      <c r="L3288" s="16"/>
      <c r="M3288" s="21"/>
    </row>
    <row r="3289">
      <c r="A3289" s="28">
        <v>46232.0</v>
      </c>
      <c r="B3289" s="16" t="s">
        <v>12486</v>
      </c>
      <c r="C3289" s="20" t="s">
        <v>12487</v>
      </c>
      <c r="D3289" s="21"/>
      <c r="E3289" s="22" t="s">
        <v>12488</v>
      </c>
      <c r="H3289" s="78"/>
      <c r="I3289" s="21"/>
      <c r="J3289" s="25"/>
      <c r="K3289" s="26" t="s">
        <v>44</v>
      </c>
      <c r="L3289" s="16"/>
      <c r="M3289" s="21"/>
    </row>
    <row r="3290">
      <c r="A3290" s="28">
        <v>46232.0</v>
      </c>
      <c r="B3290" s="16" t="s">
        <v>12489</v>
      </c>
      <c r="C3290" s="20" t="s">
        <v>12490</v>
      </c>
      <c r="D3290" s="21"/>
      <c r="E3290" s="41"/>
      <c r="H3290" s="78"/>
      <c r="I3290" s="21"/>
      <c r="J3290" s="25"/>
      <c r="K3290" s="26" t="s">
        <v>44</v>
      </c>
      <c r="L3290" s="16"/>
      <c r="M3290" s="21"/>
    </row>
    <row r="3291">
      <c r="A3291" s="28">
        <v>46232.0</v>
      </c>
      <c r="B3291" s="16" t="s">
        <v>12491</v>
      </c>
      <c r="C3291" s="46" t="s">
        <v>12492</v>
      </c>
      <c r="D3291" s="21"/>
      <c r="E3291" s="22" t="s">
        <v>12493</v>
      </c>
      <c r="H3291" s="78"/>
      <c r="I3291" s="21"/>
      <c r="J3291" s="25"/>
      <c r="K3291" s="26" t="s">
        <v>44</v>
      </c>
      <c r="L3291" s="16"/>
      <c r="M3291" s="21"/>
    </row>
    <row r="3292">
      <c r="A3292" s="28">
        <v>46232.0</v>
      </c>
      <c r="B3292" s="16" t="s">
        <v>12494</v>
      </c>
      <c r="C3292" s="20" t="s">
        <v>12495</v>
      </c>
      <c r="D3292" s="21"/>
      <c r="E3292" s="22" t="s">
        <v>12496</v>
      </c>
      <c r="H3292" s="78"/>
      <c r="I3292" s="21"/>
      <c r="J3292" s="25"/>
      <c r="K3292" s="26" t="s">
        <v>44</v>
      </c>
      <c r="L3292" s="16"/>
      <c r="M3292" s="21"/>
    </row>
    <row r="3293">
      <c r="A3293" s="28">
        <v>46232.0</v>
      </c>
      <c r="B3293" s="16" t="s">
        <v>12497</v>
      </c>
      <c r="C3293" s="20" t="s">
        <v>12498</v>
      </c>
      <c r="D3293" s="21"/>
      <c r="E3293" s="41"/>
      <c r="H3293" s="78"/>
      <c r="I3293" s="21"/>
      <c r="J3293" s="25"/>
      <c r="K3293" s="26" t="s">
        <v>44</v>
      </c>
      <c r="L3293" s="16"/>
      <c r="M3293" s="21"/>
    </row>
    <row r="3294">
      <c r="A3294" s="28">
        <v>46232.0</v>
      </c>
      <c r="B3294" s="16" t="s">
        <v>12499</v>
      </c>
      <c r="C3294" s="20" t="s">
        <v>12500</v>
      </c>
      <c r="D3294" s="21"/>
      <c r="E3294" s="22" t="s">
        <v>12501</v>
      </c>
      <c r="H3294" s="78"/>
      <c r="I3294" s="21"/>
      <c r="J3294" s="25"/>
      <c r="K3294" s="26" t="s">
        <v>44</v>
      </c>
      <c r="L3294" s="16"/>
      <c r="M3294" s="21"/>
    </row>
    <row r="3295">
      <c r="A3295" s="28">
        <v>46232.0</v>
      </c>
      <c r="B3295" s="16" t="s">
        <v>12502</v>
      </c>
      <c r="C3295" s="20" t="s">
        <v>12503</v>
      </c>
      <c r="D3295" s="21"/>
      <c r="E3295" s="22" t="s">
        <v>12504</v>
      </c>
      <c r="H3295" s="78"/>
      <c r="I3295" s="21"/>
      <c r="J3295" s="25"/>
      <c r="K3295" s="26" t="s">
        <v>44</v>
      </c>
      <c r="L3295" s="16"/>
      <c r="M3295" s="21"/>
    </row>
    <row r="3296">
      <c r="A3296" s="28">
        <v>46232.0</v>
      </c>
      <c r="B3296" s="16" t="s">
        <v>12505</v>
      </c>
      <c r="C3296" s="20" t="s">
        <v>12506</v>
      </c>
      <c r="D3296" s="21"/>
      <c r="E3296" s="22" t="s">
        <v>12507</v>
      </c>
      <c r="H3296" s="78"/>
      <c r="I3296" s="21"/>
      <c r="J3296" s="25"/>
      <c r="K3296" s="26" t="s">
        <v>44</v>
      </c>
      <c r="L3296" s="16"/>
      <c r="M3296" s="21"/>
    </row>
    <row r="3297">
      <c r="A3297" s="28">
        <v>46232.0</v>
      </c>
      <c r="B3297" s="16" t="s">
        <v>12508</v>
      </c>
      <c r="C3297" s="20" t="s">
        <v>12509</v>
      </c>
      <c r="D3297" s="21"/>
      <c r="E3297" s="22" t="s">
        <v>12510</v>
      </c>
      <c r="H3297" s="78"/>
      <c r="I3297" s="21"/>
      <c r="J3297" s="25"/>
      <c r="K3297" s="26" t="s">
        <v>44</v>
      </c>
      <c r="L3297" s="16"/>
      <c r="M3297" s="21"/>
    </row>
    <row r="3298">
      <c r="A3298" s="28">
        <v>46232.0</v>
      </c>
      <c r="B3298" s="16" t="s">
        <v>12511</v>
      </c>
      <c r="C3298" s="20" t="s">
        <v>12512</v>
      </c>
      <c r="D3298" s="21"/>
      <c r="E3298" s="22" t="s">
        <v>12513</v>
      </c>
      <c r="H3298" s="78"/>
      <c r="I3298" s="21"/>
      <c r="J3298" s="25"/>
      <c r="K3298" s="26" t="s">
        <v>44</v>
      </c>
      <c r="L3298" s="16"/>
      <c r="M3298" s="21"/>
    </row>
    <row r="3299">
      <c r="A3299" s="28">
        <v>46232.0</v>
      </c>
      <c r="B3299" s="16" t="s">
        <v>12514</v>
      </c>
      <c r="C3299" s="20" t="s">
        <v>12515</v>
      </c>
      <c r="D3299" s="21"/>
      <c r="E3299" s="22" t="s">
        <v>12516</v>
      </c>
      <c r="H3299" s="78"/>
      <c r="I3299" s="21"/>
      <c r="J3299" s="25"/>
      <c r="K3299" s="26" t="s">
        <v>44</v>
      </c>
      <c r="L3299" s="16"/>
      <c r="M3299" s="21"/>
    </row>
    <row r="3300">
      <c r="A3300" s="28">
        <v>46232.0</v>
      </c>
      <c r="B3300" s="16" t="s">
        <v>12517</v>
      </c>
      <c r="C3300" s="20" t="s">
        <v>12518</v>
      </c>
      <c r="D3300" s="21"/>
      <c r="E3300" s="22" t="s">
        <v>12519</v>
      </c>
      <c r="H3300" s="78"/>
      <c r="I3300" s="21"/>
      <c r="J3300" s="25"/>
      <c r="K3300" s="26" t="s">
        <v>44</v>
      </c>
      <c r="L3300" s="16"/>
      <c r="M3300" s="21"/>
    </row>
    <row r="3301">
      <c r="A3301" s="28">
        <v>46232.0</v>
      </c>
      <c r="B3301" s="16" t="s">
        <v>12520</v>
      </c>
      <c r="C3301" s="20" t="s">
        <v>12521</v>
      </c>
      <c r="D3301" s="21"/>
      <c r="E3301" s="22" t="s">
        <v>12522</v>
      </c>
      <c r="H3301" s="78"/>
      <c r="I3301" s="21"/>
      <c r="J3301" s="25"/>
      <c r="K3301" s="26" t="s">
        <v>44</v>
      </c>
      <c r="L3301" s="16"/>
      <c r="M3301" s="21"/>
    </row>
    <row r="3302">
      <c r="A3302" s="28">
        <v>46232.0</v>
      </c>
      <c r="B3302" s="16" t="s">
        <v>12523</v>
      </c>
      <c r="C3302" s="20" t="s">
        <v>12524</v>
      </c>
      <c r="D3302" s="21"/>
      <c r="E3302" s="22" t="s">
        <v>12525</v>
      </c>
      <c r="H3302" s="78"/>
      <c r="I3302" s="21"/>
      <c r="J3302" s="25"/>
      <c r="K3302" s="26" t="s">
        <v>44</v>
      </c>
      <c r="L3302" s="16"/>
      <c r="M3302" s="21"/>
    </row>
    <row r="3303">
      <c r="A3303" s="28">
        <v>46232.0</v>
      </c>
      <c r="B3303" s="16" t="s">
        <v>12526</v>
      </c>
      <c r="C3303" s="20" t="s">
        <v>12527</v>
      </c>
      <c r="D3303" s="21"/>
      <c r="E3303" s="22" t="s">
        <v>12528</v>
      </c>
      <c r="H3303" s="78"/>
      <c r="I3303" s="21"/>
      <c r="J3303" s="25"/>
      <c r="K3303" s="26" t="s">
        <v>44</v>
      </c>
      <c r="L3303" s="16"/>
      <c r="M3303" s="21"/>
    </row>
    <row r="3304">
      <c r="A3304" s="28">
        <v>46232.0</v>
      </c>
      <c r="B3304" s="16" t="s">
        <v>12529</v>
      </c>
      <c r="C3304" s="20" t="s">
        <v>12530</v>
      </c>
      <c r="D3304" s="21"/>
      <c r="E3304" s="22" t="s">
        <v>12531</v>
      </c>
      <c r="H3304" s="78"/>
      <c r="I3304" s="21"/>
      <c r="J3304" s="25"/>
      <c r="K3304" s="26" t="s">
        <v>44</v>
      </c>
      <c r="L3304" s="16"/>
      <c r="M3304" s="21"/>
    </row>
    <row r="3305">
      <c r="A3305" s="28">
        <v>46232.0</v>
      </c>
      <c r="B3305" s="16" t="s">
        <v>12532</v>
      </c>
      <c r="C3305" s="20" t="s">
        <v>12533</v>
      </c>
      <c r="D3305" s="21"/>
      <c r="E3305" s="41"/>
      <c r="H3305" s="78"/>
      <c r="I3305" s="21"/>
      <c r="J3305" s="25"/>
      <c r="K3305" s="26" t="s">
        <v>44</v>
      </c>
      <c r="L3305" s="16"/>
      <c r="M3305" s="21"/>
    </row>
    <row r="3306">
      <c r="A3306" s="28">
        <v>46232.0</v>
      </c>
      <c r="B3306" s="16" t="s">
        <v>12534</v>
      </c>
      <c r="C3306" s="20" t="s">
        <v>12535</v>
      </c>
      <c r="D3306" s="21"/>
      <c r="E3306" s="22" t="s">
        <v>12536</v>
      </c>
      <c r="H3306" s="78"/>
      <c r="I3306" s="21"/>
      <c r="J3306" s="25"/>
      <c r="K3306" s="26" t="s">
        <v>44</v>
      </c>
      <c r="L3306" s="16"/>
      <c r="M3306" s="21"/>
    </row>
    <row r="3307">
      <c r="A3307" s="28">
        <v>46232.0</v>
      </c>
      <c r="B3307" s="16" t="s">
        <v>12537</v>
      </c>
      <c r="C3307" s="20" t="s">
        <v>12538</v>
      </c>
      <c r="D3307" s="21"/>
      <c r="E3307" s="41"/>
      <c r="H3307" s="78"/>
      <c r="I3307" s="21"/>
      <c r="J3307" s="25"/>
      <c r="K3307" s="26" t="s">
        <v>44</v>
      </c>
      <c r="L3307" s="16"/>
      <c r="M3307" s="21"/>
    </row>
    <row r="3308">
      <c r="A3308" s="28">
        <v>46232.0</v>
      </c>
      <c r="B3308" s="16" t="s">
        <v>12539</v>
      </c>
      <c r="C3308" s="20" t="s">
        <v>12540</v>
      </c>
      <c r="D3308" s="21"/>
      <c r="E3308" s="22" t="s">
        <v>12541</v>
      </c>
      <c r="H3308" s="78"/>
      <c r="I3308" s="21"/>
      <c r="J3308" s="25"/>
      <c r="K3308" s="26" t="s">
        <v>44</v>
      </c>
      <c r="L3308" s="16"/>
      <c r="M3308" s="21"/>
    </row>
    <row r="3309">
      <c r="A3309" s="28">
        <v>46232.0</v>
      </c>
      <c r="B3309" s="16" t="s">
        <v>12542</v>
      </c>
      <c r="C3309" s="20" t="s">
        <v>12543</v>
      </c>
      <c r="D3309" s="21"/>
      <c r="E3309" s="22" t="s">
        <v>12544</v>
      </c>
      <c r="H3309" s="78"/>
      <c r="I3309" s="21"/>
      <c r="J3309" s="25"/>
      <c r="K3309" s="26" t="s">
        <v>44</v>
      </c>
      <c r="L3309" s="16"/>
      <c r="M3309" s="21"/>
    </row>
    <row r="3310">
      <c r="A3310" s="28">
        <v>46232.0</v>
      </c>
      <c r="B3310" s="16" t="s">
        <v>12545</v>
      </c>
      <c r="C3310" s="20" t="s">
        <v>12546</v>
      </c>
      <c r="D3310" s="21"/>
      <c r="E3310" s="22" t="s">
        <v>12547</v>
      </c>
      <c r="H3310" s="78"/>
      <c r="I3310" s="21"/>
      <c r="J3310" s="25"/>
      <c r="K3310" s="26" t="s">
        <v>44</v>
      </c>
      <c r="L3310" s="16"/>
      <c r="M3310" s="21"/>
    </row>
    <row r="3311">
      <c r="A3311" s="28">
        <v>46232.0</v>
      </c>
      <c r="B3311" s="16" t="s">
        <v>12548</v>
      </c>
      <c r="C3311" s="20" t="s">
        <v>12549</v>
      </c>
      <c r="D3311" s="21"/>
      <c r="E3311" s="22" t="s">
        <v>12550</v>
      </c>
      <c r="H3311" s="78"/>
      <c r="I3311" s="21"/>
      <c r="J3311" s="25"/>
      <c r="K3311" s="26" t="s">
        <v>44</v>
      </c>
      <c r="L3311" s="16"/>
      <c r="M3311" s="21"/>
    </row>
    <row r="3312">
      <c r="A3312" s="28">
        <v>46232.0</v>
      </c>
      <c r="B3312" s="16" t="s">
        <v>12551</v>
      </c>
      <c r="C3312" s="20" t="s">
        <v>12552</v>
      </c>
      <c r="D3312" s="21"/>
      <c r="E3312" s="22" t="s">
        <v>12553</v>
      </c>
      <c r="H3312" s="78"/>
      <c r="I3312" s="21"/>
      <c r="J3312" s="25"/>
      <c r="K3312" s="26" t="s">
        <v>44</v>
      </c>
      <c r="L3312" s="16"/>
      <c r="M3312" s="21"/>
    </row>
    <row r="3313">
      <c r="A3313" s="28">
        <v>46232.0</v>
      </c>
      <c r="B3313" s="16" t="s">
        <v>12554</v>
      </c>
      <c r="C3313" s="20" t="s">
        <v>12555</v>
      </c>
      <c r="D3313" s="21"/>
      <c r="E3313" s="22" t="s">
        <v>12556</v>
      </c>
      <c r="H3313" s="78"/>
      <c r="I3313" s="21"/>
      <c r="J3313" s="25"/>
      <c r="K3313" s="26" t="s">
        <v>44</v>
      </c>
      <c r="L3313" s="16"/>
      <c r="M3313" s="21"/>
    </row>
    <row r="3314">
      <c r="A3314" s="28">
        <v>46232.0</v>
      </c>
      <c r="B3314" s="16" t="s">
        <v>12557</v>
      </c>
      <c r="C3314" s="46" t="s">
        <v>12558</v>
      </c>
      <c r="D3314" s="21"/>
      <c r="E3314" s="22" t="s">
        <v>12559</v>
      </c>
      <c r="H3314" s="78"/>
      <c r="I3314" s="21"/>
      <c r="J3314" s="25"/>
      <c r="K3314" s="26" t="s">
        <v>44</v>
      </c>
      <c r="L3314" s="16"/>
      <c r="M3314" s="21"/>
    </row>
    <row r="3315">
      <c r="A3315" s="28">
        <v>46232.0</v>
      </c>
      <c r="B3315" s="16" t="s">
        <v>12560</v>
      </c>
      <c r="C3315" s="20" t="s">
        <v>12561</v>
      </c>
      <c r="D3315" s="21"/>
      <c r="E3315" s="22" t="s">
        <v>12562</v>
      </c>
      <c r="H3315" s="78"/>
      <c r="I3315" s="21"/>
      <c r="J3315" s="25"/>
      <c r="K3315" s="26" t="s">
        <v>44</v>
      </c>
      <c r="L3315" s="16"/>
      <c r="M3315" s="21"/>
    </row>
    <row r="3316">
      <c r="A3316" s="28">
        <v>46232.0</v>
      </c>
      <c r="B3316" s="16" t="s">
        <v>12563</v>
      </c>
      <c r="C3316" s="20" t="s">
        <v>12564</v>
      </c>
      <c r="D3316" s="21"/>
      <c r="E3316" s="22" t="s">
        <v>12565</v>
      </c>
      <c r="H3316" s="78"/>
      <c r="I3316" s="21"/>
      <c r="J3316" s="25"/>
      <c r="K3316" s="26" t="s">
        <v>44</v>
      </c>
      <c r="L3316" s="16"/>
      <c r="M3316" s="21"/>
    </row>
    <row r="3317">
      <c r="A3317" s="28">
        <v>46232.0</v>
      </c>
      <c r="B3317" s="16" t="s">
        <v>12566</v>
      </c>
      <c r="C3317" s="20" t="s">
        <v>12567</v>
      </c>
      <c r="D3317" s="21"/>
      <c r="E3317" s="22" t="s">
        <v>12568</v>
      </c>
      <c r="H3317" s="78"/>
      <c r="I3317" s="21"/>
      <c r="J3317" s="25"/>
      <c r="K3317" s="26" t="s">
        <v>44</v>
      </c>
      <c r="L3317" s="16"/>
      <c r="M3317" s="21"/>
    </row>
    <row r="3318">
      <c r="A3318" s="28">
        <v>46232.0</v>
      </c>
      <c r="B3318" s="16" t="s">
        <v>12569</v>
      </c>
      <c r="C3318" s="20" t="s">
        <v>12570</v>
      </c>
      <c r="D3318" s="21"/>
      <c r="E3318" s="22" t="s">
        <v>12571</v>
      </c>
      <c r="H3318" s="78"/>
      <c r="I3318" s="21"/>
      <c r="J3318" s="25"/>
      <c r="K3318" s="26" t="s">
        <v>44</v>
      </c>
      <c r="L3318" s="16"/>
      <c r="M3318" s="21"/>
    </row>
    <row r="3319">
      <c r="A3319" s="28">
        <v>46232.0</v>
      </c>
      <c r="B3319" s="16" t="s">
        <v>12572</v>
      </c>
      <c r="C3319" s="20" t="s">
        <v>12573</v>
      </c>
      <c r="D3319" s="21"/>
      <c r="E3319" s="22" t="s">
        <v>12574</v>
      </c>
      <c r="H3319" s="78"/>
      <c r="I3319" s="21"/>
      <c r="J3319" s="25"/>
      <c r="K3319" s="26" t="s">
        <v>44</v>
      </c>
      <c r="L3319" s="16"/>
      <c r="M3319" s="21"/>
    </row>
    <row r="3320">
      <c r="A3320" s="28">
        <v>46232.0</v>
      </c>
      <c r="B3320" s="16" t="s">
        <v>12575</v>
      </c>
      <c r="C3320" s="20" t="s">
        <v>12576</v>
      </c>
      <c r="D3320" s="21"/>
      <c r="E3320" s="41"/>
      <c r="H3320" s="78"/>
      <c r="I3320" s="21"/>
      <c r="J3320" s="25"/>
      <c r="K3320" s="26" t="s">
        <v>44</v>
      </c>
      <c r="L3320" s="16"/>
      <c r="M3320" s="21"/>
    </row>
    <row r="3321">
      <c r="A3321" s="28">
        <v>46232.0</v>
      </c>
      <c r="B3321" s="16" t="s">
        <v>12577</v>
      </c>
      <c r="C3321" s="20" t="s">
        <v>12578</v>
      </c>
      <c r="D3321" s="21"/>
      <c r="E3321" s="22" t="s">
        <v>12579</v>
      </c>
      <c r="H3321" s="78"/>
      <c r="I3321" s="21"/>
      <c r="J3321" s="25"/>
      <c r="K3321" s="26" t="s">
        <v>44</v>
      </c>
      <c r="L3321" s="16"/>
      <c r="M3321" s="21"/>
    </row>
    <row r="3322">
      <c r="A3322" s="28">
        <v>46232.0</v>
      </c>
      <c r="B3322" s="16" t="s">
        <v>12580</v>
      </c>
      <c r="C3322" s="20" t="s">
        <v>12581</v>
      </c>
      <c r="D3322" s="21"/>
      <c r="E3322" s="22" t="s">
        <v>12582</v>
      </c>
      <c r="H3322" s="78"/>
      <c r="I3322" s="21"/>
      <c r="J3322" s="25"/>
      <c r="K3322" s="26" t="s">
        <v>44</v>
      </c>
      <c r="L3322" s="16"/>
      <c r="M3322" s="21"/>
    </row>
    <row r="3323">
      <c r="A3323" s="28">
        <v>46232.0</v>
      </c>
      <c r="B3323" s="16" t="s">
        <v>12583</v>
      </c>
      <c r="C3323" s="20" t="s">
        <v>12584</v>
      </c>
      <c r="D3323" s="21"/>
      <c r="E3323" s="22" t="s">
        <v>12585</v>
      </c>
      <c r="H3323" s="78"/>
      <c r="I3323" s="21"/>
      <c r="J3323" s="25"/>
      <c r="K3323" s="26" t="s">
        <v>44</v>
      </c>
      <c r="L3323" s="16"/>
      <c r="M3323" s="21"/>
    </row>
    <row r="3324">
      <c r="A3324" s="28">
        <v>46232.0</v>
      </c>
      <c r="B3324" s="16" t="s">
        <v>12586</v>
      </c>
      <c r="C3324" s="20" t="s">
        <v>12587</v>
      </c>
      <c r="D3324" s="21"/>
      <c r="E3324" s="22" t="s">
        <v>12588</v>
      </c>
      <c r="H3324" s="78"/>
      <c r="I3324" s="21"/>
      <c r="J3324" s="25"/>
      <c r="K3324" s="26" t="s">
        <v>44</v>
      </c>
      <c r="L3324" s="16"/>
      <c r="M3324" s="21"/>
    </row>
    <row r="3325">
      <c r="A3325" s="28">
        <v>46232.0</v>
      </c>
      <c r="B3325" s="16" t="s">
        <v>12589</v>
      </c>
      <c r="C3325" s="20" t="s">
        <v>12590</v>
      </c>
      <c r="D3325" s="21"/>
      <c r="E3325" s="22" t="s">
        <v>12591</v>
      </c>
      <c r="H3325" s="78"/>
      <c r="I3325" s="21"/>
      <c r="J3325" s="25"/>
      <c r="K3325" s="26" t="s">
        <v>44</v>
      </c>
      <c r="L3325" s="16"/>
      <c r="M3325" s="21"/>
    </row>
    <row r="3326">
      <c r="A3326" s="28">
        <v>46232.0</v>
      </c>
      <c r="B3326" s="16" t="s">
        <v>12592</v>
      </c>
      <c r="C3326" s="20" t="s">
        <v>12593</v>
      </c>
      <c r="D3326" s="21"/>
      <c r="E3326" s="22" t="s">
        <v>12594</v>
      </c>
      <c r="H3326" s="78"/>
      <c r="I3326" s="21"/>
      <c r="J3326" s="25"/>
      <c r="K3326" s="26" t="s">
        <v>44</v>
      </c>
      <c r="L3326" s="16"/>
      <c r="M3326" s="21"/>
    </row>
    <row r="3327">
      <c r="A3327" s="28">
        <v>46232.0</v>
      </c>
      <c r="B3327" s="16" t="s">
        <v>12595</v>
      </c>
      <c r="C3327" s="20" t="s">
        <v>12596</v>
      </c>
      <c r="D3327" s="21"/>
      <c r="E3327" s="22" t="s">
        <v>12597</v>
      </c>
      <c r="H3327" s="78"/>
      <c r="I3327" s="21"/>
      <c r="J3327" s="25"/>
      <c r="K3327" s="26" t="s">
        <v>44</v>
      </c>
      <c r="L3327" s="16"/>
      <c r="M3327" s="21"/>
    </row>
    <row r="3328">
      <c r="A3328" s="28">
        <v>46232.0</v>
      </c>
      <c r="B3328" s="16" t="s">
        <v>12598</v>
      </c>
      <c r="C3328" s="20" t="s">
        <v>12599</v>
      </c>
      <c r="D3328" s="21"/>
      <c r="E3328" s="22" t="s">
        <v>12600</v>
      </c>
      <c r="H3328" s="78"/>
      <c r="I3328" s="21"/>
      <c r="J3328" s="25"/>
      <c r="K3328" s="26" t="s">
        <v>44</v>
      </c>
      <c r="L3328" s="16"/>
      <c r="M3328" s="21"/>
    </row>
    <row r="3329">
      <c r="A3329" s="28">
        <v>46232.0</v>
      </c>
      <c r="B3329" s="16" t="s">
        <v>12601</v>
      </c>
      <c r="C3329" s="20" t="s">
        <v>12602</v>
      </c>
      <c r="D3329" s="21"/>
      <c r="E3329" s="41"/>
      <c r="H3329" s="78"/>
      <c r="I3329" s="21"/>
      <c r="J3329" s="25"/>
      <c r="K3329" s="26" t="s">
        <v>44</v>
      </c>
      <c r="L3329" s="16"/>
      <c r="M3329" s="21"/>
    </row>
    <row r="3330">
      <c r="A3330" s="28">
        <v>46232.0</v>
      </c>
      <c r="B3330" s="16" t="s">
        <v>12603</v>
      </c>
      <c r="C3330" s="20" t="s">
        <v>12604</v>
      </c>
      <c r="D3330" s="21"/>
      <c r="E3330" s="22" t="s">
        <v>12605</v>
      </c>
      <c r="H3330" s="78"/>
      <c r="I3330" s="21"/>
      <c r="J3330" s="25"/>
      <c r="K3330" s="26" t="s">
        <v>44</v>
      </c>
      <c r="L3330" s="16"/>
      <c r="M3330" s="21"/>
    </row>
    <row r="3331">
      <c r="A3331" s="28">
        <v>46232.0</v>
      </c>
      <c r="B3331" s="16" t="s">
        <v>12606</v>
      </c>
      <c r="C3331" s="20" t="s">
        <v>12607</v>
      </c>
      <c r="D3331" s="21"/>
      <c r="E3331" s="22" t="s">
        <v>12608</v>
      </c>
      <c r="H3331" s="78"/>
      <c r="I3331" s="21"/>
      <c r="J3331" s="25"/>
      <c r="K3331" s="26" t="s">
        <v>44</v>
      </c>
      <c r="L3331" s="16"/>
      <c r="M3331" s="21"/>
    </row>
    <row r="3332">
      <c r="A3332" s="28">
        <v>46232.0</v>
      </c>
      <c r="B3332" s="16" t="s">
        <v>12609</v>
      </c>
      <c r="C3332" s="20" t="s">
        <v>12610</v>
      </c>
      <c r="D3332" s="21"/>
      <c r="E3332" s="41"/>
      <c r="H3332" s="78"/>
      <c r="I3332" s="21"/>
      <c r="J3332" s="25"/>
      <c r="K3332" s="26" t="s">
        <v>44</v>
      </c>
      <c r="L3332" s="16"/>
      <c r="M3332" s="21"/>
    </row>
    <row r="3333">
      <c r="A3333" s="28">
        <v>46232.0</v>
      </c>
      <c r="B3333" s="16" t="s">
        <v>12611</v>
      </c>
      <c r="C3333" s="20" t="s">
        <v>12612</v>
      </c>
      <c r="D3333" s="21"/>
      <c r="E3333" s="22" t="s">
        <v>12613</v>
      </c>
      <c r="H3333" s="78"/>
      <c r="I3333" s="21"/>
      <c r="J3333" s="25"/>
      <c r="K3333" s="26" t="s">
        <v>44</v>
      </c>
      <c r="L3333" s="16"/>
      <c r="M3333" s="21"/>
    </row>
    <row r="3334">
      <c r="A3334" s="28">
        <v>46232.0</v>
      </c>
      <c r="B3334" s="16" t="s">
        <v>12614</v>
      </c>
      <c r="C3334" s="20" t="s">
        <v>12615</v>
      </c>
      <c r="D3334" s="21"/>
      <c r="E3334" s="41"/>
      <c r="H3334" s="78"/>
      <c r="I3334" s="21"/>
      <c r="J3334" s="25"/>
      <c r="K3334" s="26" t="s">
        <v>44</v>
      </c>
      <c r="L3334" s="16"/>
      <c r="M3334" s="21"/>
    </row>
    <row r="3335">
      <c r="A3335" s="28">
        <v>46232.0</v>
      </c>
      <c r="B3335" s="16" t="s">
        <v>12616</v>
      </c>
      <c r="C3335" s="20" t="s">
        <v>12617</v>
      </c>
      <c r="D3335" s="21"/>
      <c r="E3335" s="22" t="s">
        <v>12618</v>
      </c>
      <c r="H3335" s="78"/>
      <c r="I3335" s="21"/>
      <c r="J3335" s="25"/>
      <c r="K3335" s="26" t="s">
        <v>44</v>
      </c>
      <c r="L3335" s="16"/>
      <c r="M3335" s="21"/>
    </row>
    <row r="3336">
      <c r="A3336" s="28">
        <v>46232.0</v>
      </c>
      <c r="B3336" s="16" t="s">
        <v>12619</v>
      </c>
      <c r="C3336" s="20" t="s">
        <v>12620</v>
      </c>
      <c r="D3336" s="21"/>
      <c r="E3336" s="22" t="s">
        <v>12621</v>
      </c>
      <c r="H3336" s="78"/>
      <c r="I3336" s="21"/>
      <c r="J3336" s="25"/>
      <c r="K3336" s="26" t="s">
        <v>44</v>
      </c>
      <c r="L3336" s="16"/>
      <c r="M3336" s="21"/>
    </row>
    <row r="3337">
      <c r="A3337" s="28">
        <v>46232.0</v>
      </c>
      <c r="B3337" s="16" t="s">
        <v>12622</v>
      </c>
      <c r="C3337" s="20" t="s">
        <v>12623</v>
      </c>
      <c r="D3337" s="21"/>
      <c r="E3337" s="41"/>
      <c r="H3337" s="78"/>
      <c r="I3337" s="21"/>
      <c r="J3337" s="25"/>
      <c r="K3337" s="26" t="s">
        <v>44</v>
      </c>
      <c r="L3337" s="16"/>
      <c r="M3337" s="21"/>
    </row>
    <row r="3338">
      <c r="A3338" s="28">
        <v>46232.0</v>
      </c>
      <c r="B3338" s="16" t="s">
        <v>12624</v>
      </c>
      <c r="C3338" s="20" t="s">
        <v>12625</v>
      </c>
      <c r="D3338" s="21"/>
      <c r="E3338" s="22" t="s">
        <v>12626</v>
      </c>
      <c r="H3338" s="78"/>
      <c r="I3338" s="21"/>
      <c r="J3338" s="25"/>
      <c r="K3338" s="26" t="s">
        <v>44</v>
      </c>
      <c r="L3338" s="16"/>
      <c r="M3338" s="21"/>
    </row>
    <row r="3339">
      <c r="A3339" s="28">
        <v>46232.0</v>
      </c>
      <c r="B3339" s="16" t="s">
        <v>12627</v>
      </c>
      <c r="C3339" s="20" t="s">
        <v>12628</v>
      </c>
      <c r="D3339" s="21"/>
      <c r="E3339" s="22" t="s">
        <v>12629</v>
      </c>
      <c r="H3339" s="78"/>
      <c r="I3339" s="21"/>
      <c r="J3339" s="25"/>
      <c r="K3339" s="26" t="s">
        <v>44</v>
      </c>
      <c r="L3339" s="16"/>
      <c r="M3339" s="21"/>
    </row>
    <row r="3340">
      <c r="A3340" s="28">
        <v>46232.0</v>
      </c>
      <c r="B3340" s="16" t="s">
        <v>12630</v>
      </c>
      <c r="C3340" s="20" t="s">
        <v>12631</v>
      </c>
      <c r="D3340" s="21"/>
      <c r="E3340" s="22" t="s">
        <v>12632</v>
      </c>
      <c r="H3340" s="78"/>
      <c r="I3340" s="21"/>
      <c r="J3340" s="25"/>
      <c r="K3340" s="26" t="s">
        <v>44</v>
      </c>
      <c r="L3340" s="16"/>
      <c r="M3340" s="21"/>
    </row>
    <row r="3341">
      <c r="A3341" s="28">
        <v>46232.0</v>
      </c>
      <c r="B3341" s="16" t="s">
        <v>12633</v>
      </c>
      <c r="C3341" s="20" t="s">
        <v>12634</v>
      </c>
      <c r="D3341" s="21"/>
      <c r="E3341" s="22" t="s">
        <v>12635</v>
      </c>
      <c r="H3341" s="78"/>
      <c r="I3341" s="21"/>
      <c r="J3341" s="25"/>
      <c r="K3341" s="26" t="s">
        <v>44</v>
      </c>
      <c r="L3341" s="16"/>
      <c r="M3341" s="21"/>
    </row>
    <row r="3342">
      <c r="A3342" s="28">
        <v>46232.0</v>
      </c>
      <c r="B3342" s="16" t="s">
        <v>12636</v>
      </c>
      <c r="C3342" s="20" t="s">
        <v>12637</v>
      </c>
      <c r="D3342" s="21"/>
      <c r="E3342" s="22" t="s">
        <v>12638</v>
      </c>
      <c r="H3342" s="78"/>
      <c r="I3342" s="21"/>
      <c r="J3342" s="25"/>
      <c r="K3342" s="26" t="s">
        <v>44</v>
      </c>
      <c r="L3342" s="16"/>
      <c r="M3342" s="21"/>
    </row>
    <row r="3343">
      <c r="A3343" s="28">
        <v>46232.0</v>
      </c>
      <c r="B3343" s="16" t="s">
        <v>12639</v>
      </c>
      <c r="C3343" s="20" t="s">
        <v>12640</v>
      </c>
      <c r="D3343" s="21"/>
      <c r="E3343" s="41"/>
      <c r="H3343" s="78"/>
      <c r="I3343" s="21"/>
      <c r="J3343" s="25"/>
      <c r="K3343" s="26" t="s">
        <v>44</v>
      </c>
      <c r="L3343" s="16"/>
      <c r="M3343" s="21"/>
    </row>
    <row r="3344">
      <c r="A3344" s="28">
        <v>46232.0</v>
      </c>
      <c r="B3344" s="16" t="s">
        <v>12641</v>
      </c>
      <c r="C3344" s="20" t="s">
        <v>12642</v>
      </c>
      <c r="D3344" s="21"/>
      <c r="E3344" s="22" t="s">
        <v>12643</v>
      </c>
      <c r="H3344" s="78"/>
      <c r="I3344" s="21"/>
      <c r="J3344" s="25"/>
      <c r="K3344" s="26" t="s">
        <v>44</v>
      </c>
      <c r="L3344" s="16"/>
      <c r="M3344" s="21"/>
    </row>
    <row r="3345">
      <c r="A3345" s="28">
        <v>46232.0</v>
      </c>
      <c r="B3345" s="16" t="s">
        <v>12644</v>
      </c>
      <c r="C3345" s="20" t="s">
        <v>12645</v>
      </c>
      <c r="D3345" s="21"/>
      <c r="E3345" s="22" t="s">
        <v>12646</v>
      </c>
      <c r="H3345" s="78"/>
      <c r="I3345" s="21"/>
      <c r="J3345" s="25"/>
      <c r="K3345" s="26" t="s">
        <v>44</v>
      </c>
      <c r="L3345" s="16"/>
      <c r="M3345" s="21"/>
    </row>
    <row r="3346">
      <c r="A3346" s="28">
        <v>46232.0</v>
      </c>
      <c r="B3346" s="16" t="s">
        <v>12647</v>
      </c>
      <c r="C3346" s="20" t="s">
        <v>12648</v>
      </c>
      <c r="D3346" s="21"/>
      <c r="E3346" s="22" t="s">
        <v>12649</v>
      </c>
      <c r="H3346" s="78"/>
      <c r="I3346" s="21"/>
      <c r="J3346" s="25"/>
      <c r="K3346" s="26" t="s">
        <v>44</v>
      </c>
      <c r="L3346" s="16"/>
      <c r="M3346" s="21"/>
    </row>
    <row r="3347">
      <c r="A3347" s="28">
        <v>46232.0</v>
      </c>
      <c r="B3347" s="16" t="s">
        <v>12650</v>
      </c>
      <c r="C3347" s="20" t="s">
        <v>12651</v>
      </c>
      <c r="D3347" s="21"/>
      <c r="E3347" s="22" t="s">
        <v>12652</v>
      </c>
      <c r="H3347" s="78"/>
      <c r="I3347" s="21"/>
      <c r="J3347" s="25"/>
      <c r="K3347" s="26" t="s">
        <v>44</v>
      </c>
      <c r="L3347" s="16"/>
      <c r="M3347" s="21"/>
    </row>
    <row r="3348">
      <c r="A3348" s="28">
        <v>46232.0</v>
      </c>
      <c r="B3348" s="16" t="s">
        <v>12653</v>
      </c>
      <c r="C3348" s="20" t="s">
        <v>12654</v>
      </c>
      <c r="D3348" s="21"/>
      <c r="E3348" s="22" t="s">
        <v>12655</v>
      </c>
      <c r="H3348" s="78"/>
      <c r="I3348" s="21"/>
      <c r="J3348" s="25"/>
      <c r="K3348" s="26" t="s">
        <v>44</v>
      </c>
      <c r="L3348" s="16"/>
      <c r="M3348" s="21"/>
    </row>
    <row r="3349">
      <c r="A3349" s="28">
        <v>46232.0</v>
      </c>
      <c r="B3349" s="16" t="s">
        <v>12656</v>
      </c>
      <c r="C3349" s="20" t="s">
        <v>12657</v>
      </c>
      <c r="D3349" s="21"/>
      <c r="E3349" s="22" t="s">
        <v>12658</v>
      </c>
      <c r="H3349" s="78"/>
      <c r="I3349" s="21"/>
      <c r="J3349" s="25"/>
      <c r="K3349" s="26" t="s">
        <v>44</v>
      </c>
      <c r="L3349" s="16"/>
      <c r="M3349" s="21"/>
    </row>
    <row r="3350">
      <c r="A3350" s="28">
        <v>46232.0</v>
      </c>
      <c r="B3350" s="16" t="s">
        <v>12659</v>
      </c>
      <c r="C3350" s="20" t="s">
        <v>12660</v>
      </c>
      <c r="D3350" s="21"/>
      <c r="E3350" s="22" t="s">
        <v>12661</v>
      </c>
      <c r="H3350" s="78"/>
      <c r="I3350" s="21"/>
      <c r="J3350" s="25"/>
      <c r="K3350" s="26" t="s">
        <v>44</v>
      </c>
      <c r="L3350" s="16"/>
      <c r="M3350" s="21"/>
    </row>
    <row r="3351">
      <c r="A3351" s="28">
        <v>46232.0</v>
      </c>
      <c r="B3351" s="16" t="s">
        <v>12662</v>
      </c>
      <c r="C3351" s="20" t="s">
        <v>12663</v>
      </c>
      <c r="D3351" s="21"/>
      <c r="E3351" s="22" t="s">
        <v>12664</v>
      </c>
      <c r="H3351" s="78"/>
      <c r="I3351" s="21"/>
      <c r="J3351" s="25"/>
      <c r="K3351" s="26" t="s">
        <v>44</v>
      </c>
      <c r="L3351" s="16"/>
      <c r="M3351" s="21"/>
    </row>
    <row r="3352">
      <c r="A3352" s="28">
        <v>46232.0</v>
      </c>
      <c r="B3352" s="16" t="s">
        <v>12665</v>
      </c>
      <c r="C3352" s="20" t="s">
        <v>12666</v>
      </c>
      <c r="D3352" s="21"/>
      <c r="E3352" s="41"/>
      <c r="H3352" s="78"/>
      <c r="I3352" s="21"/>
      <c r="J3352" s="25"/>
      <c r="K3352" s="26" t="s">
        <v>44</v>
      </c>
      <c r="L3352" s="16"/>
      <c r="M3352" s="21"/>
    </row>
    <row r="3353">
      <c r="A3353" s="28">
        <v>46232.0</v>
      </c>
      <c r="B3353" s="16" t="s">
        <v>12667</v>
      </c>
      <c r="C3353" s="20" t="s">
        <v>12668</v>
      </c>
      <c r="D3353" s="21"/>
      <c r="E3353" s="22" t="s">
        <v>12669</v>
      </c>
      <c r="H3353" s="78"/>
      <c r="I3353" s="21"/>
      <c r="J3353" s="25"/>
      <c r="K3353" s="26" t="s">
        <v>44</v>
      </c>
      <c r="L3353" s="16"/>
      <c r="M3353" s="21"/>
    </row>
    <row r="3354">
      <c r="A3354" s="28">
        <v>46232.0</v>
      </c>
      <c r="B3354" s="16" t="s">
        <v>12670</v>
      </c>
      <c r="C3354" s="20" t="s">
        <v>12671</v>
      </c>
      <c r="D3354" s="21"/>
      <c r="E3354" s="22" t="s">
        <v>12672</v>
      </c>
      <c r="H3354" s="78"/>
      <c r="I3354" s="21"/>
      <c r="J3354" s="25"/>
      <c r="K3354" s="26" t="s">
        <v>44</v>
      </c>
      <c r="L3354" s="16"/>
      <c r="M3354" s="21"/>
    </row>
    <row r="3355">
      <c r="A3355" s="28">
        <v>46232.0</v>
      </c>
      <c r="B3355" s="16" t="s">
        <v>12673</v>
      </c>
      <c r="C3355" s="20" t="s">
        <v>12674</v>
      </c>
      <c r="D3355" s="21"/>
      <c r="E3355" s="41"/>
      <c r="H3355" s="78"/>
      <c r="I3355" s="21"/>
      <c r="J3355" s="25"/>
      <c r="K3355" s="26" t="s">
        <v>44</v>
      </c>
      <c r="L3355" s="16"/>
      <c r="M3355" s="21"/>
    </row>
    <row r="3356">
      <c r="A3356" s="28">
        <v>46232.0</v>
      </c>
      <c r="B3356" s="16" t="s">
        <v>12675</v>
      </c>
      <c r="C3356" s="20" t="s">
        <v>12676</v>
      </c>
      <c r="D3356" s="21"/>
      <c r="E3356" s="22" t="s">
        <v>12677</v>
      </c>
      <c r="H3356" s="78"/>
      <c r="I3356" s="21"/>
      <c r="J3356" s="25"/>
      <c r="K3356" s="26" t="s">
        <v>44</v>
      </c>
      <c r="L3356" s="16"/>
      <c r="M3356" s="21"/>
    </row>
    <row r="3357">
      <c r="A3357" s="28">
        <v>46232.0</v>
      </c>
      <c r="B3357" s="16" t="s">
        <v>12678</v>
      </c>
      <c r="C3357" s="20" t="s">
        <v>12679</v>
      </c>
      <c r="D3357" s="21"/>
      <c r="E3357" s="22" t="s">
        <v>12680</v>
      </c>
      <c r="H3357" s="78"/>
      <c r="I3357" s="21"/>
      <c r="J3357" s="25"/>
      <c r="K3357" s="26" t="s">
        <v>44</v>
      </c>
      <c r="L3357" s="16"/>
      <c r="M3357" s="21"/>
    </row>
    <row r="3358">
      <c r="A3358" s="28">
        <v>46232.0</v>
      </c>
      <c r="B3358" s="16" t="s">
        <v>12681</v>
      </c>
      <c r="C3358" s="20" t="s">
        <v>12682</v>
      </c>
      <c r="D3358" s="21"/>
      <c r="E3358" s="22" t="s">
        <v>12683</v>
      </c>
      <c r="H3358" s="78"/>
      <c r="I3358" s="21"/>
      <c r="J3358" s="25"/>
      <c r="K3358" s="26" t="s">
        <v>44</v>
      </c>
      <c r="L3358" s="16"/>
      <c r="M3358" s="21"/>
    </row>
    <row r="3359">
      <c r="A3359" s="28">
        <v>46232.0</v>
      </c>
      <c r="B3359" s="16" t="s">
        <v>12684</v>
      </c>
      <c r="C3359" s="20" t="s">
        <v>12685</v>
      </c>
      <c r="D3359" s="21"/>
      <c r="E3359" s="22" t="s">
        <v>12686</v>
      </c>
      <c r="H3359" s="78"/>
      <c r="I3359" s="21"/>
      <c r="J3359" s="25"/>
      <c r="K3359" s="26" t="s">
        <v>44</v>
      </c>
      <c r="L3359" s="16"/>
      <c r="M3359" s="21"/>
    </row>
    <row r="3360">
      <c r="A3360" s="28">
        <v>46232.0</v>
      </c>
      <c r="B3360" s="16" t="s">
        <v>12687</v>
      </c>
      <c r="C3360" s="20" t="s">
        <v>12688</v>
      </c>
      <c r="D3360" s="21"/>
      <c r="E3360" s="22" t="s">
        <v>12689</v>
      </c>
      <c r="H3360" s="78"/>
      <c r="I3360" s="21"/>
      <c r="J3360" s="25"/>
      <c r="K3360" s="26" t="s">
        <v>44</v>
      </c>
      <c r="L3360" s="16"/>
      <c r="M3360" s="21"/>
    </row>
    <row r="3361">
      <c r="A3361" s="28">
        <v>46232.0</v>
      </c>
      <c r="B3361" s="16" t="s">
        <v>12690</v>
      </c>
      <c r="C3361" s="20" t="s">
        <v>12691</v>
      </c>
      <c r="D3361" s="21"/>
      <c r="E3361" s="22" t="s">
        <v>12692</v>
      </c>
      <c r="H3361" s="78"/>
      <c r="I3361" s="21"/>
      <c r="J3361" s="25"/>
      <c r="K3361" s="26" t="s">
        <v>44</v>
      </c>
      <c r="L3361" s="16"/>
      <c r="M3361" s="21"/>
    </row>
    <row r="3362">
      <c r="A3362" s="28">
        <v>46232.0</v>
      </c>
      <c r="B3362" s="16" t="s">
        <v>12693</v>
      </c>
      <c r="C3362" s="20" t="s">
        <v>12694</v>
      </c>
      <c r="D3362" s="21"/>
      <c r="E3362" s="41"/>
      <c r="H3362" s="78"/>
      <c r="I3362" s="21"/>
      <c r="J3362" s="25"/>
      <c r="K3362" s="26" t="s">
        <v>44</v>
      </c>
      <c r="L3362" s="16"/>
      <c r="M3362" s="21"/>
    </row>
    <row r="3363">
      <c r="A3363" s="28">
        <v>46232.0</v>
      </c>
      <c r="B3363" s="16" t="s">
        <v>12695</v>
      </c>
      <c r="C3363" s="20" t="s">
        <v>12696</v>
      </c>
      <c r="D3363" s="21"/>
      <c r="E3363" s="22" t="s">
        <v>12697</v>
      </c>
      <c r="H3363" s="78"/>
      <c r="I3363" s="21"/>
      <c r="J3363" s="25"/>
      <c r="K3363" s="26" t="s">
        <v>44</v>
      </c>
      <c r="L3363" s="16"/>
      <c r="M3363" s="21"/>
    </row>
    <row r="3364">
      <c r="A3364" s="28">
        <v>46232.0</v>
      </c>
      <c r="B3364" s="16" t="s">
        <v>12698</v>
      </c>
      <c r="C3364" s="20" t="s">
        <v>12699</v>
      </c>
      <c r="D3364" s="21"/>
      <c r="E3364" s="22" t="s">
        <v>12700</v>
      </c>
      <c r="H3364" s="78"/>
      <c r="I3364" s="21"/>
      <c r="J3364" s="25"/>
      <c r="K3364" s="26" t="s">
        <v>44</v>
      </c>
      <c r="L3364" s="16"/>
      <c r="M3364" s="21"/>
    </row>
    <row r="3365">
      <c r="A3365" s="28">
        <v>46232.0</v>
      </c>
      <c r="B3365" s="16" t="s">
        <v>12701</v>
      </c>
      <c r="C3365" s="20" t="s">
        <v>12702</v>
      </c>
      <c r="D3365" s="21"/>
      <c r="E3365" s="22" t="s">
        <v>12703</v>
      </c>
      <c r="H3365" s="78"/>
      <c r="I3365" s="21"/>
      <c r="J3365" s="25"/>
      <c r="K3365" s="26" t="s">
        <v>44</v>
      </c>
      <c r="L3365" s="16"/>
      <c r="M3365" s="21"/>
    </row>
    <row r="3366">
      <c r="A3366" s="28">
        <v>46232.0</v>
      </c>
      <c r="B3366" s="16" t="s">
        <v>12704</v>
      </c>
      <c r="C3366" s="20" t="s">
        <v>12705</v>
      </c>
      <c r="D3366" s="21"/>
      <c r="E3366" s="41"/>
      <c r="H3366" s="78"/>
      <c r="I3366" s="21"/>
      <c r="J3366" s="25"/>
      <c r="K3366" s="26" t="s">
        <v>44</v>
      </c>
      <c r="L3366" s="16"/>
      <c r="M3366" s="21"/>
    </row>
    <row r="3367">
      <c r="A3367" s="28">
        <v>46232.0</v>
      </c>
      <c r="B3367" s="16" t="s">
        <v>12706</v>
      </c>
      <c r="C3367" s="20" t="s">
        <v>12707</v>
      </c>
      <c r="D3367" s="21"/>
      <c r="E3367" s="41"/>
      <c r="H3367" s="78"/>
      <c r="I3367" s="21"/>
      <c r="J3367" s="25"/>
      <c r="K3367" s="26" t="s">
        <v>44</v>
      </c>
      <c r="L3367" s="16"/>
      <c r="M3367" s="21"/>
    </row>
    <row r="3368">
      <c r="A3368" s="28">
        <v>46232.0</v>
      </c>
      <c r="B3368" s="16" t="s">
        <v>12708</v>
      </c>
      <c r="C3368" s="20" t="s">
        <v>12709</v>
      </c>
      <c r="D3368" s="21"/>
      <c r="E3368" s="22" t="s">
        <v>12710</v>
      </c>
      <c r="H3368" s="78"/>
      <c r="I3368" s="21"/>
      <c r="J3368" s="25"/>
      <c r="K3368" s="26" t="s">
        <v>44</v>
      </c>
      <c r="L3368" s="16"/>
      <c r="M3368" s="21"/>
    </row>
    <row r="3369">
      <c r="A3369" s="28">
        <v>46232.0</v>
      </c>
      <c r="B3369" s="16" t="s">
        <v>12711</v>
      </c>
      <c r="C3369" s="20" t="s">
        <v>12712</v>
      </c>
      <c r="D3369" s="21"/>
      <c r="E3369" s="22" t="s">
        <v>12713</v>
      </c>
      <c r="H3369" s="78"/>
      <c r="I3369" s="21"/>
      <c r="J3369" s="25"/>
      <c r="K3369" s="26" t="s">
        <v>44</v>
      </c>
      <c r="L3369" s="16"/>
      <c r="M3369" s="21"/>
    </row>
    <row r="3370">
      <c r="A3370" s="28">
        <v>46232.0</v>
      </c>
      <c r="B3370" s="16" t="s">
        <v>12714</v>
      </c>
      <c r="C3370" s="20" t="s">
        <v>12715</v>
      </c>
      <c r="D3370" s="21"/>
      <c r="E3370" s="22" t="s">
        <v>12716</v>
      </c>
      <c r="H3370" s="78"/>
      <c r="I3370" s="21"/>
      <c r="J3370" s="25"/>
      <c r="K3370" s="26" t="s">
        <v>44</v>
      </c>
      <c r="L3370" s="16"/>
      <c r="M3370" s="21"/>
    </row>
    <row r="3371">
      <c r="A3371" s="28">
        <v>46232.0</v>
      </c>
      <c r="B3371" s="16" t="s">
        <v>12717</v>
      </c>
      <c r="C3371" s="20" t="s">
        <v>12718</v>
      </c>
      <c r="D3371" s="21"/>
      <c r="E3371" s="22" t="s">
        <v>12719</v>
      </c>
      <c r="H3371" s="78"/>
      <c r="I3371" s="21"/>
      <c r="J3371" s="25"/>
      <c r="K3371" s="26" t="s">
        <v>44</v>
      </c>
      <c r="L3371" s="16"/>
      <c r="M3371" s="21"/>
    </row>
    <row r="3372">
      <c r="A3372" s="28">
        <v>46232.0</v>
      </c>
      <c r="B3372" s="16" t="s">
        <v>12720</v>
      </c>
      <c r="C3372" s="20" t="s">
        <v>12721</v>
      </c>
      <c r="D3372" s="21"/>
      <c r="E3372" s="22" t="s">
        <v>12722</v>
      </c>
      <c r="H3372" s="78"/>
      <c r="I3372" s="21"/>
      <c r="J3372" s="25"/>
      <c r="K3372" s="26" t="s">
        <v>44</v>
      </c>
      <c r="L3372" s="16"/>
      <c r="M3372" s="21"/>
    </row>
    <row r="3373">
      <c r="A3373" s="28">
        <v>46232.0</v>
      </c>
      <c r="B3373" s="16" t="s">
        <v>12723</v>
      </c>
      <c r="C3373" s="20" t="s">
        <v>12724</v>
      </c>
      <c r="D3373" s="21"/>
      <c r="E3373" s="41"/>
      <c r="H3373" s="78"/>
      <c r="I3373" s="21"/>
      <c r="J3373" s="25"/>
      <c r="K3373" s="26" t="s">
        <v>44</v>
      </c>
      <c r="L3373" s="16"/>
      <c r="M3373" s="21"/>
    </row>
    <row r="3374">
      <c r="A3374" s="28">
        <v>46232.0</v>
      </c>
      <c r="B3374" s="16" t="s">
        <v>12725</v>
      </c>
      <c r="C3374" s="20" t="s">
        <v>12726</v>
      </c>
      <c r="D3374" s="21"/>
      <c r="E3374" s="22" t="s">
        <v>12727</v>
      </c>
      <c r="H3374" s="78"/>
      <c r="I3374" s="21"/>
      <c r="J3374" s="25"/>
      <c r="K3374" s="26" t="s">
        <v>44</v>
      </c>
      <c r="L3374" s="16"/>
      <c r="M3374" s="21"/>
    </row>
    <row r="3375">
      <c r="A3375" s="28">
        <v>46232.0</v>
      </c>
      <c r="B3375" s="16" t="s">
        <v>12728</v>
      </c>
      <c r="C3375" s="20" t="s">
        <v>12729</v>
      </c>
      <c r="D3375" s="21"/>
      <c r="E3375" s="22" t="s">
        <v>12730</v>
      </c>
      <c r="H3375" s="78"/>
      <c r="I3375" s="21"/>
      <c r="J3375" s="25"/>
      <c r="K3375" s="26" t="s">
        <v>44</v>
      </c>
      <c r="L3375" s="16"/>
      <c r="M3375" s="21"/>
    </row>
    <row r="3376">
      <c r="A3376" s="28">
        <v>46232.0</v>
      </c>
      <c r="B3376" s="16" t="s">
        <v>12731</v>
      </c>
      <c r="C3376" s="20" t="s">
        <v>12732</v>
      </c>
      <c r="D3376" s="21"/>
      <c r="E3376" s="22" t="s">
        <v>12733</v>
      </c>
      <c r="H3376" s="78"/>
      <c r="I3376" s="21"/>
      <c r="J3376" s="25"/>
      <c r="K3376" s="26" t="s">
        <v>44</v>
      </c>
      <c r="L3376" s="16"/>
      <c r="M3376" s="21"/>
    </row>
    <row r="3377">
      <c r="A3377" s="28">
        <v>46232.0</v>
      </c>
      <c r="B3377" s="16" t="s">
        <v>12734</v>
      </c>
      <c r="C3377" s="20" t="s">
        <v>12735</v>
      </c>
      <c r="D3377" s="21"/>
      <c r="E3377" s="22" t="s">
        <v>12736</v>
      </c>
      <c r="H3377" s="78"/>
      <c r="I3377" s="21"/>
      <c r="J3377" s="25"/>
      <c r="K3377" s="26" t="s">
        <v>44</v>
      </c>
      <c r="L3377" s="16"/>
      <c r="M3377" s="21"/>
    </row>
    <row r="3378">
      <c r="A3378" s="28">
        <v>46232.0</v>
      </c>
      <c r="B3378" s="16" t="s">
        <v>12737</v>
      </c>
      <c r="C3378" s="20" t="s">
        <v>12738</v>
      </c>
      <c r="D3378" s="21"/>
      <c r="E3378" s="22" t="s">
        <v>12739</v>
      </c>
      <c r="H3378" s="78"/>
      <c r="I3378" s="21"/>
      <c r="J3378" s="25"/>
      <c r="K3378" s="26" t="s">
        <v>44</v>
      </c>
      <c r="L3378" s="16"/>
      <c r="M3378" s="21"/>
    </row>
    <row r="3379">
      <c r="A3379" s="28">
        <v>46232.0</v>
      </c>
      <c r="B3379" s="16" t="s">
        <v>12740</v>
      </c>
      <c r="C3379" s="20" t="s">
        <v>12741</v>
      </c>
      <c r="D3379" s="21"/>
      <c r="E3379" s="22" t="s">
        <v>12742</v>
      </c>
      <c r="H3379" s="78"/>
      <c r="I3379" s="21"/>
      <c r="J3379" s="25"/>
      <c r="K3379" s="26" t="s">
        <v>44</v>
      </c>
      <c r="L3379" s="16"/>
      <c r="M3379" s="21"/>
    </row>
    <row r="3380">
      <c r="A3380" s="28">
        <v>46232.0</v>
      </c>
      <c r="B3380" s="16" t="s">
        <v>12743</v>
      </c>
      <c r="C3380" s="20" t="s">
        <v>12744</v>
      </c>
      <c r="D3380" s="21"/>
      <c r="E3380" s="22" t="s">
        <v>12745</v>
      </c>
      <c r="H3380" s="78"/>
      <c r="I3380" s="21"/>
      <c r="J3380" s="25"/>
      <c r="K3380" s="26" t="s">
        <v>44</v>
      </c>
      <c r="L3380" s="16"/>
      <c r="M3380" s="21"/>
    </row>
    <row r="3381">
      <c r="A3381" s="28">
        <v>46232.0</v>
      </c>
      <c r="B3381" s="16" t="s">
        <v>12746</v>
      </c>
      <c r="C3381" s="20" t="s">
        <v>12747</v>
      </c>
      <c r="D3381" s="21"/>
      <c r="E3381" s="22" t="s">
        <v>12748</v>
      </c>
      <c r="H3381" s="78"/>
      <c r="I3381" s="21"/>
      <c r="J3381" s="25"/>
      <c r="K3381" s="26" t="s">
        <v>44</v>
      </c>
      <c r="L3381" s="16"/>
      <c r="M3381" s="21"/>
    </row>
    <row r="3382">
      <c r="A3382" s="28">
        <v>46232.0</v>
      </c>
      <c r="B3382" s="16" t="s">
        <v>12749</v>
      </c>
      <c r="C3382" s="20" t="s">
        <v>12750</v>
      </c>
      <c r="D3382" s="21"/>
      <c r="E3382" s="22" t="s">
        <v>12751</v>
      </c>
      <c r="H3382" s="78"/>
      <c r="I3382" s="21"/>
      <c r="J3382" s="25"/>
      <c r="K3382" s="26" t="s">
        <v>44</v>
      </c>
      <c r="L3382" s="16"/>
      <c r="M3382" s="21"/>
    </row>
    <row r="3383">
      <c r="A3383" s="28">
        <v>46232.0</v>
      </c>
      <c r="B3383" s="16" t="s">
        <v>12752</v>
      </c>
      <c r="C3383" s="20" t="s">
        <v>12753</v>
      </c>
      <c r="D3383" s="21"/>
      <c r="E3383" s="22" t="s">
        <v>12754</v>
      </c>
      <c r="H3383" s="78"/>
      <c r="I3383" s="21"/>
      <c r="J3383" s="25"/>
      <c r="K3383" s="26" t="s">
        <v>44</v>
      </c>
      <c r="L3383" s="16"/>
      <c r="M3383" s="21"/>
    </row>
    <row r="3384">
      <c r="A3384" s="28">
        <v>46232.0</v>
      </c>
      <c r="B3384" s="16" t="s">
        <v>12755</v>
      </c>
      <c r="C3384" s="20" t="s">
        <v>12756</v>
      </c>
      <c r="D3384" s="21"/>
      <c r="E3384" s="22" t="s">
        <v>12757</v>
      </c>
      <c r="H3384" s="78"/>
      <c r="I3384" s="21"/>
      <c r="J3384" s="25"/>
      <c r="K3384" s="26" t="s">
        <v>44</v>
      </c>
      <c r="L3384" s="16"/>
      <c r="M3384" s="21"/>
    </row>
    <row r="3385">
      <c r="A3385" s="28">
        <v>46232.0</v>
      </c>
      <c r="B3385" s="16" t="s">
        <v>12758</v>
      </c>
      <c r="C3385" s="20" t="s">
        <v>12759</v>
      </c>
      <c r="D3385" s="21"/>
      <c r="E3385" s="41"/>
      <c r="H3385" s="78"/>
      <c r="I3385" s="21"/>
      <c r="J3385" s="25"/>
      <c r="K3385" s="26" t="s">
        <v>44</v>
      </c>
      <c r="L3385" s="16"/>
      <c r="M3385" s="21"/>
    </row>
    <row r="3386">
      <c r="A3386" s="28">
        <v>46232.0</v>
      </c>
      <c r="B3386" s="16" t="s">
        <v>12760</v>
      </c>
      <c r="C3386" s="20" t="s">
        <v>12761</v>
      </c>
      <c r="D3386" s="21"/>
      <c r="E3386" s="22" t="s">
        <v>12762</v>
      </c>
      <c r="H3386" s="78"/>
      <c r="I3386" s="21"/>
      <c r="J3386" s="25"/>
      <c r="K3386" s="26" t="s">
        <v>44</v>
      </c>
      <c r="L3386" s="16"/>
      <c r="M3386" s="21"/>
    </row>
    <row r="3387">
      <c r="A3387" s="28">
        <v>46232.0</v>
      </c>
      <c r="B3387" s="16" t="s">
        <v>12763</v>
      </c>
      <c r="C3387" s="20" t="s">
        <v>12764</v>
      </c>
      <c r="D3387" s="21"/>
      <c r="E3387" s="41"/>
      <c r="H3387" s="78"/>
      <c r="I3387" s="21"/>
      <c r="J3387" s="25"/>
      <c r="K3387" s="26" t="s">
        <v>44</v>
      </c>
      <c r="L3387" s="16"/>
      <c r="M3387" s="21"/>
    </row>
    <row r="3388">
      <c r="A3388" s="28">
        <v>46232.0</v>
      </c>
      <c r="B3388" s="16" t="s">
        <v>12765</v>
      </c>
      <c r="C3388" s="20" t="s">
        <v>12766</v>
      </c>
      <c r="D3388" s="21"/>
      <c r="E3388" s="41"/>
      <c r="H3388" s="78"/>
      <c r="I3388" s="21"/>
      <c r="J3388" s="25"/>
      <c r="K3388" s="26" t="s">
        <v>44</v>
      </c>
      <c r="L3388" s="16"/>
      <c r="M3388" s="21"/>
    </row>
    <row r="3389">
      <c r="A3389" s="28">
        <v>46232.0</v>
      </c>
      <c r="B3389" s="16" t="s">
        <v>12767</v>
      </c>
      <c r="C3389" s="20" t="s">
        <v>12768</v>
      </c>
      <c r="D3389" s="21"/>
      <c r="E3389" s="22" t="s">
        <v>12769</v>
      </c>
      <c r="H3389" s="78"/>
      <c r="I3389" s="21"/>
      <c r="J3389" s="25"/>
      <c r="K3389" s="26" t="s">
        <v>44</v>
      </c>
      <c r="L3389" s="16"/>
      <c r="M3389" s="21"/>
    </row>
    <row r="3390">
      <c r="A3390" s="28">
        <v>46232.0</v>
      </c>
      <c r="B3390" s="16" t="s">
        <v>12770</v>
      </c>
      <c r="C3390" s="20" t="s">
        <v>12771</v>
      </c>
      <c r="D3390" s="21"/>
      <c r="E3390" s="41"/>
      <c r="H3390" s="78"/>
      <c r="I3390" s="21"/>
      <c r="J3390" s="25"/>
      <c r="K3390" s="26" t="s">
        <v>44</v>
      </c>
      <c r="L3390" s="16"/>
      <c r="M3390" s="21"/>
    </row>
    <row r="3391">
      <c r="A3391" s="28">
        <v>46232.0</v>
      </c>
      <c r="B3391" s="16" t="s">
        <v>12772</v>
      </c>
      <c r="C3391" s="20" t="s">
        <v>12773</v>
      </c>
      <c r="D3391" s="21"/>
      <c r="E3391" s="22" t="s">
        <v>12774</v>
      </c>
      <c r="H3391" s="78"/>
      <c r="I3391" s="21"/>
      <c r="J3391" s="25"/>
      <c r="K3391" s="26" t="s">
        <v>44</v>
      </c>
      <c r="L3391" s="16"/>
      <c r="M3391" s="21"/>
    </row>
    <row r="3392">
      <c r="A3392" s="28">
        <v>46232.0</v>
      </c>
      <c r="B3392" s="16" t="s">
        <v>12775</v>
      </c>
      <c r="C3392" s="20" t="s">
        <v>12776</v>
      </c>
      <c r="D3392" s="21"/>
      <c r="E3392" s="41"/>
      <c r="H3392" s="78"/>
      <c r="I3392" s="21"/>
      <c r="J3392" s="25"/>
      <c r="K3392" s="26" t="s">
        <v>44</v>
      </c>
      <c r="L3392" s="16"/>
      <c r="M3392" s="21"/>
    </row>
    <row r="3393">
      <c r="A3393" s="28">
        <v>46232.0</v>
      </c>
      <c r="B3393" s="16" t="s">
        <v>12777</v>
      </c>
      <c r="C3393" s="20" t="s">
        <v>12778</v>
      </c>
      <c r="D3393" s="21"/>
      <c r="E3393" s="22" t="s">
        <v>12779</v>
      </c>
      <c r="H3393" s="78"/>
      <c r="I3393" s="21"/>
      <c r="J3393" s="25"/>
      <c r="K3393" s="26" t="s">
        <v>44</v>
      </c>
      <c r="L3393" s="16"/>
      <c r="M3393" s="21"/>
    </row>
    <row r="3394">
      <c r="A3394" s="28">
        <v>46232.0</v>
      </c>
      <c r="B3394" s="16" t="s">
        <v>12780</v>
      </c>
      <c r="C3394" s="20" t="s">
        <v>12781</v>
      </c>
      <c r="D3394" s="21"/>
      <c r="E3394" s="22" t="s">
        <v>12782</v>
      </c>
      <c r="H3394" s="78"/>
      <c r="I3394" s="21"/>
      <c r="J3394" s="25"/>
      <c r="K3394" s="26" t="s">
        <v>44</v>
      </c>
      <c r="L3394" s="16"/>
      <c r="M3394" s="21"/>
    </row>
    <row r="3395">
      <c r="A3395" s="28">
        <v>46232.0</v>
      </c>
      <c r="B3395" s="16" t="s">
        <v>12783</v>
      </c>
      <c r="C3395" s="20" t="s">
        <v>12784</v>
      </c>
      <c r="D3395" s="21"/>
      <c r="E3395" s="22" t="s">
        <v>12785</v>
      </c>
      <c r="H3395" s="78"/>
      <c r="I3395" s="21"/>
      <c r="J3395" s="25"/>
      <c r="K3395" s="26" t="s">
        <v>44</v>
      </c>
      <c r="L3395" s="16"/>
      <c r="M3395" s="21"/>
    </row>
    <row r="3396">
      <c r="A3396" s="28">
        <v>46232.0</v>
      </c>
      <c r="B3396" s="16" t="s">
        <v>12786</v>
      </c>
      <c r="C3396" s="20" t="s">
        <v>12787</v>
      </c>
      <c r="D3396" s="21"/>
      <c r="E3396" s="22" t="s">
        <v>12788</v>
      </c>
      <c r="H3396" s="78"/>
      <c r="I3396" s="21"/>
      <c r="J3396" s="25"/>
      <c r="K3396" s="26" t="s">
        <v>44</v>
      </c>
      <c r="L3396" s="16"/>
      <c r="M3396" s="21"/>
    </row>
    <row r="3397">
      <c r="A3397" s="28">
        <v>46232.0</v>
      </c>
      <c r="B3397" s="16" t="s">
        <v>12789</v>
      </c>
      <c r="C3397" s="20" t="s">
        <v>12790</v>
      </c>
      <c r="D3397" s="21"/>
      <c r="E3397" s="22" t="s">
        <v>12791</v>
      </c>
      <c r="H3397" s="78"/>
      <c r="I3397" s="21"/>
      <c r="J3397" s="25"/>
      <c r="K3397" s="26" t="s">
        <v>44</v>
      </c>
      <c r="L3397" s="16"/>
      <c r="M3397" s="21"/>
    </row>
    <row r="3398">
      <c r="A3398" s="28">
        <v>46232.0</v>
      </c>
      <c r="B3398" s="16" t="s">
        <v>12792</v>
      </c>
      <c r="C3398" s="20" t="s">
        <v>12793</v>
      </c>
      <c r="D3398" s="21"/>
      <c r="E3398" s="22" t="s">
        <v>12794</v>
      </c>
      <c r="H3398" s="78"/>
      <c r="I3398" s="21"/>
      <c r="J3398" s="25"/>
      <c r="K3398" s="26" t="s">
        <v>44</v>
      </c>
      <c r="L3398" s="16"/>
      <c r="M3398" s="21"/>
    </row>
    <row r="3399">
      <c r="A3399" s="28">
        <v>46232.0</v>
      </c>
      <c r="B3399" s="16" t="s">
        <v>12795</v>
      </c>
      <c r="C3399" s="20" t="s">
        <v>12796</v>
      </c>
      <c r="D3399" s="21"/>
      <c r="E3399" s="22" t="s">
        <v>12797</v>
      </c>
      <c r="H3399" s="78"/>
      <c r="I3399" s="21"/>
      <c r="J3399" s="25"/>
      <c r="K3399" s="26" t="s">
        <v>44</v>
      </c>
      <c r="L3399" s="16"/>
      <c r="M3399" s="21"/>
    </row>
    <row r="3400">
      <c r="A3400" s="28">
        <v>46232.0</v>
      </c>
      <c r="B3400" s="16" t="s">
        <v>12798</v>
      </c>
      <c r="C3400" s="20" t="s">
        <v>12799</v>
      </c>
      <c r="D3400" s="21"/>
      <c r="E3400" s="22" t="s">
        <v>12800</v>
      </c>
      <c r="H3400" s="78"/>
      <c r="I3400" s="21"/>
      <c r="J3400" s="25"/>
      <c r="K3400" s="26" t="s">
        <v>44</v>
      </c>
      <c r="L3400" s="16"/>
      <c r="M3400" s="21"/>
    </row>
    <row r="3401">
      <c r="A3401" s="28">
        <v>46232.0</v>
      </c>
      <c r="B3401" s="16" t="s">
        <v>12801</v>
      </c>
      <c r="C3401" s="20" t="s">
        <v>12802</v>
      </c>
      <c r="D3401" s="21"/>
      <c r="E3401" s="22" t="s">
        <v>12803</v>
      </c>
      <c r="H3401" s="78"/>
      <c r="I3401" s="21"/>
      <c r="J3401" s="25"/>
      <c r="K3401" s="26" t="s">
        <v>44</v>
      </c>
      <c r="L3401" s="16"/>
      <c r="M3401" s="21"/>
    </row>
    <row r="3402">
      <c r="A3402" s="28">
        <v>46232.0</v>
      </c>
      <c r="B3402" s="16" t="s">
        <v>12804</v>
      </c>
      <c r="C3402" s="20" t="s">
        <v>12805</v>
      </c>
      <c r="D3402" s="21"/>
      <c r="E3402" s="22" t="s">
        <v>12806</v>
      </c>
      <c r="H3402" s="78"/>
      <c r="I3402" s="21"/>
      <c r="J3402" s="25"/>
      <c r="K3402" s="26" t="s">
        <v>44</v>
      </c>
      <c r="L3402" s="16"/>
      <c r="M3402" s="21"/>
    </row>
    <row r="3403">
      <c r="A3403" s="28">
        <v>46232.0</v>
      </c>
      <c r="B3403" s="16" t="s">
        <v>12807</v>
      </c>
      <c r="C3403" s="20" t="s">
        <v>12808</v>
      </c>
      <c r="D3403" s="21"/>
      <c r="E3403" s="22" t="s">
        <v>12809</v>
      </c>
      <c r="H3403" s="78"/>
      <c r="I3403" s="21"/>
      <c r="J3403" s="25"/>
      <c r="K3403" s="26" t="s">
        <v>44</v>
      </c>
      <c r="L3403" s="16"/>
      <c r="M3403" s="21"/>
    </row>
    <row r="3404">
      <c r="A3404" s="28">
        <v>46232.0</v>
      </c>
      <c r="B3404" s="16" t="s">
        <v>12810</v>
      </c>
      <c r="C3404" s="20" t="s">
        <v>12811</v>
      </c>
      <c r="D3404" s="21"/>
      <c r="E3404" s="22" t="s">
        <v>12812</v>
      </c>
      <c r="H3404" s="78"/>
      <c r="I3404" s="21"/>
      <c r="J3404" s="25"/>
      <c r="K3404" s="26" t="s">
        <v>44</v>
      </c>
      <c r="L3404" s="16"/>
      <c r="M3404" s="21"/>
    </row>
    <row r="3405">
      <c r="A3405" s="28">
        <v>46232.0</v>
      </c>
      <c r="B3405" s="16" t="s">
        <v>12813</v>
      </c>
      <c r="C3405" s="20" t="s">
        <v>12814</v>
      </c>
      <c r="D3405" s="21"/>
      <c r="E3405" s="22" t="s">
        <v>12815</v>
      </c>
      <c r="H3405" s="78"/>
      <c r="I3405" s="21"/>
      <c r="J3405" s="25"/>
      <c r="K3405" s="26" t="s">
        <v>44</v>
      </c>
      <c r="L3405" s="16"/>
      <c r="M3405" s="21"/>
    </row>
    <row r="3406">
      <c r="A3406" s="28">
        <v>46232.0</v>
      </c>
      <c r="B3406" s="16" t="s">
        <v>12816</v>
      </c>
      <c r="C3406" s="20" t="s">
        <v>12817</v>
      </c>
      <c r="D3406" s="21"/>
      <c r="E3406" s="41"/>
      <c r="H3406" s="78"/>
      <c r="I3406" s="21"/>
      <c r="J3406" s="25"/>
      <c r="K3406" s="26" t="s">
        <v>44</v>
      </c>
      <c r="L3406" s="16"/>
      <c r="M3406" s="21"/>
    </row>
    <row r="3407">
      <c r="A3407" s="28">
        <v>46232.0</v>
      </c>
      <c r="B3407" s="16" t="s">
        <v>12818</v>
      </c>
      <c r="C3407" s="20" t="s">
        <v>12819</v>
      </c>
      <c r="D3407" s="21"/>
      <c r="E3407" s="22" t="s">
        <v>12820</v>
      </c>
      <c r="H3407" s="78"/>
      <c r="I3407" s="21"/>
      <c r="J3407" s="25"/>
      <c r="K3407" s="26" t="s">
        <v>44</v>
      </c>
      <c r="L3407" s="16"/>
      <c r="M3407" s="21"/>
    </row>
    <row r="3408">
      <c r="A3408" s="28">
        <v>46232.0</v>
      </c>
      <c r="B3408" s="16" t="s">
        <v>12821</v>
      </c>
      <c r="C3408" s="20" t="s">
        <v>12822</v>
      </c>
      <c r="D3408" s="21"/>
      <c r="E3408" s="22" t="s">
        <v>12823</v>
      </c>
      <c r="H3408" s="78"/>
      <c r="I3408" s="21"/>
      <c r="J3408" s="25"/>
      <c r="K3408" s="26" t="s">
        <v>44</v>
      </c>
      <c r="L3408" s="16"/>
      <c r="M3408" s="21"/>
    </row>
    <row r="3409">
      <c r="A3409" s="28">
        <v>46232.0</v>
      </c>
      <c r="B3409" s="16" t="s">
        <v>12824</v>
      </c>
      <c r="C3409" s="20" t="s">
        <v>12825</v>
      </c>
      <c r="D3409" s="21"/>
      <c r="E3409" s="22" t="s">
        <v>12826</v>
      </c>
      <c r="H3409" s="78"/>
      <c r="I3409" s="21"/>
      <c r="J3409" s="25"/>
      <c r="K3409" s="26" t="s">
        <v>44</v>
      </c>
      <c r="L3409" s="16"/>
      <c r="M3409" s="21"/>
    </row>
    <row r="3410">
      <c r="A3410" s="28">
        <v>46232.0</v>
      </c>
      <c r="B3410" s="16" t="s">
        <v>12827</v>
      </c>
      <c r="C3410" s="20" t="s">
        <v>12828</v>
      </c>
      <c r="D3410" s="21"/>
      <c r="E3410" s="22" t="s">
        <v>12829</v>
      </c>
      <c r="H3410" s="78"/>
      <c r="I3410" s="21"/>
      <c r="J3410" s="25"/>
      <c r="K3410" s="26" t="s">
        <v>44</v>
      </c>
      <c r="L3410" s="16"/>
      <c r="M3410" s="21"/>
    </row>
    <row r="3411">
      <c r="A3411" s="28">
        <v>46232.0</v>
      </c>
      <c r="B3411" s="16" t="s">
        <v>12830</v>
      </c>
      <c r="C3411" s="20" t="s">
        <v>12831</v>
      </c>
      <c r="D3411" s="21"/>
      <c r="E3411" s="41"/>
      <c r="H3411" s="78"/>
      <c r="I3411" s="21"/>
      <c r="J3411" s="25"/>
      <c r="K3411" s="26" t="s">
        <v>44</v>
      </c>
      <c r="L3411" s="16"/>
      <c r="M3411" s="21"/>
    </row>
    <row r="3412">
      <c r="A3412" s="28">
        <v>46232.0</v>
      </c>
      <c r="B3412" s="16" t="s">
        <v>12832</v>
      </c>
      <c r="C3412" s="20" t="s">
        <v>12833</v>
      </c>
      <c r="D3412" s="21"/>
      <c r="E3412" s="22" t="s">
        <v>12834</v>
      </c>
      <c r="H3412" s="78"/>
      <c r="I3412" s="21"/>
      <c r="J3412" s="25"/>
      <c r="K3412" s="26" t="s">
        <v>44</v>
      </c>
      <c r="L3412" s="16"/>
      <c r="M3412" s="21"/>
    </row>
    <row r="3413">
      <c r="A3413" s="28">
        <v>46232.0</v>
      </c>
      <c r="B3413" s="16" t="s">
        <v>12835</v>
      </c>
      <c r="C3413" s="20" t="s">
        <v>12836</v>
      </c>
      <c r="D3413" s="21"/>
      <c r="E3413" s="22" t="s">
        <v>12837</v>
      </c>
      <c r="H3413" s="78"/>
      <c r="I3413" s="21"/>
      <c r="J3413" s="25"/>
      <c r="K3413" s="26" t="s">
        <v>44</v>
      </c>
      <c r="L3413" s="16"/>
      <c r="M3413" s="21"/>
    </row>
    <row r="3414">
      <c r="A3414" s="28">
        <v>46232.0</v>
      </c>
      <c r="B3414" s="16" t="s">
        <v>12838</v>
      </c>
      <c r="C3414" s="20" t="s">
        <v>12839</v>
      </c>
      <c r="D3414" s="21"/>
      <c r="E3414" s="22" t="s">
        <v>12840</v>
      </c>
      <c r="H3414" s="78"/>
      <c r="I3414" s="21"/>
      <c r="J3414" s="25"/>
      <c r="K3414" s="26" t="s">
        <v>44</v>
      </c>
      <c r="L3414" s="16"/>
      <c r="M3414" s="21"/>
    </row>
    <row r="3415">
      <c r="A3415" s="28">
        <v>46232.0</v>
      </c>
      <c r="B3415" s="16" t="s">
        <v>12841</v>
      </c>
      <c r="C3415" s="20" t="s">
        <v>12842</v>
      </c>
      <c r="D3415" s="21"/>
      <c r="E3415" s="22" t="s">
        <v>12843</v>
      </c>
      <c r="H3415" s="78"/>
      <c r="I3415" s="21"/>
      <c r="J3415" s="25"/>
      <c r="K3415" s="26" t="s">
        <v>44</v>
      </c>
      <c r="L3415" s="16"/>
      <c r="M3415" s="21"/>
    </row>
    <row r="3416">
      <c r="A3416" s="28">
        <v>46232.0</v>
      </c>
      <c r="B3416" s="16" t="s">
        <v>12844</v>
      </c>
      <c r="C3416" s="20" t="s">
        <v>12845</v>
      </c>
      <c r="D3416" s="21"/>
      <c r="E3416" s="22" t="s">
        <v>12846</v>
      </c>
      <c r="H3416" s="78"/>
      <c r="I3416" s="21"/>
      <c r="J3416" s="25"/>
      <c r="K3416" s="26" t="s">
        <v>44</v>
      </c>
      <c r="L3416" s="16"/>
      <c r="M3416" s="21"/>
    </row>
    <row r="3417">
      <c r="A3417" s="28">
        <v>46232.0</v>
      </c>
      <c r="B3417" s="16" t="s">
        <v>12847</v>
      </c>
      <c r="C3417" s="20" t="s">
        <v>12848</v>
      </c>
      <c r="D3417" s="21"/>
      <c r="E3417" s="41"/>
      <c r="H3417" s="78"/>
      <c r="I3417" s="21"/>
      <c r="J3417" s="25"/>
      <c r="K3417" s="26" t="s">
        <v>44</v>
      </c>
      <c r="L3417" s="16"/>
      <c r="M3417" s="21"/>
    </row>
    <row r="3418">
      <c r="A3418" s="28">
        <v>46232.0</v>
      </c>
      <c r="B3418" s="16" t="s">
        <v>12849</v>
      </c>
      <c r="C3418" s="20" t="s">
        <v>12850</v>
      </c>
      <c r="D3418" s="21"/>
      <c r="E3418" s="22" t="s">
        <v>12851</v>
      </c>
      <c r="H3418" s="78"/>
      <c r="I3418" s="21"/>
      <c r="J3418" s="25"/>
      <c r="K3418" s="26" t="s">
        <v>44</v>
      </c>
      <c r="L3418" s="16"/>
      <c r="M3418" s="21"/>
    </row>
    <row r="3419">
      <c r="A3419" s="28">
        <v>46232.0</v>
      </c>
      <c r="B3419" s="16" t="s">
        <v>12852</v>
      </c>
      <c r="C3419" s="20" t="s">
        <v>12853</v>
      </c>
      <c r="D3419" s="21"/>
      <c r="E3419" s="22" t="s">
        <v>12854</v>
      </c>
      <c r="H3419" s="78"/>
      <c r="I3419" s="21"/>
      <c r="J3419" s="25"/>
      <c r="K3419" s="26" t="s">
        <v>44</v>
      </c>
      <c r="L3419" s="16"/>
      <c r="M3419" s="21"/>
    </row>
    <row r="3420">
      <c r="A3420" s="28">
        <v>46232.0</v>
      </c>
      <c r="B3420" s="16" t="s">
        <v>12855</v>
      </c>
      <c r="C3420" s="20" t="s">
        <v>12856</v>
      </c>
      <c r="D3420" s="21"/>
      <c r="E3420" s="22" t="s">
        <v>12857</v>
      </c>
      <c r="H3420" s="78"/>
      <c r="I3420" s="21"/>
      <c r="J3420" s="25"/>
      <c r="K3420" s="26" t="s">
        <v>44</v>
      </c>
      <c r="L3420" s="16"/>
      <c r="M3420" s="21"/>
    </row>
    <row r="3421">
      <c r="A3421" s="28">
        <v>46232.0</v>
      </c>
      <c r="B3421" s="16" t="s">
        <v>12858</v>
      </c>
      <c r="C3421" s="20" t="s">
        <v>12859</v>
      </c>
      <c r="D3421" s="21"/>
      <c r="E3421" s="41"/>
      <c r="H3421" s="78"/>
      <c r="I3421" s="21"/>
      <c r="J3421" s="25"/>
      <c r="K3421" s="26" t="s">
        <v>44</v>
      </c>
      <c r="L3421" s="16"/>
      <c r="M3421" s="21"/>
    </row>
    <row r="3422">
      <c r="A3422" s="28">
        <v>46232.0</v>
      </c>
      <c r="B3422" s="16" t="s">
        <v>12860</v>
      </c>
      <c r="C3422" s="20" t="s">
        <v>636</v>
      </c>
      <c r="D3422" s="21"/>
      <c r="E3422" s="22" t="s">
        <v>12861</v>
      </c>
      <c r="H3422" s="23" t="s">
        <v>47</v>
      </c>
      <c r="I3422" s="21"/>
      <c r="J3422" s="25"/>
      <c r="K3422" s="26" t="s">
        <v>44</v>
      </c>
      <c r="L3422" s="16"/>
      <c r="M3422" s="21"/>
    </row>
    <row r="3423">
      <c r="A3423" s="28">
        <v>46232.0</v>
      </c>
      <c r="B3423" s="16" t="s">
        <v>12862</v>
      </c>
      <c r="C3423" s="20" t="s">
        <v>12863</v>
      </c>
      <c r="D3423" s="21"/>
      <c r="E3423" s="22" t="s">
        <v>12864</v>
      </c>
      <c r="H3423" s="78"/>
      <c r="I3423" s="21"/>
      <c r="J3423" s="25"/>
      <c r="K3423" s="26" t="s">
        <v>44</v>
      </c>
      <c r="L3423" s="16"/>
      <c r="M3423" s="21"/>
    </row>
    <row r="3424">
      <c r="A3424" s="28">
        <v>46232.0</v>
      </c>
      <c r="B3424" s="16" t="s">
        <v>12865</v>
      </c>
      <c r="C3424" s="20" t="s">
        <v>12866</v>
      </c>
      <c r="D3424" s="21"/>
      <c r="E3424" s="22" t="s">
        <v>12867</v>
      </c>
      <c r="H3424" s="78"/>
      <c r="I3424" s="21"/>
      <c r="J3424" s="25"/>
      <c r="K3424" s="26" t="s">
        <v>44</v>
      </c>
      <c r="L3424" s="16"/>
      <c r="M3424" s="21"/>
    </row>
    <row r="3425">
      <c r="A3425" s="28">
        <v>46232.0</v>
      </c>
      <c r="B3425" s="16" t="s">
        <v>12868</v>
      </c>
      <c r="C3425" s="20" t="s">
        <v>12869</v>
      </c>
      <c r="D3425" s="21"/>
      <c r="E3425" s="41"/>
      <c r="H3425" s="78"/>
      <c r="I3425" s="21"/>
      <c r="J3425" s="25"/>
      <c r="K3425" s="26" t="s">
        <v>44</v>
      </c>
      <c r="L3425" s="16"/>
      <c r="M3425" s="21"/>
    </row>
    <row r="3426">
      <c r="A3426" s="28">
        <v>46232.0</v>
      </c>
      <c r="B3426" s="16" t="s">
        <v>12870</v>
      </c>
      <c r="C3426" s="20" t="s">
        <v>12871</v>
      </c>
      <c r="D3426" s="21"/>
      <c r="E3426" s="22" t="s">
        <v>12872</v>
      </c>
      <c r="H3426" s="78"/>
      <c r="I3426" s="21"/>
      <c r="J3426" s="25"/>
      <c r="K3426" s="26" t="s">
        <v>44</v>
      </c>
      <c r="L3426" s="16"/>
      <c r="M3426" s="21"/>
    </row>
    <row r="3427">
      <c r="A3427" s="28">
        <v>46232.0</v>
      </c>
      <c r="B3427" s="16" t="s">
        <v>12873</v>
      </c>
      <c r="C3427" s="20" t="s">
        <v>12874</v>
      </c>
      <c r="D3427" s="21"/>
      <c r="E3427" s="22" t="s">
        <v>12875</v>
      </c>
      <c r="H3427" s="78"/>
      <c r="I3427" s="21"/>
      <c r="J3427" s="25"/>
      <c r="K3427" s="26" t="s">
        <v>44</v>
      </c>
      <c r="L3427" s="16"/>
      <c r="M3427" s="21"/>
    </row>
    <row r="3428">
      <c r="A3428" s="28">
        <v>46232.0</v>
      </c>
      <c r="B3428" s="16" t="s">
        <v>12876</v>
      </c>
      <c r="C3428" s="20" t="s">
        <v>12877</v>
      </c>
      <c r="D3428" s="21"/>
      <c r="E3428" s="22" t="s">
        <v>12878</v>
      </c>
      <c r="H3428" s="78"/>
      <c r="I3428" s="21"/>
      <c r="J3428" s="25"/>
      <c r="K3428" s="26" t="s">
        <v>44</v>
      </c>
      <c r="L3428" s="16"/>
      <c r="M3428" s="21"/>
    </row>
    <row r="3429">
      <c r="A3429" s="28">
        <v>46232.0</v>
      </c>
      <c r="B3429" s="16" t="s">
        <v>12879</v>
      </c>
      <c r="C3429" s="20" t="s">
        <v>12880</v>
      </c>
      <c r="D3429" s="21"/>
      <c r="E3429" s="22" t="s">
        <v>12881</v>
      </c>
      <c r="H3429" s="78"/>
      <c r="I3429" s="21"/>
      <c r="J3429" s="25"/>
      <c r="K3429" s="26" t="s">
        <v>44</v>
      </c>
      <c r="L3429" s="16"/>
      <c r="M3429" s="21"/>
    </row>
    <row r="3430">
      <c r="A3430" s="28">
        <v>46232.0</v>
      </c>
      <c r="B3430" s="16" t="s">
        <v>12882</v>
      </c>
      <c r="C3430" s="20" t="s">
        <v>12883</v>
      </c>
      <c r="D3430" s="21"/>
      <c r="E3430" s="22" t="s">
        <v>12884</v>
      </c>
      <c r="H3430" s="78"/>
      <c r="I3430" s="21"/>
      <c r="J3430" s="25"/>
      <c r="K3430" s="26" t="s">
        <v>44</v>
      </c>
      <c r="L3430" s="16"/>
      <c r="M3430" s="21"/>
    </row>
    <row r="3431">
      <c r="A3431" s="28">
        <v>46232.0</v>
      </c>
      <c r="B3431" s="16" t="s">
        <v>12885</v>
      </c>
      <c r="C3431" s="20" t="s">
        <v>12886</v>
      </c>
      <c r="D3431" s="21"/>
      <c r="E3431" s="22" t="s">
        <v>12887</v>
      </c>
      <c r="H3431" s="78"/>
      <c r="I3431" s="21"/>
      <c r="J3431" s="25"/>
      <c r="K3431" s="26" t="s">
        <v>44</v>
      </c>
      <c r="L3431" s="16"/>
      <c r="M3431" s="21"/>
    </row>
    <row r="3432">
      <c r="A3432" s="28">
        <v>46232.0</v>
      </c>
      <c r="B3432" s="16" t="s">
        <v>12888</v>
      </c>
      <c r="C3432" s="20" t="s">
        <v>12889</v>
      </c>
      <c r="D3432" s="21"/>
      <c r="E3432" s="22" t="s">
        <v>12890</v>
      </c>
      <c r="H3432" s="78"/>
      <c r="I3432" s="21"/>
      <c r="J3432" s="25"/>
      <c r="K3432" s="26" t="s">
        <v>44</v>
      </c>
      <c r="L3432" s="16"/>
      <c r="M3432" s="21"/>
    </row>
    <row r="3433">
      <c r="A3433" s="28">
        <v>46232.0</v>
      </c>
      <c r="B3433" s="16" t="s">
        <v>12891</v>
      </c>
      <c r="C3433" s="20" t="s">
        <v>12892</v>
      </c>
      <c r="D3433" s="21"/>
      <c r="E3433" s="22" t="s">
        <v>12893</v>
      </c>
      <c r="H3433" s="78"/>
      <c r="I3433" s="21"/>
      <c r="J3433" s="25"/>
      <c r="K3433" s="26" t="s">
        <v>44</v>
      </c>
      <c r="L3433" s="16"/>
      <c r="M3433" s="21"/>
    </row>
    <row r="3434">
      <c r="A3434" s="28">
        <v>46232.0</v>
      </c>
      <c r="B3434" s="16" t="s">
        <v>12894</v>
      </c>
      <c r="C3434" s="20" t="s">
        <v>12895</v>
      </c>
      <c r="D3434" s="21"/>
      <c r="E3434" s="22" t="s">
        <v>12896</v>
      </c>
      <c r="H3434" s="78"/>
      <c r="I3434" s="21"/>
      <c r="J3434" s="25"/>
      <c r="K3434" s="26" t="s">
        <v>44</v>
      </c>
      <c r="L3434" s="16"/>
      <c r="M3434" s="21"/>
    </row>
    <row r="3435">
      <c r="A3435" s="28">
        <v>46232.0</v>
      </c>
      <c r="B3435" s="16" t="s">
        <v>12897</v>
      </c>
      <c r="C3435" s="20" t="s">
        <v>12898</v>
      </c>
      <c r="D3435" s="21"/>
      <c r="E3435" s="22" t="s">
        <v>12899</v>
      </c>
      <c r="H3435" s="78"/>
      <c r="I3435" s="21"/>
      <c r="J3435" s="25"/>
      <c r="K3435" s="26" t="s">
        <v>44</v>
      </c>
      <c r="L3435" s="16"/>
      <c r="M3435" s="21"/>
    </row>
    <row r="3436">
      <c r="A3436" s="28">
        <v>46232.0</v>
      </c>
      <c r="B3436" s="16" t="s">
        <v>12900</v>
      </c>
      <c r="C3436" s="20" t="s">
        <v>12901</v>
      </c>
      <c r="D3436" s="21"/>
      <c r="E3436" s="22" t="s">
        <v>12902</v>
      </c>
      <c r="H3436" s="78"/>
      <c r="I3436" s="21"/>
      <c r="J3436" s="25"/>
      <c r="K3436" s="26" t="s">
        <v>44</v>
      </c>
      <c r="L3436" s="16"/>
      <c r="M3436" s="21"/>
    </row>
    <row r="3437">
      <c r="A3437" s="28">
        <v>46232.0</v>
      </c>
      <c r="B3437" s="16" t="s">
        <v>12903</v>
      </c>
      <c r="C3437" s="20" t="s">
        <v>12904</v>
      </c>
      <c r="D3437" s="21"/>
      <c r="E3437" s="22" t="s">
        <v>12905</v>
      </c>
      <c r="H3437" s="78"/>
      <c r="I3437" s="21"/>
      <c r="J3437" s="25"/>
      <c r="K3437" s="26" t="s">
        <v>44</v>
      </c>
      <c r="L3437" s="16"/>
      <c r="M3437" s="21"/>
    </row>
    <row r="3438">
      <c r="A3438" s="28">
        <v>46232.0</v>
      </c>
      <c r="B3438" s="16" t="s">
        <v>12906</v>
      </c>
      <c r="C3438" s="20" t="s">
        <v>12907</v>
      </c>
      <c r="D3438" s="21"/>
      <c r="E3438" s="22" t="s">
        <v>12908</v>
      </c>
      <c r="H3438" s="78"/>
      <c r="I3438" s="21"/>
      <c r="J3438" s="25"/>
      <c r="K3438" s="26" t="s">
        <v>44</v>
      </c>
      <c r="L3438" s="16"/>
      <c r="M3438" s="21"/>
    </row>
    <row r="3439">
      <c r="A3439" s="28">
        <v>46232.0</v>
      </c>
      <c r="B3439" s="16" t="s">
        <v>12909</v>
      </c>
      <c r="C3439" s="20" t="s">
        <v>12910</v>
      </c>
      <c r="D3439" s="21"/>
      <c r="E3439" s="22" t="s">
        <v>12911</v>
      </c>
      <c r="H3439" s="78"/>
      <c r="I3439" s="21"/>
      <c r="J3439" s="25"/>
      <c r="K3439" s="26" t="s">
        <v>44</v>
      </c>
      <c r="L3439" s="16"/>
      <c r="M3439" s="21"/>
    </row>
    <row r="3440">
      <c r="A3440" s="28">
        <v>46232.0</v>
      </c>
      <c r="B3440" s="16" t="s">
        <v>12912</v>
      </c>
      <c r="C3440" s="20" t="s">
        <v>12913</v>
      </c>
      <c r="D3440" s="21"/>
      <c r="E3440" s="22" t="s">
        <v>12914</v>
      </c>
      <c r="H3440" s="78"/>
      <c r="I3440" s="21"/>
      <c r="J3440" s="25"/>
      <c r="K3440" s="26" t="s">
        <v>44</v>
      </c>
      <c r="L3440" s="16"/>
      <c r="M3440" s="21"/>
    </row>
    <row r="3441">
      <c r="A3441" s="28">
        <v>46232.0</v>
      </c>
      <c r="B3441" s="16" t="s">
        <v>12915</v>
      </c>
      <c r="C3441" s="20" t="s">
        <v>12916</v>
      </c>
      <c r="D3441" s="21"/>
      <c r="E3441" s="22" t="s">
        <v>12917</v>
      </c>
      <c r="H3441" s="78"/>
      <c r="I3441" s="21"/>
      <c r="J3441" s="25"/>
      <c r="K3441" s="26" t="s">
        <v>44</v>
      </c>
      <c r="L3441" s="16"/>
      <c r="M3441" s="21"/>
    </row>
    <row r="3442">
      <c r="A3442" s="28">
        <v>46232.0</v>
      </c>
      <c r="B3442" s="16" t="s">
        <v>12918</v>
      </c>
      <c r="C3442" s="20" t="s">
        <v>12919</v>
      </c>
      <c r="D3442" s="21"/>
      <c r="E3442" s="22" t="s">
        <v>12920</v>
      </c>
      <c r="H3442" s="78"/>
      <c r="I3442" s="21"/>
      <c r="J3442" s="25"/>
      <c r="K3442" s="26" t="s">
        <v>44</v>
      </c>
      <c r="L3442" s="16"/>
      <c r="M3442" s="21"/>
    </row>
    <row r="3443">
      <c r="A3443" s="28">
        <v>46232.0</v>
      </c>
      <c r="B3443" s="16" t="s">
        <v>12921</v>
      </c>
      <c r="C3443" s="20" t="s">
        <v>12922</v>
      </c>
      <c r="D3443" s="21"/>
      <c r="E3443" s="22" t="s">
        <v>12923</v>
      </c>
      <c r="H3443" s="78"/>
      <c r="I3443" s="21"/>
      <c r="J3443" s="25"/>
      <c r="K3443" s="26" t="s">
        <v>44</v>
      </c>
      <c r="L3443" s="16"/>
      <c r="M3443" s="21"/>
    </row>
    <row r="3444">
      <c r="A3444" s="28">
        <v>46232.0</v>
      </c>
      <c r="B3444" s="16" t="s">
        <v>12924</v>
      </c>
      <c r="C3444" s="20" t="s">
        <v>12925</v>
      </c>
      <c r="D3444" s="21"/>
      <c r="E3444" s="22" t="s">
        <v>12926</v>
      </c>
      <c r="H3444" s="78"/>
      <c r="I3444" s="21"/>
      <c r="J3444" s="25"/>
      <c r="K3444" s="26" t="s">
        <v>44</v>
      </c>
      <c r="L3444" s="16"/>
      <c r="M3444" s="21"/>
    </row>
    <row r="3445">
      <c r="A3445" s="28">
        <v>46232.0</v>
      </c>
      <c r="B3445" s="16" t="s">
        <v>12927</v>
      </c>
      <c r="C3445" s="20" t="s">
        <v>12928</v>
      </c>
      <c r="D3445" s="21"/>
      <c r="E3445" s="22" t="s">
        <v>12929</v>
      </c>
      <c r="H3445" s="78"/>
      <c r="I3445" s="21"/>
      <c r="J3445" s="25"/>
      <c r="K3445" s="26" t="s">
        <v>44</v>
      </c>
      <c r="L3445" s="16"/>
      <c r="M3445" s="21"/>
    </row>
    <row r="3446">
      <c r="A3446" s="28">
        <v>46232.0</v>
      </c>
      <c r="B3446" s="16" t="s">
        <v>12930</v>
      </c>
      <c r="C3446" s="20" t="s">
        <v>12931</v>
      </c>
      <c r="D3446" s="21"/>
      <c r="E3446" s="22" t="s">
        <v>12932</v>
      </c>
      <c r="H3446" s="78"/>
      <c r="I3446" s="21"/>
      <c r="J3446" s="25"/>
      <c r="K3446" s="26" t="s">
        <v>44</v>
      </c>
      <c r="L3446" s="16"/>
      <c r="M3446" s="21"/>
    </row>
    <row r="3447">
      <c r="A3447" s="28">
        <v>46232.0</v>
      </c>
      <c r="B3447" s="16" t="s">
        <v>12933</v>
      </c>
      <c r="C3447" s="20" t="s">
        <v>12934</v>
      </c>
      <c r="D3447" s="21"/>
      <c r="E3447" s="22" t="s">
        <v>12935</v>
      </c>
      <c r="H3447" s="78"/>
      <c r="I3447" s="21"/>
      <c r="J3447" s="25"/>
      <c r="K3447" s="26" t="s">
        <v>44</v>
      </c>
      <c r="L3447" s="16"/>
      <c r="M3447" s="21"/>
    </row>
    <row r="3448">
      <c r="A3448" s="28">
        <v>46232.0</v>
      </c>
      <c r="B3448" s="16" t="s">
        <v>12936</v>
      </c>
      <c r="C3448" s="20" t="s">
        <v>12937</v>
      </c>
      <c r="D3448" s="21"/>
      <c r="E3448" s="22" t="s">
        <v>12938</v>
      </c>
      <c r="H3448" s="78"/>
      <c r="I3448" s="21"/>
      <c r="J3448" s="25"/>
      <c r="K3448" s="26" t="s">
        <v>44</v>
      </c>
      <c r="L3448" s="16"/>
      <c r="M3448" s="21"/>
    </row>
    <row r="3449">
      <c r="A3449" s="28">
        <v>46232.0</v>
      </c>
      <c r="B3449" s="16" t="s">
        <v>12939</v>
      </c>
      <c r="C3449" s="20" t="s">
        <v>12940</v>
      </c>
      <c r="D3449" s="21"/>
      <c r="E3449" s="22" t="s">
        <v>12941</v>
      </c>
      <c r="H3449" s="78"/>
      <c r="I3449" s="21"/>
      <c r="J3449" s="25"/>
      <c r="K3449" s="26" t="s">
        <v>44</v>
      </c>
      <c r="L3449" s="16"/>
      <c r="M3449" s="21"/>
    </row>
    <row r="3450">
      <c r="A3450" s="28">
        <v>46232.0</v>
      </c>
      <c r="B3450" s="16" t="s">
        <v>12942</v>
      </c>
      <c r="C3450" s="20" t="s">
        <v>12943</v>
      </c>
      <c r="D3450" s="21"/>
      <c r="E3450" s="22" t="s">
        <v>12944</v>
      </c>
      <c r="H3450" s="78"/>
      <c r="I3450" s="21"/>
      <c r="J3450" s="25"/>
      <c r="K3450" s="26" t="s">
        <v>44</v>
      </c>
      <c r="L3450" s="16"/>
      <c r="M3450" s="21"/>
    </row>
    <row r="3451">
      <c r="A3451" s="28">
        <v>46232.0</v>
      </c>
      <c r="B3451" s="16" t="s">
        <v>12945</v>
      </c>
      <c r="C3451" s="20" t="s">
        <v>12946</v>
      </c>
      <c r="D3451" s="21"/>
      <c r="E3451" s="22" t="s">
        <v>12947</v>
      </c>
      <c r="H3451" s="78"/>
      <c r="I3451" s="21"/>
      <c r="J3451" s="25"/>
      <c r="K3451" s="26" t="s">
        <v>44</v>
      </c>
      <c r="L3451" s="16"/>
      <c r="M3451" s="21"/>
    </row>
    <row r="3452">
      <c r="A3452" s="28">
        <v>46232.0</v>
      </c>
      <c r="B3452" s="16" t="s">
        <v>12948</v>
      </c>
      <c r="C3452" s="20" t="s">
        <v>12949</v>
      </c>
      <c r="D3452" s="21"/>
      <c r="E3452" s="22" t="s">
        <v>12950</v>
      </c>
      <c r="H3452" s="78"/>
      <c r="I3452" s="21"/>
      <c r="J3452" s="25"/>
      <c r="K3452" s="26" t="s">
        <v>44</v>
      </c>
      <c r="L3452" s="16"/>
      <c r="M3452" s="21"/>
    </row>
    <row r="3453">
      <c r="A3453" s="28">
        <v>46232.0</v>
      </c>
      <c r="B3453" s="16" t="s">
        <v>12951</v>
      </c>
      <c r="C3453" s="20" t="s">
        <v>12952</v>
      </c>
      <c r="D3453" s="21"/>
      <c r="E3453" s="22" t="s">
        <v>12953</v>
      </c>
      <c r="H3453" s="78"/>
      <c r="I3453" s="21"/>
      <c r="J3453" s="25"/>
      <c r="K3453" s="26" t="s">
        <v>44</v>
      </c>
      <c r="L3453" s="16"/>
      <c r="M3453" s="21"/>
    </row>
    <row r="3454">
      <c r="A3454" s="28">
        <v>46232.0</v>
      </c>
      <c r="B3454" s="16" t="s">
        <v>12954</v>
      </c>
      <c r="C3454" s="20" t="s">
        <v>12955</v>
      </c>
      <c r="D3454" s="21"/>
      <c r="E3454" s="22" t="s">
        <v>12956</v>
      </c>
      <c r="H3454" s="78"/>
      <c r="I3454" s="21"/>
      <c r="J3454" s="25"/>
      <c r="K3454" s="26" t="s">
        <v>44</v>
      </c>
      <c r="L3454" s="16"/>
      <c r="M3454" s="21"/>
    </row>
    <row r="3455">
      <c r="A3455" s="28">
        <v>46232.0</v>
      </c>
      <c r="B3455" s="16" t="s">
        <v>12957</v>
      </c>
      <c r="C3455" s="20" t="s">
        <v>12958</v>
      </c>
      <c r="D3455" s="21"/>
      <c r="E3455" s="22" t="s">
        <v>12959</v>
      </c>
      <c r="H3455" s="78"/>
      <c r="I3455" s="21"/>
      <c r="J3455" s="25"/>
      <c r="K3455" s="26" t="s">
        <v>44</v>
      </c>
      <c r="L3455" s="16"/>
      <c r="M3455" s="21"/>
    </row>
    <row r="3456">
      <c r="A3456" s="28">
        <v>46232.0</v>
      </c>
      <c r="B3456" s="16" t="s">
        <v>12960</v>
      </c>
      <c r="C3456" s="20" t="s">
        <v>12961</v>
      </c>
      <c r="D3456" s="21"/>
      <c r="E3456" s="22" t="s">
        <v>12962</v>
      </c>
      <c r="H3456" s="78"/>
      <c r="I3456" s="21"/>
      <c r="J3456" s="25"/>
      <c r="K3456" s="26" t="s">
        <v>44</v>
      </c>
      <c r="L3456" s="16"/>
      <c r="M3456" s="21"/>
    </row>
    <row r="3457">
      <c r="A3457" s="28">
        <v>46232.0</v>
      </c>
      <c r="B3457" s="16" t="s">
        <v>12963</v>
      </c>
      <c r="C3457" s="46" t="s">
        <v>12964</v>
      </c>
      <c r="D3457" s="21"/>
      <c r="E3457" s="22" t="s">
        <v>12965</v>
      </c>
      <c r="H3457" s="78"/>
      <c r="I3457" s="21"/>
      <c r="J3457" s="25"/>
      <c r="K3457" s="26" t="s">
        <v>44</v>
      </c>
      <c r="L3457" s="16"/>
      <c r="M3457" s="21"/>
    </row>
    <row r="3458">
      <c r="A3458" s="28">
        <v>46232.0</v>
      </c>
      <c r="B3458" s="16" t="s">
        <v>12966</v>
      </c>
      <c r="C3458" s="20" t="s">
        <v>12967</v>
      </c>
      <c r="D3458" s="21"/>
      <c r="E3458" s="22" t="s">
        <v>12968</v>
      </c>
      <c r="H3458" s="78"/>
      <c r="I3458" s="21"/>
      <c r="J3458" s="25"/>
      <c r="K3458" s="26" t="s">
        <v>44</v>
      </c>
      <c r="L3458" s="16"/>
      <c r="M3458" s="21"/>
    </row>
    <row r="3459">
      <c r="A3459" s="28">
        <v>46232.0</v>
      </c>
      <c r="B3459" s="16" t="s">
        <v>12969</v>
      </c>
      <c r="C3459" s="20" t="s">
        <v>12970</v>
      </c>
      <c r="D3459" s="21"/>
      <c r="E3459" s="22" t="s">
        <v>12971</v>
      </c>
      <c r="H3459" s="78"/>
      <c r="I3459" s="21"/>
      <c r="J3459" s="25"/>
      <c r="K3459" s="26" t="s">
        <v>44</v>
      </c>
      <c r="L3459" s="16"/>
      <c r="M3459" s="21"/>
    </row>
    <row r="3460">
      <c r="A3460" s="28">
        <v>46232.0</v>
      </c>
      <c r="B3460" s="16" t="s">
        <v>12972</v>
      </c>
      <c r="C3460" s="20" t="s">
        <v>12973</v>
      </c>
      <c r="D3460" s="21"/>
      <c r="E3460" s="22" t="s">
        <v>12974</v>
      </c>
      <c r="H3460" s="78"/>
      <c r="I3460" s="21"/>
      <c r="J3460" s="25"/>
      <c r="K3460" s="26" t="s">
        <v>44</v>
      </c>
      <c r="L3460" s="16"/>
      <c r="M3460" s="21"/>
    </row>
    <row r="3461">
      <c r="A3461" s="28">
        <v>46232.0</v>
      </c>
      <c r="B3461" s="16" t="s">
        <v>12975</v>
      </c>
      <c r="C3461" s="20" t="s">
        <v>12976</v>
      </c>
      <c r="D3461" s="21"/>
      <c r="E3461" s="22" t="s">
        <v>12977</v>
      </c>
      <c r="H3461" s="78"/>
      <c r="I3461" s="21"/>
      <c r="J3461" s="25"/>
      <c r="K3461" s="26" t="s">
        <v>44</v>
      </c>
      <c r="L3461" s="16"/>
      <c r="M3461" s="21"/>
    </row>
    <row r="3462">
      <c r="A3462" s="28">
        <v>46232.0</v>
      </c>
      <c r="B3462" s="16" t="s">
        <v>12978</v>
      </c>
      <c r="C3462" s="20" t="s">
        <v>12979</v>
      </c>
      <c r="D3462" s="21"/>
      <c r="E3462" s="22" t="s">
        <v>12980</v>
      </c>
      <c r="H3462" s="78"/>
      <c r="I3462" s="21"/>
      <c r="J3462" s="25"/>
      <c r="K3462" s="26" t="s">
        <v>44</v>
      </c>
      <c r="L3462" s="16"/>
      <c r="M3462" s="21"/>
    </row>
    <row r="3463">
      <c r="A3463" s="28">
        <v>46232.0</v>
      </c>
      <c r="B3463" s="16" t="s">
        <v>12981</v>
      </c>
      <c r="C3463" s="20" t="s">
        <v>12982</v>
      </c>
      <c r="D3463" s="21"/>
      <c r="E3463" s="22" t="s">
        <v>12983</v>
      </c>
      <c r="H3463" s="78"/>
      <c r="I3463" s="21"/>
      <c r="J3463" s="25"/>
      <c r="K3463" s="26" t="s">
        <v>44</v>
      </c>
      <c r="L3463" s="16"/>
      <c r="M3463" s="21"/>
    </row>
    <row r="3464">
      <c r="A3464" s="28">
        <v>46232.0</v>
      </c>
      <c r="B3464" s="16" t="s">
        <v>12984</v>
      </c>
      <c r="C3464" s="20" t="s">
        <v>12985</v>
      </c>
      <c r="D3464" s="21"/>
      <c r="E3464" s="22" t="s">
        <v>12986</v>
      </c>
      <c r="H3464" s="78"/>
      <c r="I3464" s="21"/>
      <c r="J3464" s="25"/>
      <c r="K3464" s="26" t="s">
        <v>44</v>
      </c>
      <c r="L3464" s="16"/>
      <c r="M3464" s="21"/>
    </row>
    <row r="3465">
      <c r="A3465" s="28">
        <v>46232.0</v>
      </c>
      <c r="B3465" s="16" t="s">
        <v>12987</v>
      </c>
      <c r="C3465" s="20" t="s">
        <v>12988</v>
      </c>
      <c r="D3465" s="21"/>
      <c r="E3465" s="22" t="s">
        <v>12989</v>
      </c>
      <c r="H3465" s="78"/>
      <c r="I3465" s="21"/>
      <c r="J3465" s="25"/>
      <c r="K3465" s="26" t="s">
        <v>44</v>
      </c>
      <c r="L3465" s="16"/>
      <c r="M3465" s="21"/>
    </row>
    <row r="3466">
      <c r="A3466" s="28">
        <v>46232.0</v>
      </c>
      <c r="B3466" s="16" t="s">
        <v>12990</v>
      </c>
      <c r="C3466" s="20" t="s">
        <v>12991</v>
      </c>
      <c r="D3466" s="21"/>
      <c r="E3466" s="22" t="s">
        <v>12992</v>
      </c>
      <c r="H3466" s="78"/>
      <c r="I3466" s="21"/>
      <c r="J3466" s="25"/>
      <c r="K3466" s="26" t="s">
        <v>44</v>
      </c>
      <c r="L3466" s="16"/>
      <c r="M3466" s="21"/>
    </row>
    <row r="3467">
      <c r="A3467" s="28">
        <v>46232.0</v>
      </c>
      <c r="B3467" s="16" t="s">
        <v>12993</v>
      </c>
      <c r="C3467" s="20" t="s">
        <v>12994</v>
      </c>
      <c r="D3467" s="21"/>
      <c r="E3467" s="22" t="s">
        <v>12995</v>
      </c>
      <c r="H3467" s="78"/>
      <c r="I3467" s="21"/>
      <c r="J3467" s="25"/>
      <c r="K3467" s="26" t="s">
        <v>44</v>
      </c>
      <c r="L3467" s="16"/>
      <c r="M3467" s="21"/>
    </row>
    <row r="3468">
      <c r="A3468" s="28">
        <v>46232.0</v>
      </c>
      <c r="B3468" s="16" t="s">
        <v>12996</v>
      </c>
      <c r="C3468" s="20" t="s">
        <v>12997</v>
      </c>
      <c r="D3468" s="21"/>
      <c r="E3468" s="22" t="s">
        <v>12998</v>
      </c>
      <c r="H3468" s="78"/>
      <c r="I3468" s="21"/>
      <c r="J3468" s="25"/>
      <c r="K3468" s="26" t="s">
        <v>44</v>
      </c>
      <c r="L3468" s="16"/>
      <c r="M3468" s="21"/>
    </row>
    <row r="3469">
      <c r="A3469" s="28">
        <v>46232.0</v>
      </c>
      <c r="B3469" s="16" t="s">
        <v>12999</v>
      </c>
      <c r="C3469" s="20" t="s">
        <v>13000</v>
      </c>
      <c r="D3469" s="21"/>
      <c r="E3469" s="22" t="s">
        <v>13001</v>
      </c>
      <c r="H3469" s="78"/>
      <c r="I3469" s="21"/>
      <c r="J3469" s="25"/>
      <c r="K3469" s="26" t="s">
        <v>44</v>
      </c>
      <c r="L3469" s="16"/>
      <c r="M3469" s="21"/>
    </row>
    <row r="3470">
      <c r="A3470" s="28">
        <v>46232.0</v>
      </c>
      <c r="B3470" s="16" t="s">
        <v>13002</v>
      </c>
      <c r="C3470" s="20" t="s">
        <v>13003</v>
      </c>
      <c r="D3470" s="21"/>
      <c r="E3470" s="22" t="s">
        <v>13004</v>
      </c>
      <c r="H3470" s="78"/>
      <c r="I3470" s="21"/>
      <c r="J3470" s="25"/>
      <c r="K3470" s="26" t="s">
        <v>44</v>
      </c>
      <c r="L3470" s="16"/>
      <c r="M3470" s="21"/>
    </row>
    <row r="3471">
      <c r="A3471" s="28">
        <v>46232.0</v>
      </c>
      <c r="B3471" s="16" t="s">
        <v>13005</v>
      </c>
      <c r="C3471" s="20" t="s">
        <v>13006</v>
      </c>
      <c r="D3471" s="21"/>
      <c r="E3471" s="22" t="s">
        <v>13007</v>
      </c>
      <c r="H3471" s="78"/>
      <c r="I3471" s="21"/>
      <c r="J3471" s="25"/>
      <c r="K3471" s="26" t="s">
        <v>44</v>
      </c>
      <c r="L3471" s="16"/>
      <c r="M3471" s="21"/>
    </row>
    <row r="3472">
      <c r="A3472" s="28">
        <v>46232.0</v>
      </c>
      <c r="B3472" s="16" t="s">
        <v>13008</v>
      </c>
      <c r="C3472" s="20" t="s">
        <v>13009</v>
      </c>
      <c r="D3472" s="21"/>
      <c r="E3472" s="22" t="s">
        <v>13010</v>
      </c>
      <c r="H3472" s="78"/>
      <c r="I3472" s="21"/>
      <c r="J3472" s="25"/>
      <c r="K3472" s="26" t="s">
        <v>44</v>
      </c>
      <c r="L3472" s="16"/>
      <c r="M3472" s="21"/>
    </row>
    <row r="3473">
      <c r="A3473" s="28">
        <v>46232.0</v>
      </c>
      <c r="B3473" s="16" t="s">
        <v>13011</v>
      </c>
      <c r="C3473" s="20" t="s">
        <v>13012</v>
      </c>
      <c r="D3473" s="21"/>
      <c r="E3473" s="22" t="s">
        <v>13013</v>
      </c>
      <c r="H3473" s="78"/>
      <c r="I3473" s="21"/>
      <c r="J3473" s="25"/>
      <c r="K3473" s="26" t="s">
        <v>44</v>
      </c>
      <c r="L3473" s="16"/>
      <c r="M3473" s="21"/>
    </row>
    <row r="3474">
      <c r="A3474" s="28">
        <v>46232.0</v>
      </c>
      <c r="B3474" s="16" t="s">
        <v>13014</v>
      </c>
      <c r="C3474" s="46" t="s">
        <v>13015</v>
      </c>
      <c r="D3474" s="21"/>
      <c r="E3474" s="22" t="s">
        <v>13016</v>
      </c>
      <c r="H3474" s="78"/>
      <c r="I3474" s="21"/>
      <c r="J3474" s="25"/>
      <c r="K3474" s="26" t="s">
        <v>44</v>
      </c>
      <c r="L3474" s="16"/>
      <c r="M3474" s="21"/>
    </row>
    <row r="3475">
      <c r="A3475" s="28">
        <v>46232.0</v>
      </c>
      <c r="B3475" s="16" t="s">
        <v>13017</v>
      </c>
      <c r="C3475" s="20" t="s">
        <v>133</v>
      </c>
      <c r="D3475" s="21"/>
      <c r="E3475" s="22" t="s">
        <v>13018</v>
      </c>
      <c r="H3475" s="78"/>
      <c r="I3475" s="21"/>
      <c r="J3475" s="25"/>
      <c r="K3475" s="26" t="s">
        <v>44</v>
      </c>
      <c r="L3475" s="16"/>
      <c r="M3475" s="21"/>
    </row>
    <row r="3476">
      <c r="A3476" s="28">
        <v>46232.0</v>
      </c>
      <c r="B3476" s="16" t="s">
        <v>13019</v>
      </c>
      <c r="C3476" s="20" t="s">
        <v>13020</v>
      </c>
      <c r="D3476" s="21"/>
      <c r="E3476" s="22" t="s">
        <v>13021</v>
      </c>
      <c r="H3476" s="78"/>
      <c r="I3476" s="21"/>
      <c r="J3476" s="25"/>
      <c r="K3476" s="26" t="s">
        <v>44</v>
      </c>
      <c r="L3476" s="16"/>
      <c r="M3476" s="21"/>
    </row>
    <row r="3477">
      <c r="A3477" s="28">
        <v>46232.0</v>
      </c>
      <c r="B3477" s="16" t="s">
        <v>13022</v>
      </c>
      <c r="C3477" s="20" t="s">
        <v>13023</v>
      </c>
      <c r="D3477" s="21"/>
      <c r="E3477" s="22" t="s">
        <v>13024</v>
      </c>
      <c r="H3477" s="78"/>
      <c r="I3477" s="21"/>
      <c r="J3477" s="25"/>
      <c r="K3477" s="26" t="s">
        <v>44</v>
      </c>
      <c r="L3477" s="16"/>
      <c r="M3477" s="21"/>
    </row>
    <row r="3478">
      <c r="A3478" s="28">
        <v>46232.0</v>
      </c>
      <c r="B3478" s="16" t="s">
        <v>13025</v>
      </c>
      <c r="C3478" s="20" t="s">
        <v>13026</v>
      </c>
      <c r="D3478" s="21"/>
      <c r="E3478" s="22" t="s">
        <v>13027</v>
      </c>
      <c r="H3478" s="78"/>
      <c r="I3478" s="21"/>
      <c r="J3478" s="25"/>
      <c r="K3478" s="26" t="s">
        <v>44</v>
      </c>
      <c r="L3478" s="16"/>
      <c r="M3478" s="21"/>
    </row>
    <row r="3479">
      <c r="A3479" s="28">
        <v>46232.0</v>
      </c>
      <c r="B3479" s="16" t="s">
        <v>13028</v>
      </c>
      <c r="C3479" s="20" t="s">
        <v>13029</v>
      </c>
      <c r="D3479" s="21"/>
      <c r="E3479" s="22" t="s">
        <v>13030</v>
      </c>
      <c r="H3479" s="78"/>
      <c r="I3479" s="21"/>
      <c r="J3479" s="25"/>
      <c r="K3479" s="26" t="s">
        <v>44</v>
      </c>
      <c r="L3479" s="16"/>
      <c r="M3479" s="21"/>
    </row>
    <row r="3480">
      <c r="A3480" s="28">
        <v>46232.0</v>
      </c>
      <c r="B3480" s="16" t="s">
        <v>13031</v>
      </c>
      <c r="C3480" s="20" t="s">
        <v>13032</v>
      </c>
      <c r="D3480" s="21"/>
      <c r="E3480" s="22" t="s">
        <v>13033</v>
      </c>
      <c r="H3480" s="78"/>
      <c r="I3480" s="21"/>
      <c r="J3480" s="25"/>
      <c r="K3480" s="26" t="s">
        <v>44</v>
      </c>
      <c r="L3480" s="16"/>
      <c r="M3480" s="21"/>
    </row>
    <row r="3481">
      <c r="A3481" s="28">
        <v>46232.0</v>
      </c>
      <c r="B3481" s="16" t="s">
        <v>13034</v>
      </c>
      <c r="C3481" s="20" t="s">
        <v>13035</v>
      </c>
      <c r="D3481" s="21"/>
      <c r="E3481" s="22" t="s">
        <v>13036</v>
      </c>
      <c r="H3481" s="78"/>
      <c r="I3481" s="21"/>
      <c r="J3481" s="25"/>
      <c r="K3481" s="26" t="s">
        <v>44</v>
      </c>
      <c r="L3481" s="16"/>
      <c r="M3481" s="21"/>
    </row>
    <row r="3482">
      <c r="A3482" s="28">
        <v>46232.0</v>
      </c>
      <c r="B3482" s="16" t="s">
        <v>13037</v>
      </c>
      <c r="C3482" s="20" t="s">
        <v>13038</v>
      </c>
      <c r="D3482" s="21"/>
      <c r="E3482" s="22" t="s">
        <v>13039</v>
      </c>
      <c r="H3482" s="78"/>
      <c r="I3482" s="21"/>
      <c r="J3482" s="25"/>
      <c r="K3482" s="26" t="s">
        <v>44</v>
      </c>
      <c r="L3482" s="16"/>
      <c r="M3482" s="21"/>
    </row>
    <row r="3483">
      <c r="A3483" s="28">
        <v>46232.0</v>
      </c>
      <c r="B3483" s="16" t="s">
        <v>13040</v>
      </c>
      <c r="C3483" s="20" t="s">
        <v>13041</v>
      </c>
      <c r="D3483" s="21"/>
      <c r="E3483" s="22" t="s">
        <v>13042</v>
      </c>
      <c r="H3483" s="78"/>
      <c r="I3483" s="21"/>
      <c r="J3483" s="25"/>
      <c r="K3483" s="26" t="s">
        <v>44</v>
      </c>
      <c r="L3483" s="16"/>
      <c r="M3483" s="21"/>
    </row>
    <row r="3484">
      <c r="A3484" s="28">
        <v>46232.0</v>
      </c>
      <c r="B3484" s="16" t="s">
        <v>13043</v>
      </c>
      <c r="C3484" s="20" t="s">
        <v>13044</v>
      </c>
      <c r="D3484" s="21"/>
      <c r="E3484" s="22" t="s">
        <v>13045</v>
      </c>
      <c r="H3484" s="78"/>
      <c r="I3484" s="21"/>
      <c r="J3484" s="25"/>
      <c r="K3484" s="26" t="s">
        <v>44</v>
      </c>
      <c r="L3484" s="16"/>
      <c r="M3484" s="21"/>
    </row>
    <row r="3485">
      <c r="A3485" s="28">
        <v>46232.0</v>
      </c>
      <c r="B3485" s="16" t="s">
        <v>13046</v>
      </c>
      <c r="C3485" s="20" t="s">
        <v>13047</v>
      </c>
      <c r="D3485" s="21"/>
      <c r="E3485" s="22" t="s">
        <v>13048</v>
      </c>
      <c r="H3485" s="78"/>
      <c r="I3485" s="21"/>
      <c r="J3485" s="25"/>
      <c r="K3485" s="26" t="s">
        <v>44</v>
      </c>
      <c r="L3485" s="16"/>
      <c r="M3485" s="21"/>
    </row>
    <row r="3486">
      <c r="A3486" s="28">
        <v>46232.0</v>
      </c>
      <c r="B3486" s="16" t="s">
        <v>13049</v>
      </c>
      <c r="C3486" s="20" t="s">
        <v>13050</v>
      </c>
      <c r="D3486" s="21"/>
      <c r="E3486" s="22" t="s">
        <v>13051</v>
      </c>
      <c r="H3486" s="78"/>
      <c r="I3486" s="21"/>
      <c r="J3486" s="25"/>
      <c r="K3486" s="26" t="s">
        <v>44</v>
      </c>
      <c r="L3486" s="16"/>
      <c r="M3486" s="21"/>
    </row>
    <row r="3487">
      <c r="A3487" s="28">
        <v>46232.0</v>
      </c>
      <c r="B3487" s="16" t="s">
        <v>13052</v>
      </c>
      <c r="C3487" s="20" t="s">
        <v>13053</v>
      </c>
      <c r="D3487" s="21"/>
      <c r="E3487" s="22" t="s">
        <v>13054</v>
      </c>
      <c r="H3487" s="78"/>
      <c r="I3487" s="21"/>
      <c r="J3487" s="25"/>
      <c r="K3487" s="26" t="s">
        <v>44</v>
      </c>
      <c r="L3487" s="16"/>
      <c r="M3487" s="21"/>
    </row>
    <row r="3488">
      <c r="A3488" s="28">
        <v>46232.0</v>
      </c>
      <c r="B3488" s="16" t="s">
        <v>13055</v>
      </c>
      <c r="C3488" s="20" t="s">
        <v>13056</v>
      </c>
      <c r="D3488" s="21"/>
      <c r="E3488" s="22" t="s">
        <v>13057</v>
      </c>
      <c r="H3488" s="78"/>
      <c r="I3488" s="21"/>
      <c r="J3488" s="25"/>
      <c r="K3488" s="26" t="s">
        <v>44</v>
      </c>
      <c r="L3488" s="16"/>
      <c r="M3488" s="21"/>
    </row>
    <row r="3489">
      <c r="A3489" s="28">
        <v>46232.0</v>
      </c>
      <c r="B3489" s="16" t="s">
        <v>13058</v>
      </c>
      <c r="C3489" s="20" t="s">
        <v>13059</v>
      </c>
      <c r="D3489" s="21"/>
      <c r="E3489" s="22" t="s">
        <v>13060</v>
      </c>
      <c r="H3489" s="78"/>
      <c r="I3489" s="21"/>
      <c r="J3489" s="25"/>
      <c r="K3489" s="26" t="s">
        <v>44</v>
      </c>
      <c r="L3489" s="16"/>
      <c r="M3489" s="21"/>
    </row>
    <row r="3490">
      <c r="A3490" s="28">
        <v>46232.0</v>
      </c>
      <c r="B3490" s="16" t="s">
        <v>13061</v>
      </c>
      <c r="C3490" s="20" t="s">
        <v>13062</v>
      </c>
      <c r="D3490" s="21"/>
      <c r="E3490" s="22" t="s">
        <v>13063</v>
      </c>
      <c r="H3490" s="78"/>
      <c r="I3490" s="21"/>
      <c r="J3490" s="25"/>
      <c r="K3490" s="26" t="s">
        <v>44</v>
      </c>
      <c r="L3490" s="16"/>
      <c r="M3490" s="21"/>
    </row>
    <row r="3491">
      <c r="A3491" s="28">
        <v>46232.0</v>
      </c>
      <c r="B3491" s="16" t="s">
        <v>13064</v>
      </c>
      <c r="C3491" s="20" t="s">
        <v>13065</v>
      </c>
      <c r="D3491" s="21"/>
      <c r="E3491" s="22" t="s">
        <v>13066</v>
      </c>
      <c r="H3491" s="78"/>
      <c r="I3491" s="21"/>
      <c r="J3491" s="25"/>
      <c r="K3491" s="26" t="s">
        <v>44</v>
      </c>
      <c r="L3491" s="16"/>
      <c r="M3491" s="21"/>
    </row>
    <row r="3492">
      <c r="A3492" s="28">
        <v>46232.0</v>
      </c>
      <c r="B3492" s="16" t="s">
        <v>13067</v>
      </c>
      <c r="C3492" s="20" t="s">
        <v>13068</v>
      </c>
      <c r="D3492" s="21"/>
      <c r="E3492" s="22" t="s">
        <v>13069</v>
      </c>
      <c r="H3492" s="78"/>
      <c r="I3492" s="21"/>
      <c r="J3492" s="25"/>
      <c r="K3492" s="26" t="s">
        <v>44</v>
      </c>
      <c r="L3492" s="16"/>
      <c r="M3492" s="21"/>
    </row>
    <row r="3493">
      <c r="A3493" s="28">
        <v>46232.0</v>
      </c>
      <c r="B3493" s="16" t="s">
        <v>13070</v>
      </c>
      <c r="C3493" s="20" t="s">
        <v>13071</v>
      </c>
      <c r="D3493" s="21"/>
      <c r="E3493" s="22" t="s">
        <v>13072</v>
      </c>
      <c r="H3493" s="78"/>
      <c r="I3493" s="21"/>
      <c r="J3493" s="25"/>
      <c r="K3493" s="26" t="s">
        <v>44</v>
      </c>
      <c r="L3493" s="16"/>
      <c r="M3493" s="21"/>
    </row>
    <row r="3494">
      <c r="A3494" s="28">
        <v>46232.0</v>
      </c>
      <c r="B3494" s="16" t="s">
        <v>13073</v>
      </c>
      <c r="C3494" s="20" t="s">
        <v>13074</v>
      </c>
      <c r="D3494" s="21"/>
      <c r="E3494" s="22" t="s">
        <v>13075</v>
      </c>
      <c r="H3494" s="78"/>
      <c r="I3494" s="21"/>
      <c r="J3494" s="25"/>
      <c r="K3494" s="26" t="s">
        <v>44</v>
      </c>
      <c r="L3494" s="16"/>
      <c r="M3494" s="21"/>
    </row>
    <row r="3495">
      <c r="A3495" s="28">
        <v>46232.0</v>
      </c>
      <c r="B3495" s="16" t="s">
        <v>13076</v>
      </c>
      <c r="C3495" s="20" t="s">
        <v>13077</v>
      </c>
      <c r="D3495" s="21"/>
      <c r="E3495" s="22" t="s">
        <v>13078</v>
      </c>
      <c r="H3495" s="78"/>
      <c r="I3495" s="21"/>
      <c r="J3495" s="25"/>
      <c r="K3495" s="26" t="s">
        <v>44</v>
      </c>
      <c r="L3495" s="16"/>
      <c r="M3495" s="21"/>
    </row>
    <row r="3496">
      <c r="A3496" s="28">
        <v>46232.0</v>
      </c>
      <c r="B3496" s="16" t="s">
        <v>13079</v>
      </c>
      <c r="C3496" s="20" t="s">
        <v>13080</v>
      </c>
      <c r="D3496" s="21"/>
      <c r="E3496" s="22" t="s">
        <v>13081</v>
      </c>
      <c r="H3496" s="78"/>
      <c r="I3496" s="21"/>
      <c r="J3496" s="25"/>
      <c r="K3496" s="26" t="s">
        <v>44</v>
      </c>
      <c r="L3496" s="16"/>
      <c r="M3496" s="21"/>
    </row>
    <row r="3497">
      <c r="A3497" s="28">
        <v>46232.0</v>
      </c>
      <c r="B3497" s="16" t="s">
        <v>13082</v>
      </c>
      <c r="C3497" s="20" t="s">
        <v>13083</v>
      </c>
      <c r="D3497" s="21"/>
      <c r="E3497" s="22" t="s">
        <v>13084</v>
      </c>
      <c r="H3497" s="78"/>
      <c r="I3497" s="21"/>
      <c r="J3497" s="25"/>
      <c r="K3497" s="26" t="s">
        <v>44</v>
      </c>
      <c r="L3497" s="16"/>
      <c r="M3497" s="21"/>
    </row>
    <row r="3498">
      <c r="A3498" s="28">
        <v>46232.0</v>
      </c>
      <c r="B3498" s="16" t="s">
        <v>13085</v>
      </c>
      <c r="C3498" s="20" t="s">
        <v>13086</v>
      </c>
      <c r="D3498" s="21"/>
      <c r="E3498" s="22" t="s">
        <v>13087</v>
      </c>
      <c r="H3498" s="78"/>
      <c r="I3498" s="21"/>
      <c r="J3498" s="25"/>
      <c r="K3498" s="26" t="s">
        <v>44</v>
      </c>
      <c r="L3498" s="16"/>
      <c r="M3498" s="21"/>
    </row>
    <row r="3499">
      <c r="A3499" s="28">
        <v>46232.0</v>
      </c>
      <c r="B3499" s="16" t="s">
        <v>13088</v>
      </c>
      <c r="C3499" s="20" t="s">
        <v>13089</v>
      </c>
      <c r="D3499" s="21"/>
      <c r="E3499" s="22" t="s">
        <v>13090</v>
      </c>
      <c r="H3499" s="78"/>
      <c r="I3499" s="21"/>
      <c r="J3499" s="25"/>
      <c r="K3499" s="26" t="s">
        <v>44</v>
      </c>
      <c r="L3499" s="16"/>
      <c r="M3499" s="21"/>
    </row>
    <row r="3500">
      <c r="A3500" s="28">
        <v>46232.0</v>
      </c>
      <c r="B3500" s="16" t="s">
        <v>13091</v>
      </c>
      <c r="C3500" s="20" t="s">
        <v>13092</v>
      </c>
      <c r="D3500" s="21"/>
      <c r="E3500" s="22" t="s">
        <v>13093</v>
      </c>
      <c r="H3500" s="78"/>
      <c r="I3500" s="21"/>
      <c r="J3500" s="25"/>
      <c r="K3500" s="26" t="s">
        <v>44</v>
      </c>
      <c r="L3500" s="16"/>
      <c r="M3500" s="21"/>
    </row>
    <row r="3501">
      <c r="A3501" s="28">
        <v>46232.0</v>
      </c>
      <c r="B3501" s="16" t="s">
        <v>13094</v>
      </c>
      <c r="C3501" s="20" t="s">
        <v>13095</v>
      </c>
      <c r="D3501" s="21"/>
      <c r="E3501" s="41"/>
      <c r="H3501" s="78"/>
      <c r="I3501" s="21"/>
      <c r="J3501" s="25"/>
      <c r="K3501" s="26" t="s">
        <v>44</v>
      </c>
      <c r="L3501" s="16"/>
      <c r="M3501" s="21"/>
    </row>
    <row r="3502">
      <c r="A3502" s="28">
        <v>46232.0</v>
      </c>
      <c r="B3502" s="16" t="s">
        <v>13096</v>
      </c>
      <c r="C3502" s="20" t="s">
        <v>13097</v>
      </c>
      <c r="D3502" s="21"/>
      <c r="E3502" s="22" t="s">
        <v>13098</v>
      </c>
      <c r="H3502" s="78"/>
      <c r="I3502" s="21"/>
      <c r="J3502" s="25"/>
      <c r="K3502" s="26" t="s">
        <v>44</v>
      </c>
      <c r="L3502" s="16"/>
      <c r="M3502" s="21"/>
    </row>
    <row r="3503">
      <c r="A3503" s="28">
        <v>46232.0</v>
      </c>
      <c r="B3503" s="16" t="s">
        <v>13099</v>
      </c>
      <c r="C3503" s="20" t="s">
        <v>13100</v>
      </c>
      <c r="D3503" s="21"/>
      <c r="E3503" s="22" t="s">
        <v>13101</v>
      </c>
      <c r="H3503" s="78"/>
      <c r="I3503" s="21"/>
      <c r="J3503" s="25"/>
      <c r="K3503" s="26" t="s">
        <v>44</v>
      </c>
      <c r="L3503" s="16"/>
      <c r="M3503" s="21"/>
    </row>
    <row r="3504">
      <c r="A3504" s="28">
        <v>46232.0</v>
      </c>
      <c r="B3504" s="16" t="s">
        <v>13102</v>
      </c>
      <c r="C3504" s="20" t="s">
        <v>13103</v>
      </c>
      <c r="D3504" s="21"/>
      <c r="E3504" s="22" t="s">
        <v>13104</v>
      </c>
      <c r="H3504" s="78"/>
      <c r="I3504" s="21"/>
      <c r="J3504" s="25"/>
      <c r="K3504" s="26" t="s">
        <v>44</v>
      </c>
      <c r="L3504" s="16"/>
      <c r="M3504" s="21"/>
    </row>
    <row r="3505">
      <c r="A3505" s="28">
        <v>46232.0</v>
      </c>
      <c r="B3505" s="16" t="s">
        <v>13105</v>
      </c>
      <c r="C3505" s="20" t="s">
        <v>13106</v>
      </c>
      <c r="D3505" s="21"/>
      <c r="E3505" s="22" t="s">
        <v>13107</v>
      </c>
      <c r="H3505" s="78"/>
      <c r="I3505" s="21"/>
      <c r="J3505" s="25"/>
      <c r="K3505" s="26" t="s">
        <v>44</v>
      </c>
      <c r="L3505" s="16"/>
      <c r="M3505" s="21"/>
    </row>
    <row r="3506">
      <c r="A3506" s="28">
        <v>46232.0</v>
      </c>
      <c r="B3506" s="16" t="s">
        <v>13108</v>
      </c>
      <c r="C3506" s="20" t="s">
        <v>13109</v>
      </c>
      <c r="D3506" s="21"/>
      <c r="E3506" s="22" t="s">
        <v>13110</v>
      </c>
      <c r="H3506" s="78"/>
      <c r="I3506" s="21"/>
      <c r="J3506" s="25"/>
      <c r="K3506" s="26" t="s">
        <v>44</v>
      </c>
      <c r="L3506" s="16"/>
      <c r="M3506" s="21"/>
    </row>
    <row r="3507">
      <c r="A3507" s="28">
        <v>46232.0</v>
      </c>
      <c r="B3507" s="16" t="s">
        <v>13111</v>
      </c>
      <c r="C3507" s="20" t="s">
        <v>13112</v>
      </c>
      <c r="D3507" s="21"/>
      <c r="E3507" s="22" t="s">
        <v>13113</v>
      </c>
      <c r="H3507" s="78"/>
      <c r="I3507" s="21"/>
      <c r="J3507" s="25"/>
      <c r="K3507" s="26" t="s">
        <v>44</v>
      </c>
      <c r="L3507" s="16"/>
      <c r="M3507" s="21"/>
    </row>
    <row r="3508">
      <c r="A3508" s="28">
        <v>46232.0</v>
      </c>
      <c r="B3508" s="16" t="s">
        <v>13114</v>
      </c>
      <c r="C3508" s="20" t="s">
        <v>13115</v>
      </c>
      <c r="D3508" s="21"/>
      <c r="E3508" s="22" t="s">
        <v>13116</v>
      </c>
      <c r="H3508" s="78"/>
      <c r="I3508" s="21"/>
      <c r="J3508" s="25"/>
      <c r="K3508" s="26" t="s">
        <v>44</v>
      </c>
      <c r="L3508" s="16"/>
      <c r="M3508" s="21"/>
    </row>
    <row r="3509">
      <c r="A3509" s="28">
        <v>46232.0</v>
      </c>
      <c r="B3509" s="16" t="s">
        <v>13117</v>
      </c>
      <c r="C3509" s="20" t="s">
        <v>13118</v>
      </c>
      <c r="D3509" s="21"/>
      <c r="E3509" s="22" t="s">
        <v>13119</v>
      </c>
      <c r="H3509" s="78"/>
      <c r="I3509" s="21"/>
      <c r="J3509" s="25"/>
      <c r="K3509" s="26" t="s">
        <v>44</v>
      </c>
      <c r="L3509" s="16"/>
      <c r="M3509" s="21"/>
    </row>
    <row r="3510">
      <c r="A3510" s="28">
        <v>46232.0</v>
      </c>
      <c r="B3510" s="16" t="s">
        <v>13120</v>
      </c>
      <c r="C3510" s="20" t="s">
        <v>13121</v>
      </c>
      <c r="D3510" s="21"/>
      <c r="E3510" s="22" t="s">
        <v>13122</v>
      </c>
      <c r="H3510" s="78"/>
      <c r="I3510" s="21"/>
      <c r="J3510" s="25"/>
      <c r="K3510" s="26" t="s">
        <v>44</v>
      </c>
      <c r="L3510" s="16"/>
      <c r="M3510" s="21"/>
    </row>
    <row r="3511">
      <c r="A3511" s="28">
        <v>46232.0</v>
      </c>
      <c r="B3511" s="16" t="s">
        <v>13123</v>
      </c>
      <c r="C3511" s="20" t="s">
        <v>13124</v>
      </c>
      <c r="D3511" s="21"/>
      <c r="E3511" s="22" t="s">
        <v>13125</v>
      </c>
      <c r="H3511" s="78"/>
      <c r="I3511" s="21"/>
      <c r="J3511" s="25"/>
      <c r="K3511" s="26" t="s">
        <v>44</v>
      </c>
      <c r="L3511" s="16"/>
      <c r="M3511" s="21"/>
    </row>
    <row r="3512">
      <c r="A3512" s="28">
        <v>46232.0</v>
      </c>
      <c r="B3512" s="16" t="s">
        <v>13126</v>
      </c>
      <c r="C3512" s="20" t="s">
        <v>13127</v>
      </c>
      <c r="D3512" s="21"/>
      <c r="E3512" s="22" t="s">
        <v>13128</v>
      </c>
      <c r="H3512" s="78"/>
      <c r="I3512" s="21"/>
      <c r="J3512" s="25"/>
      <c r="K3512" s="26" t="s">
        <v>44</v>
      </c>
      <c r="L3512" s="16"/>
      <c r="M3512" s="21"/>
    </row>
    <row r="3513">
      <c r="A3513" s="28">
        <v>46232.0</v>
      </c>
      <c r="B3513" s="16" t="s">
        <v>13129</v>
      </c>
      <c r="C3513" s="20" t="s">
        <v>13130</v>
      </c>
      <c r="D3513" s="21"/>
      <c r="E3513" s="22" t="s">
        <v>13131</v>
      </c>
      <c r="H3513" s="78"/>
      <c r="I3513" s="21"/>
      <c r="J3513" s="25"/>
      <c r="K3513" s="26" t="s">
        <v>44</v>
      </c>
      <c r="L3513" s="16"/>
      <c r="M3513" s="21"/>
    </row>
    <row r="3514">
      <c r="A3514" s="28">
        <v>46232.0</v>
      </c>
      <c r="B3514" s="16" t="s">
        <v>13132</v>
      </c>
      <c r="C3514" s="20" t="s">
        <v>13133</v>
      </c>
      <c r="D3514" s="21"/>
      <c r="E3514" s="22" t="s">
        <v>13134</v>
      </c>
      <c r="H3514" s="78"/>
      <c r="I3514" s="21"/>
      <c r="J3514" s="25"/>
      <c r="K3514" s="26" t="s">
        <v>44</v>
      </c>
      <c r="L3514" s="16"/>
      <c r="M3514" s="21"/>
    </row>
    <row r="3515">
      <c r="A3515" s="28">
        <v>46232.0</v>
      </c>
      <c r="B3515" s="16" t="s">
        <v>13135</v>
      </c>
      <c r="C3515" s="46" t="s">
        <v>13136</v>
      </c>
      <c r="D3515" s="21"/>
      <c r="E3515" s="22" t="s">
        <v>13137</v>
      </c>
      <c r="H3515" s="78"/>
      <c r="I3515" s="21"/>
      <c r="J3515" s="25"/>
      <c r="K3515" s="26" t="s">
        <v>44</v>
      </c>
      <c r="L3515" s="16"/>
      <c r="M3515" s="21"/>
    </row>
    <row r="3516">
      <c r="A3516" s="28">
        <v>46232.0</v>
      </c>
      <c r="B3516" s="16" t="s">
        <v>13138</v>
      </c>
      <c r="C3516" s="20" t="s">
        <v>13139</v>
      </c>
      <c r="D3516" s="21"/>
      <c r="E3516" s="22" t="s">
        <v>13140</v>
      </c>
      <c r="H3516" s="78"/>
      <c r="I3516" s="21"/>
      <c r="J3516" s="25"/>
      <c r="K3516" s="26" t="s">
        <v>44</v>
      </c>
      <c r="L3516" s="16"/>
      <c r="M3516" s="21"/>
    </row>
    <row r="3517">
      <c r="A3517" s="28">
        <v>46232.0</v>
      </c>
      <c r="B3517" s="16" t="s">
        <v>13141</v>
      </c>
      <c r="C3517" s="20" t="s">
        <v>13142</v>
      </c>
      <c r="D3517" s="21"/>
      <c r="E3517" s="22" t="s">
        <v>13143</v>
      </c>
      <c r="H3517" s="78"/>
      <c r="I3517" s="21"/>
      <c r="J3517" s="25"/>
      <c r="K3517" s="26" t="s">
        <v>44</v>
      </c>
      <c r="L3517" s="16"/>
      <c r="M3517" s="21"/>
    </row>
    <row r="3518">
      <c r="A3518" s="28">
        <v>46232.0</v>
      </c>
      <c r="B3518" s="16" t="s">
        <v>13144</v>
      </c>
      <c r="C3518" s="20" t="s">
        <v>13145</v>
      </c>
      <c r="D3518" s="21"/>
      <c r="E3518" s="22" t="s">
        <v>13146</v>
      </c>
      <c r="H3518" s="78"/>
      <c r="I3518" s="21"/>
      <c r="J3518" s="25"/>
      <c r="K3518" s="26" t="s">
        <v>44</v>
      </c>
      <c r="L3518" s="16"/>
      <c r="M3518" s="21"/>
    </row>
    <row r="3519">
      <c r="A3519" s="28">
        <v>46232.0</v>
      </c>
      <c r="B3519" s="16" t="s">
        <v>13147</v>
      </c>
      <c r="C3519" s="20" t="s">
        <v>13148</v>
      </c>
      <c r="D3519" s="21"/>
      <c r="E3519" s="22" t="s">
        <v>13149</v>
      </c>
      <c r="H3519" s="78"/>
      <c r="I3519" s="21"/>
      <c r="J3519" s="25"/>
      <c r="K3519" s="26" t="s">
        <v>44</v>
      </c>
      <c r="L3519" s="16"/>
      <c r="M3519" s="21"/>
    </row>
    <row r="3520">
      <c r="A3520" s="28">
        <v>46232.0</v>
      </c>
      <c r="B3520" s="16" t="s">
        <v>13150</v>
      </c>
      <c r="C3520" s="20" t="s">
        <v>13151</v>
      </c>
      <c r="D3520" s="21"/>
      <c r="E3520" s="22" t="s">
        <v>13152</v>
      </c>
      <c r="H3520" s="78"/>
      <c r="I3520" s="21"/>
      <c r="J3520" s="25"/>
      <c r="K3520" s="26" t="s">
        <v>44</v>
      </c>
      <c r="L3520" s="16"/>
      <c r="M3520" s="21"/>
    </row>
    <row r="3521">
      <c r="A3521" s="28">
        <v>46232.0</v>
      </c>
      <c r="B3521" s="16" t="s">
        <v>13153</v>
      </c>
      <c r="C3521" s="20" t="s">
        <v>13154</v>
      </c>
      <c r="D3521" s="21"/>
      <c r="E3521" s="22" t="s">
        <v>13155</v>
      </c>
      <c r="H3521" s="78"/>
      <c r="I3521" s="21"/>
      <c r="J3521" s="25"/>
      <c r="K3521" s="26" t="s">
        <v>44</v>
      </c>
      <c r="L3521" s="16"/>
      <c r="M3521" s="21"/>
    </row>
    <row r="3522">
      <c r="A3522" s="28">
        <v>46232.0</v>
      </c>
      <c r="B3522" s="16" t="s">
        <v>13156</v>
      </c>
      <c r="C3522" s="20" t="s">
        <v>13157</v>
      </c>
      <c r="D3522" s="21"/>
      <c r="E3522" s="22" t="s">
        <v>13158</v>
      </c>
      <c r="H3522" s="78"/>
      <c r="I3522" s="21"/>
      <c r="J3522" s="25"/>
      <c r="K3522" s="26" t="s">
        <v>44</v>
      </c>
      <c r="L3522" s="16"/>
      <c r="M3522" s="21"/>
    </row>
    <row r="3523">
      <c r="A3523" s="28">
        <v>46232.0</v>
      </c>
      <c r="B3523" s="16" t="s">
        <v>13159</v>
      </c>
      <c r="C3523" s="20" t="s">
        <v>13160</v>
      </c>
      <c r="D3523" s="21"/>
      <c r="E3523" s="22" t="s">
        <v>13161</v>
      </c>
      <c r="H3523" s="78"/>
      <c r="I3523" s="21"/>
      <c r="J3523" s="25"/>
      <c r="K3523" s="26" t="s">
        <v>44</v>
      </c>
      <c r="L3523" s="16"/>
      <c r="M3523" s="21"/>
    </row>
    <row r="3524">
      <c r="A3524" s="28">
        <v>46232.0</v>
      </c>
      <c r="B3524" s="16" t="s">
        <v>13162</v>
      </c>
      <c r="C3524" s="20" t="s">
        <v>13163</v>
      </c>
      <c r="D3524" s="21"/>
      <c r="E3524" s="22" t="s">
        <v>13164</v>
      </c>
      <c r="H3524" s="78"/>
      <c r="I3524" s="21"/>
      <c r="J3524" s="25"/>
      <c r="K3524" s="26" t="s">
        <v>44</v>
      </c>
      <c r="L3524" s="16"/>
      <c r="M3524" s="21"/>
    </row>
    <row r="3525">
      <c r="A3525" s="28">
        <v>46232.0</v>
      </c>
      <c r="B3525" s="16" t="s">
        <v>13165</v>
      </c>
      <c r="C3525" s="20" t="s">
        <v>13166</v>
      </c>
      <c r="D3525" s="21"/>
      <c r="E3525" s="22" t="s">
        <v>13167</v>
      </c>
      <c r="H3525" s="78"/>
      <c r="I3525" s="21"/>
      <c r="J3525" s="25"/>
      <c r="K3525" s="26" t="s">
        <v>44</v>
      </c>
      <c r="L3525" s="16"/>
      <c r="M3525" s="21"/>
    </row>
    <row r="3526">
      <c r="A3526" s="28">
        <v>46232.0</v>
      </c>
      <c r="B3526" s="16" t="s">
        <v>13168</v>
      </c>
      <c r="C3526" s="20" t="s">
        <v>13169</v>
      </c>
      <c r="D3526" s="21"/>
      <c r="E3526" s="22" t="s">
        <v>13170</v>
      </c>
      <c r="H3526" s="78"/>
      <c r="I3526" s="21"/>
      <c r="J3526" s="25"/>
      <c r="K3526" s="26" t="s">
        <v>44</v>
      </c>
      <c r="L3526" s="16"/>
      <c r="M3526" s="21"/>
    </row>
    <row r="3527">
      <c r="A3527" s="28">
        <v>46232.0</v>
      </c>
      <c r="B3527" s="16" t="s">
        <v>13171</v>
      </c>
      <c r="C3527" s="20" t="s">
        <v>13172</v>
      </c>
      <c r="D3527" s="21"/>
      <c r="E3527" s="22" t="s">
        <v>13173</v>
      </c>
      <c r="H3527" s="78"/>
      <c r="I3527" s="21"/>
      <c r="J3527" s="25"/>
      <c r="K3527" s="26" t="s">
        <v>44</v>
      </c>
      <c r="L3527" s="16"/>
      <c r="M3527" s="21"/>
    </row>
    <row r="3528">
      <c r="A3528" s="28">
        <v>46232.0</v>
      </c>
      <c r="B3528" s="16" t="s">
        <v>13174</v>
      </c>
      <c r="C3528" s="20" t="s">
        <v>13175</v>
      </c>
      <c r="D3528" s="21"/>
      <c r="E3528" s="22" t="s">
        <v>13176</v>
      </c>
      <c r="H3528" s="78"/>
      <c r="I3528" s="21"/>
      <c r="J3528" s="25"/>
      <c r="K3528" s="26" t="s">
        <v>44</v>
      </c>
      <c r="L3528" s="16"/>
      <c r="M3528" s="21"/>
    </row>
    <row r="3529">
      <c r="A3529" s="28">
        <v>46232.0</v>
      </c>
      <c r="B3529" s="16" t="s">
        <v>13177</v>
      </c>
      <c r="C3529" s="20" t="s">
        <v>13178</v>
      </c>
      <c r="D3529" s="21"/>
      <c r="E3529" s="22" t="s">
        <v>13179</v>
      </c>
      <c r="H3529" s="78"/>
      <c r="I3529" s="21"/>
      <c r="J3529" s="25"/>
      <c r="K3529" s="26" t="s">
        <v>44</v>
      </c>
      <c r="L3529" s="16"/>
      <c r="M3529" s="21"/>
    </row>
    <row r="3530">
      <c r="A3530" s="28">
        <v>46232.0</v>
      </c>
      <c r="B3530" s="16" t="s">
        <v>13180</v>
      </c>
      <c r="C3530" s="20" t="s">
        <v>13181</v>
      </c>
      <c r="D3530" s="21"/>
      <c r="E3530" s="22" t="s">
        <v>13182</v>
      </c>
      <c r="H3530" s="78"/>
      <c r="I3530" s="21"/>
      <c r="J3530" s="25"/>
      <c r="K3530" s="26" t="s">
        <v>44</v>
      </c>
      <c r="L3530" s="16"/>
      <c r="M3530" s="21"/>
    </row>
    <row r="3531">
      <c r="A3531" s="28">
        <v>46232.0</v>
      </c>
      <c r="B3531" s="16" t="s">
        <v>13183</v>
      </c>
      <c r="C3531" s="20" t="s">
        <v>13184</v>
      </c>
      <c r="D3531" s="21"/>
      <c r="E3531" s="22" t="s">
        <v>13185</v>
      </c>
      <c r="H3531" s="78"/>
      <c r="I3531" s="21"/>
      <c r="J3531" s="25"/>
      <c r="K3531" s="26" t="s">
        <v>44</v>
      </c>
      <c r="L3531" s="16"/>
      <c r="M3531" s="21"/>
    </row>
    <row r="3532">
      <c r="A3532" s="28">
        <v>46232.0</v>
      </c>
      <c r="B3532" s="16" t="s">
        <v>13186</v>
      </c>
      <c r="C3532" s="20" t="s">
        <v>13187</v>
      </c>
      <c r="D3532" s="21"/>
      <c r="E3532" s="22" t="s">
        <v>13188</v>
      </c>
      <c r="H3532" s="78"/>
      <c r="I3532" s="21"/>
      <c r="J3532" s="25"/>
      <c r="K3532" s="26" t="s">
        <v>44</v>
      </c>
      <c r="L3532" s="16"/>
      <c r="M3532" s="21"/>
    </row>
    <row r="3533">
      <c r="A3533" s="28">
        <v>46232.0</v>
      </c>
      <c r="B3533" s="16" t="s">
        <v>13189</v>
      </c>
      <c r="C3533" s="20" t="s">
        <v>13190</v>
      </c>
      <c r="D3533" s="21"/>
      <c r="E3533" s="22" t="s">
        <v>13191</v>
      </c>
      <c r="H3533" s="78"/>
      <c r="I3533" s="21"/>
      <c r="J3533" s="25"/>
      <c r="K3533" s="26" t="s">
        <v>44</v>
      </c>
      <c r="L3533" s="16"/>
      <c r="M3533" s="21"/>
    </row>
    <row r="3534">
      <c r="A3534" s="28">
        <v>46232.0</v>
      </c>
      <c r="B3534" s="16" t="s">
        <v>13192</v>
      </c>
      <c r="C3534" s="20" t="s">
        <v>13193</v>
      </c>
      <c r="D3534" s="21"/>
      <c r="E3534" s="22" t="s">
        <v>13194</v>
      </c>
      <c r="H3534" s="78"/>
      <c r="I3534" s="21"/>
      <c r="J3534" s="25"/>
      <c r="K3534" s="26" t="s">
        <v>44</v>
      </c>
      <c r="L3534" s="16"/>
      <c r="M3534" s="21"/>
    </row>
    <row r="3535">
      <c r="A3535" s="28">
        <v>46232.0</v>
      </c>
      <c r="B3535" s="16" t="s">
        <v>13195</v>
      </c>
      <c r="C3535" s="20" t="s">
        <v>284</v>
      </c>
      <c r="D3535" s="21"/>
      <c r="E3535" s="22" t="s">
        <v>13196</v>
      </c>
      <c r="H3535" s="78"/>
      <c r="I3535" s="21"/>
      <c r="J3535" s="25"/>
      <c r="K3535" s="26" t="s">
        <v>44</v>
      </c>
      <c r="L3535" s="16"/>
      <c r="M3535" s="21"/>
    </row>
    <row r="3536">
      <c r="A3536" s="28">
        <v>46232.0</v>
      </c>
      <c r="B3536" s="16" t="s">
        <v>13197</v>
      </c>
      <c r="C3536" s="20" t="s">
        <v>13198</v>
      </c>
      <c r="D3536" s="21"/>
      <c r="E3536" s="22" t="s">
        <v>13199</v>
      </c>
      <c r="H3536" s="78"/>
      <c r="I3536" s="21"/>
      <c r="J3536" s="25"/>
      <c r="K3536" s="26" t="s">
        <v>44</v>
      </c>
      <c r="L3536" s="16"/>
      <c r="M3536" s="21"/>
    </row>
    <row r="3537">
      <c r="A3537" s="28">
        <v>46232.0</v>
      </c>
      <c r="B3537" s="16" t="s">
        <v>13200</v>
      </c>
      <c r="C3537" s="20" t="s">
        <v>13201</v>
      </c>
      <c r="D3537" s="21"/>
      <c r="E3537" s="22" t="s">
        <v>13202</v>
      </c>
      <c r="H3537" s="23" t="s">
        <v>146</v>
      </c>
      <c r="I3537" s="21"/>
      <c r="J3537" s="25"/>
      <c r="K3537" s="26" t="s">
        <v>44</v>
      </c>
      <c r="L3537" s="16"/>
      <c r="M3537" s="21"/>
    </row>
    <row r="3538">
      <c r="A3538" s="28">
        <v>46232.0</v>
      </c>
      <c r="B3538" s="16" t="s">
        <v>13203</v>
      </c>
      <c r="C3538" s="20" t="s">
        <v>13204</v>
      </c>
      <c r="D3538" s="21"/>
      <c r="E3538" s="41"/>
      <c r="H3538" s="78"/>
      <c r="I3538" s="21"/>
      <c r="J3538" s="25"/>
      <c r="K3538" s="26" t="s">
        <v>44</v>
      </c>
      <c r="L3538" s="16"/>
      <c r="M3538" s="21"/>
    </row>
    <row r="3539">
      <c r="A3539" s="28">
        <v>46232.0</v>
      </c>
      <c r="B3539" s="16" t="s">
        <v>13205</v>
      </c>
      <c r="C3539" s="20" t="s">
        <v>13206</v>
      </c>
      <c r="D3539" s="21"/>
      <c r="E3539" s="22" t="s">
        <v>13207</v>
      </c>
      <c r="H3539" s="78"/>
      <c r="I3539" s="21"/>
      <c r="J3539" s="25"/>
      <c r="K3539" s="26" t="s">
        <v>44</v>
      </c>
      <c r="L3539" s="16"/>
      <c r="M3539" s="21"/>
    </row>
    <row r="3540">
      <c r="A3540" s="28">
        <v>46232.0</v>
      </c>
      <c r="B3540" s="16" t="s">
        <v>13208</v>
      </c>
      <c r="C3540" s="20" t="s">
        <v>13209</v>
      </c>
      <c r="D3540" s="21"/>
      <c r="E3540" s="22" t="s">
        <v>13210</v>
      </c>
      <c r="H3540" s="78"/>
      <c r="I3540" s="21"/>
      <c r="J3540" s="25"/>
      <c r="K3540" s="26" t="s">
        <v>44</v>
      </c>
      <c r="L3540" s="16"/>
      <c r="M3540" s="21"/>
    </row>
    <row r="3541">
      <c r="A3541" s="28">
        <v>46232.0</v>
      </c>
      <c r="B3541" s="16" t="s">
        <v>13211</v>
      </c>
      <c r="C3541" s="20" t="s">
        <v>656</v>
      </c>
      <c r="D3541" s="21"/>
      <c r="E3541" s="22" t="s">
        <v>13212</v>
      </c>
      <c r="H3541" s="78"/>
      <c r="I3541" s="21"/>
      <c r="J3541" s="25"/>
      <c r="K3541" s="26" t="s">
        <v>44</v>
      </c>
      <c r="L3541" s="16"/>
      <c r="M3541" s="21"/>
    </row>
    <row r="3542">
      <c r="A3542" s="28">
        <v>46232.0</v>
      </c>
      <c r="B3542" s="16" t="s">
        <v>13213</v>
      </c>
      <c r="C3542" s="20" t="s">
        <v>13214</v>
      </c>
      <c r="D3542" s="21"/>
      <c r="E3542" s="22" t="s">
        <v>13215</v>
      </c>
      <c r="H3542" s="78"/>
      <c r="I3542" s="21"/>
      <c r="J3542" s="25"/>
      <c r="K3542" s="26" t="s">
        <v>44</v>
      </c>
      <c r="L3542" s="16"/>
      <c r="M3542" s="21"/>
    </row>
    <row r="3543">
      <c r="A3543" s="28">
        <v>46232.0</v>
      </c>
      <c r="B3543" s="16" t="s">
        <v>13216</v>
      </c>
      <c r="C3543" s="20" t="s">
        <v>13217</v>
      </c>
      <c r="D3543" s="21"/>
      <c r="E3543" s="22" t="s">
        <v>13218</v>
      </c>
      <c r="H3543" s="78"/>
      <c r="I3543" s="21"/>
      <c r="J3543" s="25"/>
      <c r="K3543" s="26" t="s">
        <v>44</v>
      </c>
      <c r="L3543" s="16"/>
      <c r="M3543" s="21"/>
    </row>
    <row r="3544">
      <c r="A3544" s="28">
        <v>46232.0</v>
      </c>
      <c r="B3544" s="16" t="s">
        <v>13219</v>
      </c>
      <c r="C3544" s="20" t="s">
        <v>675</v>
      </c>
      <c r="D3544" s="21"/>
      <c r="E3544" s="22" t="s">
        <v>13220</v>
      </c>
      <c r="H3544" s="78"/>
      <c r="I3544" s="21"/>
      <c r="J3544" s="25"/>
      <c r="K3544" s="26" t="s">
        <v>44</v>
      </c>
      <c r="L3544" s="16"/>
      <c r="M3544" s="21"/>
    </row>
    <row r="3545">
      <c r="A3545" s="28">
        <v>46232.0</v>
      </c>
      <c r="B3545" s="16" t="s">
        <v>13221</v>
      </c>
      <c r="C3545" s="20" t="s">
        <v>692</v>
      </c>
      <c r="D3545" s="21"/>
      <c r="E3545" s="41"/>
      <c r="H3545" s="78"/>
      <c r="I3545" s="21"/>
      <c r="J3545" s="25"/>
      <c r="K3545" s="26" t="s">
        <v>44</v>
      </c>
      <c r="L3545" s="16"/>
      <c r="M3545" s="21"/>
    </row>
    <row r="3546">
      <c r="A3546" s="28">
        <v>46232.0</v>
      </c>
      <c r="B3546" s="16" t="s">
        <v>13222</v>
      </c>
      <c r="C3546" s="20" t="s">
        <v>3727</v>
      </c>
      <c r="D3546" s="21"/>
      <c r="E3546" s="22" t="s">
        <v>13223</v>
      </c>
      <c r="H3546" s="78"/>
      <c r="I3546" s="21"/>
      <c r="J3546" s="25"/>
      <c r="K3546" s="26" t="s">
        <v>44</v>
      </c>
      <c r="L3546" s="16"/>
      <c r="M3546" s="21"/>
    </row>
    <row r="3547">
      <c r="A3547" s="28">
        <v>46232.0</v>
      </c>
      <c r="B3547" s="16" t="s">
        <v>13224</v>
      </c>
      <c r="C3547" s="20" t="s">
        <v>921</v>
      </c>
      <c r="D3547" s="21"/>
      <c r="E3547" s="22" t="s">
        <v>13225</v>
      </c>
      <c r="H3547" s="78"/>
      <c r="I3547" s="21"/>
      <c r="J3547" s="25"/>
      <c r="K3547" s="26" t="s">
        <v>44</v>
      </c>
      <c r="L3547" s="16"/>
      <c r="M3547" s="21"/>
    </row>
    <row r="3548">
      <c r="A3548" s="28">
        <v>46245.0</v>
      </c>
      <c r="B3548" s="16" t="s">
        <v>13226</v>
      </c>
      <c r="C3548" s="43" t="s">
        <v>13227</v>
      </c>
      <c r="D3548" s="17" t="s">
        <v>13228</v>
      </c>
      <c r="E3548" s="79" t="s">
        <v>13229</v>
      </c>
      <c r="F3548" s="80" t="s">
        <v>13230</v>
      </c>
      <c r="G3548" s="19" t="s">
        <v>13231</v>
      </c>
      <c r="H3548" s="81" t="s">
        <v>47</v>
      </c>
      <c r="I3548" s="17" t="s">
        <v>33</v>
      </c>
      <c r="J3548" s="19" t="s">
        <v>13232</v>
      </c>
      <c r="K3548" s="26" t="s">
        <v>44</v>
      </c>
      <c r="L3548" s="19" t="s">
        <v>13233</v>
      </c>
      <c r="M3548" s="17" t="s">
        <v>33</v>
      </c>
      <c r="O3548" s="19">
        <v>2019.0</v>
      </c>
      <c r="P3548" s="19">
        <v>144.0</v>
      </c>
    </row>
    <row r="3549">
      <c r="A3549" s="28">
        <v>46245.0</v>
      </c>
      <c r="B3549" s="16" t="s">
        <v>13234</v>
      </c>
      <c r="C3549" s="43" t="s">
        <v>13235</v>
      </c>
      <c r="D3549" s="17" t="s">
        <v>13236</v>
      </c>
      <c r="E3549" s="22" t="s">
        <v>13237</v>
      </c>
      <c r="F3549" s="80" t="s">
        <v>13238</v>
      </c>
      <c r="G3549" s="19" t="s">
        <v>13239</v>
      </c>
      <c r="H3549" s="81" t="s">
        <v>2549</v>
      </c>
      <c r="I3549" s="17" t="s">
        <v>33</v>
      </c>
      <c r="J3549" s="19" t="s">
        <v>13232</v>
      </c>
      <c r="K3549" s="26" t="s">
        <v>44</v>
      </c>
      <c r="L3549" s="19" t="s">
        <v>13240</v>
      </c>
      <c r="M3549" s="17" t="s">
        <v>33</v>
      </c>
      <c r="O3549" s="19">
        <v>2020.0</v>
      </c>
      <c r="P3549" s="19">
        <v>617.0</v>
      </c>
    </row>
    <row r="3550">
      <c r="A3550" s="28">
        <v>46245.0</v>
      </c>
      <c r="B3550" s="16" t="s">
        <v>13241</v>
      </c>
      <c r="C3550" s="43" t="s">
        <v>13242</v>
      </c>
      <c r="D3550" s="17" t="s">
        <v>157</v>
      </c>
      <c r="E3550" s="82" t="s">
        <v>13243</v>
      </c>
      <c r="F3550" s="24" t="s">
        <v>13244</v>
      </c>
      <c r="G3550" s="19" t="s">
        <v>107</v>
      </c>
      <c r="H3550" s="81" t="s">
        <v>2549</v>
      </c>
      <c r="I3550" s="17" t="s">
        <v>33</v>
      </c>
      <c r="J3550" s="19" t="s">
        <v>13245</v>
      </c>
      <c r="K3550" s="26" t="s">
        <v>44</v>
      </c>
      <c r="L3550" s="19" t="s">
        <v>13240</v>
      </c>
      <c r="M3550" s="17" t="s">
        <v>33</v>
      </c>
      <c r="O3550" s="19">
        <v>2008.0</v>
      </c>
      <c r="P3550" s="19">
        <v>1070.0</v>
      </c>
    </row>
    <row r="3551">
      <c r="A3551" s="28">
        <v>46263.0</v>
      </c>
      <c r="B3551" s="16" t="s">
        <v>13246</v>
      </c>
      <c r="C3551" s="43" t="s">
        <v>13247</v>
      </c>
      <c r="D3551" s="21"/>
      <c r="E3551" s="37"/>
      <c r="H3551" s="78"/>
      <c r="I3551" s="21"/>
      <c r="J3551" s="25"/>
      <c r="K3551" s="26"/>
      <c r="L3551" s="16"/>
      <c r="M3551" s="21"/>
    </row>
    <row r="3552">
      <c r="A3552" s="28">
        <v>46263.0</v>
      </c>
      <c r="B3552" s="16" t="s">
        <v>13248</v>
      </c>
      <c r="C3552" s="43" t="s">
        <v>13249</v>
      </c>
      <c r="D3552" s="21"/>
      <c r="E3552" s="37"/>
      <c r="H3552" s="78"/>
      <c r="I3552" s="21"/>
      <c r="J3552" s="25"/>
      <c r="K3552" s="26"/>
      <c r="L3552" s="16"/>
      <c r="M3552" s="21"/>
    </row>
    <row r="3553">
      <c r="A3553" s="28" t="s">
        <v>174</v>
      </c>
      <c r="B3553" s="16"/>
      <c r="C3553" s="20"/>
      <c r="D3553" s="21"/>
      <c r="E3553" s="37"/>
      <c r="H3553" s="78"/>
      <c r="I3553" s="21"/>
      <c r="J3553" s="25"/>
      <c r="K3553" s="26"/>
      <c r="L3553" s="16"/>
      <c r="M3553" s="21"/>
    </row>
    <row r="3554">
      <c r="A3554" s="28" t="s">
        <v>174</v>
      </c>
      <c r="B3554" s="16"/>
      <c r="C3554" s="20"/>
      <c r="D3554" s="21"/>
      <c r="E3554" s="37"/>
      <c r="H3554" s="78"/>
      <c r="I3554" s="21"/>
      <c r="J3554" s="25"/>
      <c r="K3554" s="26"/>
      <c r="L3554" s="16"/>
      <c r="M3554" s="21"/>
    </row>
    <row r="3555">
      <c r="A3555" s="28" t="s">
        <v>174</v>
      </c>
      <c r="B3555" s="16"/>
      <c r="C3555" s="20"/>
      <c r="D3555" s="21"/>
      <c r="E3555" s="37"/>
      <c r="H3555" s="78"/>
      <c r="I3555" s="21"/>
      <c r="J3555" s="25"/>
      <c r="K3555" s="26"/>
      <c r="L3555" s="16"/>
      <c r="M3555" s="21"/>
    </row>
    <row r="3556">
      <c r="A3556" s="28" t="s">
        <v>174</v>
      </c>
      <c r="B3556" s="16"/>
      <c r="C3556" s="20"/>
      <c r="D3556" s="21"/>
      <c r="E3556" s="37"/>
      <c r="H3556" s="78"/>
      <c r="I3556" s="21"/>
      <c r="J3556" s="25"/>
      <c r="K3556" s="26"/>
      <c r="L3556" s="16"/>
      <c r="M3556" s="21"/>
    </row>
    <row r="3557">
      <c r="A3557" s="28" t="s">
        <v>174</v>
      </c>
      <c r="B3557" s="16"/>
      <c r="C3557" s="20"/>
      <c r="D3557" s="21"/>
      <c r="E3557" s="37"/>
      <c r="H3557" s="78"/>
      <c r="I3557" s="21"/>
      <c r="J3557" s="25"/>
      <c r="K3557" s="26"/>
      <c r="L3557" s="16"/>
      <c r="M3557" s="21"/>
    </row>
    <row r="3558">
      <c r="A3558" s="28" t="s">
        <v>174</v>
      </c>
      <c r="B3558" s="16"/>
      <c r="C3558" s="20"/>
      <c r="D3558" s="21"/>
      <c r="E3558" s="37"/>
      <c r="H3558" s="78"/>
      <c r="I3558" s="21"/>
      <c r="J3558" s="25"/>
      <c r="K3558" s="26"/>
      <c r="L3558" s="16"/>
      <c r="M3558" s="21"/>
    </row>
    <row r="3559">
      <c r="A3559" s="28" t="s">
        <v>174</v>
      </c>
      <c r="B3559" s="16"/>
      <c r="C3559" s="20"/>
      <c r="D3559" s="21"/>
      <c r="E3559" s="37"/>
      <c r="H3559" s="78"/>
      <c r="I3559" s="21"/>
      <c r="J3559" s="25"/>
      <c r="K3559" s="26"/>
      <c r="L3559" s="16"/>
      <c r="M3559" s="21"/>
    </row>
    <row r="3560">
      <c r="A3560" s="28" t="s">
        <v>174</v>
      </c>
      <c r="B3560" s="16"/>
      <c r="C3560" s="20"/>
      <c r="D3560" s="21"/>
      <c r="E3560" s="37"/>
      <c r="H3560" s="78"/>
      <c r="I3560" s="21"/>
      <c r="J3560" s="25"/>
      <c r="K3560" s="26"/>
      <c r="L3560" s="16"/>
      <c r="M3560" s="21"/>
    </row>
    <row r="3561">
      <c r="A3561" s="28" t="s">
        <v>174</v>
      </c>
      <c r="B3561" s="16"/>
      <c r="C3561" s="20"/>
      <c r="D3561" s="21"/>
      <c r="E3561" s="37"/>
      <c r="H3561" s="78"/>
      <c r="I3561" s="21"/>
      <c r="J3561" s="25"/>
      <c r="K3561" s="26"/>
      <c r="L3561" s="16"/>
      <c r="M3561" s="21"/>
    </row>
    <row r="3562">
      <c r="A3562" s="28" t="s">
        <v>174</v>
      </c>
      <c r="B3562" s="16"/>
      <c r="C3562" s="20"/>
      <c r="D3562" s="21"/>
      <c r="E3562" s="37"/>
      <c r="H3562" s="78"/>
      <c r="I3562" s="21"/>
      <c r="J3562" s="25"/>
      <c r="K3562" s="26"/>
      <c r="L3562" s="16"/>
      <c r="M3562" s="21"/>
    </row>
    <row r="3563">
      <c r="A3563" s="28" t="s">
        <v>174</v>
      </c>
      <c r="B3563" s="16"/>
      <c r="C3563" s="20"/>
      <c r="D3563" s="21"/>
      <c r="E3563" s="37"/>
      <c r="H3563" s="78"/>
      <c r="I3563" s="21"/>
      <c r="J3563" s="25"/>
      <c r="K3563" s="26"/>
      <c r="L3563" s="16"/>
      <c r="M3563" s="21"/>
    </row>
    <row r="3564">
      <c r="A3564" s="28" t="s">
        <v>174</v>
      </c>
      <c r="B3564" s="16"/>
      <c r="C3564" s="20"/>
      <c r="D3564" s="21"/>
      <c r="E3564" s="37"/>
      <c r="H3564" s="78"/>
      <c r="I3564" s="21"/>
      <c r="J3564" s="25"/>
      <c r="K3564" s="26"/>
      <c r="L3564" s="16"/>
      <c r="M3564" s="21"/>
    </row>
    <row r="3565">
      <c r="A3565" s="28" t="s">
        <v>174</v>
      </c>
      <c r="B3565" s="16"/>
      <c r="C3565" s="20"/>
      <c r="D3565" s="21"/>
      <c r="E3565" s="37"/>
      <c r="H3565" s="78"/>
      <c r="I3565" s="21"/>
      <c r="J3565" s="25"/>
      <c r="K3565" s="26"/>
      <c r="L3565" s="16"/>
      <c r="M3565" s="21"/>
    </row>
    <row r="3566">
      <c r="A3566" s="28" t="s">
        <v>174</v>
      </c>
      <c r="B3566" s="16"/>
      <c r="C3566" s="20"/>
      <c r="D3566" s="21"/>
      <c r="E3566" s="37"/>
      <c r="H3566" s="78"/>
      <c r="I3566" s="21"/>
      <c r="J3566" s="25"/>
      <c r="K3566" s="26"/>
      <c r="L3566" s="16"/>
      <c r="M3566" s="21"/>
    </row>
    <row r="3567">
      <c r="A3567" s="28" t="s">
        <v>174</v>
      </c>
      <c r="B3567" s="16"/>
      <c r="C3567" s="20"/>
      <c r="D3567" s="21"/>
      <c r="E3567" s="37"/>
      <c r="H3567" s="78"/>
      <c r="I3567" s="21"/>
      <c r="J3567" s="25"/>
      <c r="K3567" s="26"/>
      <c r="L3567" s="16"/>
      <c r="M3567" s="21"/>
    </row>
    <row r="3568">
      <c r="A3568" s="28" t="s">
        <v>174</v>
      </c>
      <c r="B3568" s="16"/>
      <c r="C3568" s="20"/>
      <c r="D3568" s="21"/>
      <c r="E3568" s="37"/>
      <c r="H3568" s="78"/>
      <c r="I3568" s="21"/>
      <c r="J3568" s="25"/>
      <c r="K3568" s="26"/>
      <c r="L3568" s="16"/>
      <c r="M3568" s="21"/>
    </row>
    <row r="3569">
      <c r="A3569" s="28" t="s">
        <v>174</v>
      </c>
      <c r="B3569" s="16"/>
      <c r="C3569" s="20"/>
      <c r="D3569" s="21"/>
      <c r="E3569" s="37"/>
      <c r="H3569" s="78"/>
      <c r="I3569" s="21"/>
      <c r="J3569" s="25"/>
      <c r="K3569" s="26"/>
      <c r="L3569" s="16"/>
      <c r="M3569" s="21"/>
    </row>
    <row r="3570">
      <c r="A3570" s="28" t="s">
        <v>174</v>
      </c>
      <c r="B3570" s="16"/>
      <c r="C3570" s="20"/>
      <c r="D3570" s="21"/>
      <c r="E3570" s="37"/>
      <c r="H3570" s="78"/>
      <c r="I3570" s="21"/>
      <c r="J3570" s="25"/>
      <c r="K3570" s="26"/>
      <c r="L3570" s="16"/>
      <c r="M3570" s="21"/>
    </row>
    <row r="3571">
      <c r="A3571" s="28" t="s">
        <v>174</v>
      </c>
      <c r="B3571" s="16"/>
      <c r="C3571" s="20"/>
      <c r="D3571" s="21"/>
      <c r="E3571" s="37"/>
      <c r="H3571" s="78"/>
      <c r="I3571" s="21"/>
      <c r="J3571" s="25"/>
      <c r="K3571" s="26"/>
      <c r="L3571" s="16"/>
      <c r="M3571" s="21"/>
    </row>
    <row r="3572">
      <c r="A3572" s="28" t="s">
        <v>174</v>
      </c>
      <c r="B3572" s="16"/>
      <c r="C3572" s="20"/>
      <c r="D3572" s="21"/>
      <c r="E3572" s="37"/>
      <c r="H3572" s="78"/>
      <c r="I3572" s="21"/>
      <c r="J3572" s="25"/>
      <c r="K3572" s="26"/>
      <c r="L3572" s="16"/>
      <c r="M3572" s="21"/>
    </row>
    <row r="3573">
      <c r="A3573" s="28" t="s">
        <v>174</v>
      </c>
      <c r="B3573" s="16"/>
      <c r="C3573" s="20"/>
      <c r="D3573" s="21"/>
      <c r="E3573" s="37"/>
      <c r="H3573" s="78"/>
      <c r="I3573" s="21"/>
      <c r="J3573" s="25"/>
      <c r="K3573" s="26"/>
      <c r="L3573" s="16"/>
      <c r="M3573" s="21"/>
    </row>
    <row r="3574">
      <c r="A3574" s="28" t="s">
        <v>174</v>
      </c>
      <c r="B3574" s="16"/>
      <c r="C3574" s="20"/>
      <c r="D3574" s="21"/>
      <c r="E3574" s="37"/>
      <c r="H3574" s="78"/>
      <c r="I3574" s="21"/>
      <c r="J3574" s="25"/>
      <c r="K3574" s="26"/>
      <c r="L3574" s="16"/>
      <c r="M3574" s="21"/>
    </row>
    <row r="3575">
      <c r="A3575" s="28" t="s">
        <v>174</v>
      </c>
      <c r="B3575" s="16"/>
      <c r="C3575" s="20"/>
      <c r="D3575" s="21"/>
      <c r="E3575" s="37"/>
      <c r="H3575" s="78"/>
      <c r="I3575" s="21"/>
      <c r="J3575" s="25"/>
      <c r="K3575" s="26"/>
      <c r="L3575" s="16"/>
      <c r="M3575" s="21"/>
    </row>
    <row r="3576">
      <c r="A3576" s="28" t="s">
        <v>174</v>
      </c>
      <c r="B3576" s="16"/>
      <c r="C3576" s="20"/>
      <c r="D3576" s="21"/>
      <c r="E3576" s="37"/>
      <c r="H3576" s="78"/>
      <c r="I3576" s="21"/>
      <c r="J3576" s="25"/>
      <c r="K3576" s="26"/>
      <c r="L3576" s="16"/>
      <c r="M3576" s="21"/>
    </row>
    <row r="3577">
      <c r="A3577" s="28" t="s">
        <v>174</v>
      </c>
      <c r="B3577" s="16"/>
      <c r="C3577" s="20"/>
      <c r="D3577" s="21"/>
      <c r="E3577" s="37"/>
      <c r="H3577" s="78"/>
      <c r="I3577" s="21"/>
      <c r="J3577" s="25"/>
      <c r="K3577" s="26"/>
      <c r="L3577" s="16"/>
      <c r="M3577" s="21"/>
    </row>
  </sheetData>
  <dataValidations>
    <dataValidation type="list" allowBlank="1" showErrorMessage="1" sqref="D2:D3577">
      <formula1>"Ed-Tech,AI Solutions,Publishing,Localization,Technology,Recruitment,BPO"</formula1>
    </dataValidation>
    <dataValidation type="list" allowBlank="1" showErrorMessage="1" sqref="I2:I3577 M2:M3577">
      <formula1>"Sandeep Kumar,Bakhshish"</formula1>
    </dataValidation>
    <dataValidation type="list" allowBlank="1" showErrorMessage="1" sqref="J2:J3577">
      <formula1>"StartUp,SME,Enterprise"</formula1>
    </dataValidation>
    <dataValidation type="list" allowBlank="1" showErrorMessage="1" sqref="L2:L3577">
      <formula1>"High,Medium,Low"</formula1>
    </dataValidation>
    <dataValidation type="list" allowBlank="1" showErrorMessage="1" sqref="K2:K3577">
      <formula1>"New,Qualified,Contacted,Proposal,Won,Lost"</formula1>
    </dataValidation>
  </dataValidations>
  <hyperlinks>
    <hyperlink r:id="rId1" ref="E2"/>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C153"/>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C179"/>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C209"/>
    <hyperlink r:id="rId210" ref="E209"/>
    <hyperlink r:id="rId211" ref="E210"/>
    <hyperlink r:id="rId212" ref="E211"/>
    <hyperlink r:id="rId213" ref="E212"/>
    <hyperlink r:id="rId214" ref="E213"/>
    <hyperlink r:id="rId215" ref="E214"/>
    <hyperlink r:id="rId216" ref="E215"/>
    <hyperlink r:id="rId217" ref="E216"/>
    <hyperlink r:id="rId218" ref="E217"/>
    <hyperlink r:id="rId219" ref="C218"/>
    <hyperlink r:id="rId220" ref="E218"/>
    <hyperlink r:id="rId221" ref="E219"/>
    <hyperlink r:id="rId222" ref="E220"/>
    <hyperlink r:id="rId223" ref="E221"/>
    <hyperlink r:id="rId224" ref="E222"/>
    <hyperlink r:id="rId225" ref="E223"/>
    <hyperlink r:id="rId226" ref="E224"/>
    <hyperlink r:id="rId227" ref="E225"/>
    <hyperlink r:id="rId228" ref="E226"/>
    <hyperlink r:id="rId229" ref="E227"/>
    <hyperlink r:id="rId230" ref="E228"/>
    <hyperlink r:id="rId231" ref="E229"/>
    <hyperlink r:id="rId232" ref="E230"/>
    <hyperlink r:id="rId233" ref="E231"/>
    <hyperlink r:id="rId234" ref="E232"/>
    <hyperlink r:id="rId235" ref="E233"/>
    <hyperlink r:id="rId236" ref="E234"/>
    <hyperlink r:id="rId237" ref="E235"/>
    <hyperlink r:id="rId238" ref="E236"/>
    <hyperlink r:id="rId239" ref="E237"/>
    <hyperlink r:id="rId240" ref="E238"/>
    <hyperlink r:id="rId241" ref="E239"/>
    <hyperlink r:id="rId242" ref="E240"/>
    <hyperlink r:id="rId243" ref="E241"/>
    <hyperlink r:id="rId244" ref="E242"/>
    <hyperlink r:id="rId245" ref="E243"/>
    <hyperlink r:id="rId246" ref="E244"/>
    <hyperlink r:id="rId247" ref="E245"/>
    <hyperlink r:id="rId248" ref="E246"/>
    <hyperlink r:id="rId249" ref="E247"/>
    <hyperlink r:id="rId250" ref="E248"/>
    <hyperlink r:id="rId251" ref="E249"/>
    <hyperlink r:id="rId252" ref="E250"/>
    <hyperlink r:id="rId253" ref="E251"/>
    <hyperlink r:id="rId254" ref="E252"/>
    <hyperlink r:id="rId255" ref="E253"/>
    <hyperlink r:id="rId256" ref="E254"/>
    <hyperlink r:id="rId257" ref="E255"/>
    <hyperlink r:id="rId258" ref="E256"/>
    <hyperlink r:id="rId259" ref="E257"/>
    <hyperlink r:id="rId260" ref="E258"/>
    <hyperlink r:id="rId261" ref="E259"/>
    <hyperlink r:id="rId262" ref="E260"/>
    <hyperlink r:id="rId263" ref="E261"/>
    <hyperlink r:id="rId264" ref="E262"/>
    <hyperlink r:id="rId265" ref="E263"/>
    <hyperlink r:id="rId266" ref="E264"/>
    <hyperlink r:id="rId267" ref="E265"/>
    <hyperlink r:id="rId268" ref="E266"/>
    <hyperlink r:id="rId269" ref="E267"/>
    <hyperlink r:id="rId270" ref="E268"/>
    <hyperlink r:id="rId271" ref="E269"/>
    <hyperlink r:id="rId272" ref="E270"/>
    <hyperlink r:id="rId273" ref="E271"/>
    <hyperlink r:id="rId274" ref="E272"/>
    <hyperlink r:id="rId275" ref="E273"/>
    <hyperlink r:id="rId276" ref="E274"/>
    <hyperlink r:id="rId277" ref="E275"/>
    <hyperlink r:id="rId278" ref="E276"/>
    <hyperlink r:id="rId279" ref="E277"/>
    <hyperlink r:id="rId280" ref="E278"/>
    <hyperlink r:id="rId281" ref="E279"/>
    <hyperlink r:id="rId282" ref="E280"/>
    <hyperlink r:id="rId283" ref="E281"/>
    <hyperlink r:id="rId284" ref="E282"/>
    <hyperlink r:id="rId285" ref="E283"/>
    <hyperlink r:id="rId286" ref="E284"/>
    <hyperlink r:id="rId287" ref="E285"/>
    <hyperlink r:id="rId288" ref="E286"/>
    <hyperlink r:id="rId289" ref="E287"/>
    <hyperlink r:id="rId290" ref="E288"/>
    <hyperlink r:id="rId291" ref="E289"/>
    <hyperlink r:id="rId292" ref="E290"/>
    <hyperlink r:id="rId293" ref="E291"/>
    <hyperlink r:id="rId294" ref="E292"/>
    <hyperlink r:id="rId295" ref="E293"/>
    <hyperlink r:id="rId296" ref="E294"/>
    <hyperlink r:id="rId297" ref="E295"/>
    <hyperlink r:id="rId298" ref="E296"/>
    <hyperlink r:id="rId299" ref="E297"/>
    <hyperlink r:id="rId300" ref="E298"/>
    <hyperlink r:id="rId301" ref="E299"/>
    <hyperlink r:id="rId302" ref="E300"/>
    <hyperlink r:id="rId303" ref="E301"/>
    <hyperlink r:id="rId304" ref="E302"/>
    <hyperlink r:id="rId305" ref="E303"/>
    <hyperlink r:id="rId306" ref="E304"/>
    <hyperlink r:id="rId307" ref="E305"/>
    <hyperlink r:id="rId308" ref="E306"/>
    <hyperlink r:id="rId309" ref="E307"/>
    <hyperlink r:id="rId310" ref="E308"/>
    <hyperlink r:id="rId311" ref="E309"/>
    <hyperlink r:id="rId312" ref="E310"/>
    <hyperlink r:id="rId313" ref="E311"/>
    <hyperlink r:id="rId314" ref="E312"/>
    <hyperlink r:id="rId315" ref="E313"/>
    <hyperlink r:id="rId316" ref="E314"/>
    <hyperlink r:id="rId317" ref="E315"/>
    <hyperlink r:id="rId318" ref="C316"/>
    <hyperlink r:id="rId319" ref="E316"/>
    <hyperlink r:id="rId320" ref="E317"/>
    <hyperlink r:id="rId321" ref="E318"/>
    <hyperlink r:id="rId322" ref="E319"/>
    <hyperlink r:id="rId323" ref="E320"/>
    <hyperlink r:id="rId324" ref="C321"/>
    <hyperlink r:id="rId325" ref="E321"/>
    <hyperlink r:id="rId326" ref="E322"/>
    <hyperlink r:id="rId327" ref="E323"/>
    <hyperlink r:id="rId328" ref="E324"/>
    <hyperlink r:id="rId329" ref="E325"/>
    <hyperlink r:id="rId330" ref="E326"/>
    <hyperlink r:id="rId331" ref="E327"/>
    <hyperlink r:id="rId332" ref="E328"/>
    <hyperlink r:id="rId333" ref="E329"/>
    <hyperlink r:id="rId334" ref="E330"/>
    <hyperlink r:id="rId335" ref="E331"/>
    <hyperlink r:id="rId336" ref="E332"/>
    <hyperlink r:id="rId337" ref="E333"/>
    <hyperlink r:id="rId338" ref="E334"/>
    <hyperlink r:id="rId339" ref="E335"/>
    <hyperlink r:id="rId340" ref="E336"/>
    <hyperlink r:id="rId341" ref="E337"/>
    <hyperlink r:id="rId342" ref="E338"/>
    <hyperlink r:id="rId343" ref="E339"/>
    <hyperlink r:id="rId344" ref="E340"/>
    <hyperlink r:id="rId345" ref="E341"/>
    <hyperlink r:id="rId346" ref="E342"/>
    <hyperlink r:id="rId347" ref="E343"/>
    <hyperlink r:id="rId348" ref="E344"/>
    <hyperlink r:id="rId349" ref="E345"/>
    <hyperlink r:id="rId350" ref="E346"/>
    <hyperlink r:id="rId351" ref="E347"/>
    <hyperlink r:id="rId352" ref="E348"/>
    <hyperlink r:id="rId353" ref="E349"/>
    <hyperlink r:id="rId354" ref="E350"/>
    <hyperlink r:id="rId355" ref="E351"/>
    <hyperlink r:id="rId356" ref="E352"/>
    <hyperlink r:id="rId357" ref="E353"/>
    <hyperlink r:id="rId358" ref="E354"/>
    <hyperlink r:id="rId359" ref="E355"/>
    <hyperlink r:id="rId360" ref="E356"/>
    <hyperlink r:id="rId361" ref="E357"/>
    <hyperlink r:id="rId362" ref="E358"/>
    <hyperlink r:id="rId363" ref="E359"/>
    <hyperlink r:id="rId364" ref="E360"/>
    <hyperlink r:id="rId365" ref="E361"/>
    <hyperlink r:id="rId366" ref="E362"/>
    <hyperlink r:id="rId367" ref="E363"/>
    <hyperlink r:id="rId368" ref="E364"/>
    <hyperlink r:id="rId369" ref="E365"/>
    <hyperlink r:id="rId370" ref="E366"/>
    <hyperlink r:id="rId371" ref="E367"/>
    <hyperlink r:id="rId372" ref="C368"/>
    <hyperlink r:id="rId373" ref="E368"/>
    <hyperlink r:id="rId374" ref="E369"/>
    <hyperlink r:id="rId375" ref="E370"/>
    <hyperlink r:id="rId376" ref="E371"/>
    <hyperlink r:id="rId377" ref="E372"/>
    <hyperlink r:id="rId378" ref="E373"/>
    <hyperlink r:id="rId379" ref="E374"/>
    <hyperlink r:id="rId380" ref="E375"/>
    <hyperlink r:id="rId381" ref="E376"/>
    <hyperlink r:id="rId382" ref="E377"/>
    <hyperlink r:id="rId383" ref="E378"/>
    <hyperlink r:id="rId384" ref="E379"/>
    <hyperlink r:id="rId385" ref="E380"/>
    <hyperlink r:id="rId386" ref="E381"/>
    <hyperlink r:id="rId387" ref="E382"/>
    <hyperlink r:id="rId388" ref="E383"/>
    <hyperlink r:id="rId389" ref="E384"/>
    <hyperlink r:id="rId390" ref="E385"/>
    <hyperlink r:id="rId391" ref="E386"/>
    <hyperlink r:id="rId392" ref="E387"/>
    <hyperlink r:id="rId393" ref="E388"/>
    <hyperlink r:id="rId394" ref="E389"/>
    <hyperlink r:id="rId395" ref="E390"/>
    <hyperlink r:id="rId396" ref="E391"/>
    <hyperlink r:id="rId397" ref="E392"/>
    <hyperlink r:id="rId398" ref="E393"/>
    <hyperlink r:id="rId399" ref="E394"/>
    <hyperlink r:id="rId400" ref="E395"/>
    <hyperlink r:id="rId401" ref="E396"/>
    <hyperlink r:id="rId402" ref="E397"/>
    <hyperlink r:id="rId403" ref="C398"/>
    <hyperlink r:id="rId404" ref="E398"/>
    <hyperlink r:id="rId405" ref="E399"/>
    <hyperlink r:id="rId406" ref="E400"/>
    <hyperlink r:id="rId407" ref="E401"/>
    <hyperlink r:id="rId408" ref="E402"/>
    <hyperlink r:id="rId409" ref="E403"/>
    <hyperlink r:id="rId410" ref="E404"/>
    <hyperlink r:id="rId411" ref="E405"/>
    <hyperlink r:id="rId412" ref="E406"/>
    <hyperlink r:id="rId413" ref="E407"/>
    <hyperlink r:id="rId414" ref="E408"/>
    <hyperlink r:id="rId415" ref="E409"/>
    <hyperlink r:id="rId416" ref="E410"/>
    <hyperlink r:id="rId417" ref="E411"/>
    <hyperlink r:id="rId418" ref="E412"/>
    <hyperlink r:id="rId419" ref="E413"/>
    <hyperlink r:id="rId420" ref="E414"/>
    <hyperlink r:id="rId421" ref="E415"/>
    <hyperlink r:id="rId422" ref="E416"/>
    <hyperlink r:id="rId423" ref="E417"/>
    <hyperlink r:id="rId424" ref="E418"/>
    <hyperlink r:id="rId425" ref="E419"/>
    <hyperlink r:id="rId426" ref="E420"/>
    <hyperlink r:id="rId427" ref="E421"/>
    <hyperlink r:id="rId428" ref="E422"/>
    <hyperlink r:id="rId429" ref="E423"/>
    <hyperlink r:id="rId430" ref="E424"/>
    <hyperlink r:id="rId431" ref="E425"/>
    <hyperlink r:id="rId432" ref="E426"/>
    <hyperlink r:id="rId433" ref="E427"/>
    <hyperlink r:id="rId434" ref="C428"/>
    <hyperlink r:id="rId435" ref="E428"/>
    <hyperlink r:id="rId436" ref="C429"/>
    <hyperlink r:id="rId437" ref="E429"/>
    <hyperlink r:id="rId438" ref="E430"/>
    <hyperlink r:id="rId439" ref="E431"/>
    <hyperlink r:id="rId440" ref="E432"/>
    <hyperlink r:id="rId441" ref="E433"/>
    <hyperlink r:id="rId442" ref="E434"/>
    <hyperlink r:id="rId443" ref="E435"/>
    <hyperlink r:id="rId444" ref="E436"/>
    <hyperlink r:id="rId445" ref="E437"/>
    <hyperlink r:id="rId446" ref="E438"/>
    <hyperlink r:id="rId447" ref="E439"/>
    <hyperlink r:id="rId448" ref="E440"/>
    <hyperlink r:id="rId449" ref="E441"/>
    <hyperlink r:id="rId450" ref="E442"/>
    <hyperlink r:id="rId451" ref="E443"/>
    <hyperlink r:id="rId452" ref="E444"/>
    <hyperlink r:id="rId453" ref="E445"/>
    <hyperlink r:id="rId454" ref="E446"/>
    <hyperlink r:id="rId455" ref="E447"/>
    <hyperlink r:id="rId456" ref="E448"/>
    <hyperlink r:id="rId457" ref="E449"/>
    <hyperlink r:id="rId458" ref="E450"/>
    <hyperlink r:id="rId459" ref="E451"/>
    <hyperlink r:id="rId460" ref="E452"/>
    <hyperlink r:id="rId461" ref="E453"/>
    <hyperlink r:id="rId462" ref="E454"/>
    <hyperlink r:id="rId463" ref="E455"/>
    <hyperlink r:id="rId464" ref="E456"/>
    <hyperlink r:id="rId465" ref="E457"/>
    <hyperlink r:id="rId466" ref="E458"/>
    <hyperlink r:id="rId467" ref="E459"/>
    <hyperlink r:id="rId468" ref="E460"/>
    <hyperlink r:id="rId469" ref="E461"/>
    <hyperlink r:id="rId470" ref="E462"/>
    <hyperlink r:id="rId471" ref="E463"/>
    <hyperlink r:id="rId472" ref="E464"/>
    <hyperlink r:id="rId473" ref="E465"/>
    <hyperlink r:id="rId474" ref="E466"/>
    <hyperlink r:id="rId475" ref="E467"/>
    <hyperlink r:id="rId476" ref="E468"/>
    <hyperlink r:id="rId477" ref="E469"/>
    <hyperlink r:id="rId478" ref="E470"/>
    <hyperlink r:id="rId479" ref="E471"/>
    <hyperlink r:id="rId480" ref="E472"/>
    <hyperlink r:id="rId481" ref="E473"/>
    <hyperlink r:id="rId482" ref="E474"/>
    <hyperlink r:id="rId483" ref="E475"/>
    <hyperlink r:id="rId484" ref="E476"/>
    <hyperlink r:id="rId485" ref="E477"/>
    <hyperlink r:id="rId486" ref="E478"/>
    <hyperlink r:id="rId487" ref="E479"/>
    <hyperlink r:id="rId488" ref="E480"/>
    <hyperlink r:id="rId489" ref="E481"/>
    <hyperlink r:id="rId490" ref="E482"/>
    <hyperlink r:id="rId491" ref="E483"/>
    <hyperlink r:id="rId492" ref="E484"/>
    <hyperlink r:id="rId493" ref="E485"/>
    <hyperlink r:id="rId494" ref="E486"/>
    <hyperlink r:id="rId495" ref="E487"/>
    <hyperlink r:id="rId496" ref="C488"/>
    <hyperlink r:id="rId497" ref="E488"/>
    <hyperlink r:id="rId498" ref="E489"/>
    <hyperlink r:id="rId499" ref="E490"/>
    <hyperlink r:id="rId500" ref="E491"/>
    <hyperlink r:id="rId501" ref="E492"/>
    <hyperlink r:id="rId502" ref="E493"/>
    <hyperlink r:id="rId503" ref="E494"/>
    <hyperlink r:id="rId504" ref="E495"/>
    <hyperlink r:id="rId505" ref="E496"/>
    <hyperlink r:id="rId506" ref="E497"/>
    <hyperlink r:id="rId507" ref="E498"/>
    <hyperlink r:id="rId508" ref="E499"/>
    <hyperlink r:id="rId509" ref="E500"/>
    <hyperlink r:id="rId510" ref="E501"/>
    <hyperlink r:id="rId511" ref="E502"/>
    <hyperlink r:id="rId512" ref="E503"/>
    <hyperlink r:id="rId513" ref="E504"/>
    <hyperlink r:id="rId514" ref="E505"/>
    <hyperlink r:id="rId515" ref="E506"/>
    <hyperlink r:id="rId516" ref="E507"/>
    <hyperlink r:id="rId517" ref="E508"/>
    <hyperlink r:id="rId518" ref="E509"/>
    <hyperlink r:id="rId519" ref="E510"/>
    <hyperlink r:id="rId520" ref="E511"/>
    <hyperlink r:id="rId521" ref="E512"/>
    <hyperlink r:id="rId522" ref="E513"/>
    <hyperlink r:id="rId523" ref="E514"/>
    <hyperlink r:id="rId524" ref="E515"/>
    <hyperlink r:id="rId525" ref="E516"/>
    <hyperlink r:id="rId526" ref="E517"/>
    <hyperlink r:id="rId527" ref="E518"/>
    <hyperlink r:id="rId528" ref="E519"/>
    <hyperlink r:id="rId529" ref="E520"/>
    <hyperlink r:id="rId530" ref="E521"/>
    <hyperlink r:id="rId531" ref="E522"/>
    <hyperlink r:id="rId532" ref="E523"/>
    <hyperlink r:id="rId533" ref="E524"/>
    <hyperlink r:id="rId534" ref="E525"/>
    <hyperlink r:id="rId535" ref="E526"/>
    <hyperlink r:id="rId536" ref="E527"/>
    <hyperlink r:id="rId537" ref="E528"/>
    <hyperlink r:id="rId538" ref="E529"/>
    <hyperlink r:id="rId539" ref="E530"/>
    <hyperlink r:id="rId540" ref="E531"/>
    <hyperlink r:id="rId541" ref="E532"/>
    <hyperlink r:id="rId542" ref="E533"/>
    <hyperlink r:id="rId543" ref="E534"/>
    <hyperlink r:id="rId544" ref="E535"/>
    <hyperlink r:id="rId545" ref="E536"/>
    <hyperlink r:id="rId546" ref="E537"/>
    <hyperlink r:id="rId547" ref="E538"/>
    <hyperlink r:id="rId548" ref="E539"/>
    <hyperlink r:id="rId549" ref="E540"/>
    <hyperlink r:id="rId550" ref="E541"/>
    <hyperlink r:id="rId551" ref="E542"/>
    <hyperlink r:id="rId552" ref="E543"/>
    <hyperlink r:id="rId553" ref="E544"/>
    <hyperlink r:id="rId554" ref="E545"/>
    <hyperlink r:id="rId555" ref="E546"/>
    <hyperlink r:id="rId556" ref="E547"/>
    <hyperlink r:id="rId557" ref="E548"/>
    <hyperlink r:id="rId558" ref="C549"/>
    <hyperlink r:id="rId559" ref="E549"/>
    <hyperlink r:id="rId560" ref="E550"/>
    <hyperlink r:id="rId561" ref="E551"/>
    <hyperlink r:id="rId562" ref="E552"/>
    <hyperlink r:id="rId563" ref="E553"/>
    <hyperlink r:id="rId564" ref="E554"/>
    <hyperlink r:id="rId565" ref="E555"/>
    <hyperlink r:id="rId566" ref="E556"/>
    <hyperlink r:id="rId567" ref="E557"/>
    <hyperlink r:id="rId568" ref="E558"/>
    <hyperlink r:id="rId569" ref="E559"/>
    <hyperlink r:id="rId570" ref="E560"/>
    <hyperlink r:id="rId571" ref="C561"/>
    <hyperlink r:id="rId572" ref="E561"/>
    <hyperlink r:id="rId573" ref="E562"/>
    <hyperlink r:id="rId574" ref="E563"/>
    <hyperlink r:id="rId575" ref="E564"/>
    <hyperlink r:id="rId576" ref="E565"/>
    <hyperlink r:id="rId577" ref="E566"/>
    <hyperlink r:id="rId578" ref="E567"/>
    <hyperlink r:id="rId579" ref="E568"/>
    <hyperlink r:id="rId580" ref="E569"/>
    <hyperlink r:id="rId581" ref="E570"/>
    <hyperlink r:id="rId582" ref="E571"/>
    <hyperlink r:id="rId583" ref="E572"/>
    <hyperlink r:id="rId584" ref="E573"/>
    <hyperlink r:id="rId585" ref="E574"/>
    <hyperlink r:id="rId586" ref="E575"/>
    <hyperlink r:id="rId587" ref="E576"/>
    <hyperlink r:id="rId588" ref="E577"/>
    <hyperlink r:id="rId589" ref="E578"/>
    <hyperlink r:id="rId590" ref="E579"/>
    <hyperlink r:id="rId591" ref="E580"/>
    <hyperlink r:id="rId592" ref="E581"/>
    <hyperlink r:id="rId593" ref="E582"/>
    <hyperlink r:id="rId594" ref="E583"/>
    <hyperlink r:id="rId595" ref="E584"/>
    <hyperlink r:id="rId596" ref="E585"/>
    <hyperlink r:id="rId597" ref="E586"/>
    <hyperlink r:id="rId598" ref="E587"/>
    <hyperlink r:id="rId599" ref="E588"/>
    <hyperlink r:id="rId600" ref="E589"/>
    <hyperlink r:id="rId601" ref="E590"/>
    <hyperlink r:id="rId602" ref="E591"/>
    <hyperlink r:id="rId603" ref="E592"/>
    <hyperlink r:id="rId604" ref="E593"/>
    <hyperlink r:id="rId605" ref="E594"/>
    <hyperlink r:id="rId606" ref="E595"/>
    <hyperlink r:id="rId607" ref="E596"/>
    <hyperlink r:id="rId608" ref="E597"/>
    <hyperlink r:id="rId609" ref="E598"/>
    <hyperlink r:id="rId610" ref="E599"/>
    <hyperlink r:id="rId611" ref="E600"/>
    <hyperlink r:id="rId612" ref="E601"/>
    <hyperlink r:id="rId613" ref="E602"/>
    <hyperlink r:id="rId614" ref="E603"/>
    <hyperlink r:id="rId615" ref="E604"/>
    <hyperlink r:id="rId616" ref="E605"/>
    <hyperlink r:id="rId617" ref="E606"/>
    <hyperlink r:id="rId618" ref="E607"/>
    <hyperlink r:id="rId619" ref="E608"/>
    <hyperlink r:id="rId620" ref="E609"/>
    <hyperlink r:id="rId621" ref="E610"/>
    <hyperlink r:id="rId622" ref="E611"/>
    <hyperlink r:id="rId623" ref="E612"/>
    <hyperlink r:id="rId624" ref="E613"/>
    <hyperlink r:id="rId625" ref="E614"/>
    <hyperlink r:id="rId626" ref="E615"/>
    <hyperlink r:id="rId627" ref="E616"/>
    <hyperlink r:id="rId628" ref="E617"/>
    <hyperlink r:id="rId629" ref="E618"/>
    <hyperlink r:id="rId630" ref="E619"/>
    <hyperlink r:id="rId631" ref="E620"/>
    <hyperlink r:id="rId632" ref="E621"/>
    <hyperlink r:id="rId633" ref="E622"/>
    <hyperlink r:id="rId634" ref="E623"/>
    <hyperlink r:id="rId635" ref="E624"/>
    <hyperlink r:id="rId636" ref="E625"/>
    <hyperlink r:id="rId637" ref="E626"/>
    <hyperlink r:id="rId638" ref="E627"/>
    <hyperlink r:id="rId639" ref="E628"/>
    <hyperlink r:id="rId640" ref="E629"/>
    <hyperlink r:id="rId641" ref="E630"/>
    <hyperlink r:id="rId642" ref="E631"/>
    <hyperlink r:id="rId643" ref="E632"/>
    <hyperlink r:id="rId644" ref="E633"/>
    <hyperlink r:id="rId645" ref="E634"/>
    <hyperlink r:id="rId646" ref="E635"/>
    <hyperlink r:id="rId647" ref="E636"/>
    <hyperlink r:id="rId648" ref="E637"/>
    <hyperlink r:id="rId649" ref="E638"/>
    <hyperlink r:id="rId650" ref="E639"/>
    <hyperlink r:id="rId651" ref="E640"/>
    <hyperlink r:id="rId652" ref="E641"/>
    <hyperlink r:id="rId653" ref="E642"/>
    <hyperlink r:id="rId654" ref="E643"/>
    <hyperlink r:id="rId655" ref="E644"/>
    <hyperlink r:id="rId656" ref="E645"/>
    <hyperlink r:id="rId657" ref="E646"/>
    <hyperlink r:id="rId658" ref="E647"/>
    <hyperlink r:id="rId659" ref="E648"/>
    <hyperlink r:id="rId660" ref="E649"/>
    <hyperlink r:id="rId661" ref="E650"/>
    <hyperlink r:id="rId662" ref="E651"/>
    <hyperlink r:id="rId663" ref="E652"/>
    <hyperlink r:id="rId664" ref="E653"/>
    <hyperlink r:id="rId665" ref="E654"/>
    <hyperlink r:id="rId666" ref="E655"/>
    <hyperlink r:id="rId667" ref="E656"/>
    <hyperlink r:id="rId668" ref="E657"/>
    <hyperlink r:id="rId669" ref="E658"/>
    <hyperlink r:id="rId670" ref="E659"/>
    <hyperlink r:id="rId671" ref="E660"/>
    <hyperlink r:id="rId672" ref="E661"/>
    <hyperlink r:id="rId673" ref="E662"/>
    <hyperlink r:id="rId674" ref="E663"/>
    <hyperlink r:id="rId675" ref="E664"/>
    <hyperlink r:id="rId676" ref="E665"/>
    <hyperlink r:id="rId677" ref="E666"/>
    <hyperlink r:id="rId678" ref="E667"/>
    <hyperlink r:id="rId679" ref="E668"/>
    <hyperlink r:id="rId680" ref="E669"/>
    <hyperlink r:id="rId681" ref="E670"/>
    <hyperlink r:id="rId682" ref="E671"/>
    <hyperlink r:id="rId683" ref="E672"/>
    <hyperlink r:id="rId684" ref="E673"/>
    <hyperlink r:id="rId685" ref="E674"/>
    <hyperlink r:id="rId686" ref="E675"/>
    <hyperlink r:id="rId687" ref="E676"/>
    <hyperlink r:id="rId688" ref="E677"/>
    <hyperlink r:id="rId689" ref="E678"/>
    <hyperlink r:id="rId690" ref="E679"/>
    <hyperlink r:id="rId691" ref="E680"/>
    <hyperlink r:id="rId692" ref="E681"/>
    <hyperlink r:id="rId693" ref="E682"/>
    <hyperlink r:id="rId694" ref="E683"/>
    <hyperlink r:id="rId695" ref="E684"/>
    <hyperlink r:id="rId696" ref="E685"/>
    <hyperlink r:id="rId697" ref="E686"/>
    <hyperlink r:id="rId698" ref="E687"/>
    <hyperlink r:id="rId699" ref="E688"/>
    <hyperlink r:id="rId700" ref="E689"/>
    <hyperlink r:id="rId701" ref="E690"/>
    <hyperlink r:id="rId702" ref="E691"/>
    <hyperlink r:id="rId703" ref="E692"/>
    <hyperlink r:id="rId704" ref="C693"/>
    <hyperlink r:id="rId705" ref="E693"/>
    <hyperlink r:id="rId706" ref="E694"/>
    <hyperlink r:id="rId707" ref="E695"/>
    <hyperlink r:id="rId708" ref="E696"/>
    <hyperlink r:id="rId709" ref="E697"/>
    <hyperlink r:id="rId710" ref="E698"/>
    <hyperlink r:id="rId711" ref="E699"/>
    <hyperlink r:id="rId712" ref="E700"/>
    <hyperlink r:id="rId713" ref="E701"/>
    <hyperlink r:id="rId714" ref="E702"/>
    <hyperlink r:id="rId715" ref="E703"/>
    <hyperlink r:id="rId716" ref="E704"/>
    <hyperlink r:id="rId717" ref="E705"/>
    <hyperlink r:id="rId718" ref="E706"/>
    <hyperlink r:id="rId719" ref="E707"/>
    <hyperlink r:id="rId720" ref="E708"/>
    <hyperlink r:id="rId721" ref="E709"/>
    <hyperlink r:id="rId722" ref="E710"/>
    <hyperlink r:id="rId723" ref="E711"/>
    <hyperlink r:id="rId724" ref="E712"/>
    <hyperlink r:id="rId725" ref="E713"/>
    <hyperlink r:id="rId726" ref="E714"/>
    <hyperlink r:id="rId727" ref="E715"/>
    <hyperlink r:id="rId728" ref="E716"/>
    <hyperlink r:id="rId729" ref="E717"/>
    <hyperlink r:id="rId730" ref="E718"/>
    <hyperlink r:id="rId731" ref="C719"/>
    <hyperlink r:id="rId732" ref="E719"/>
    <hyperlink r:id="rId733" ref="E720"/>
    <hyperlink r:id="rId734" ref="E721"/>
    <hyperlink r:id="rId735" ref="E722"/>
    <hyperlink r:id="rId736" ref="C723"/>
    <hyperlink r:id="rId737" ref="E723"/>
    <hyperlink r:id="rId738" ref="E724"/>
    <hyperlink r:id="rId739" ref="E725"/>
    <hyperlink r:id="rId740" ref="E726"/>
    <hyperlink r:id="rId741" ref="E727"/>
    <hyperlink r:id="rId742" ref="E728"/>
    <hyperlink r:id="rId743" ref="E729"/>
    <hyperlink r:id="rId744" ref="E730"/>
    <hyperlink r:id="rId745" ref="E731"/>
    <hyperlink r:id="rId746" ref="E732"/>
    <hyperlink r:id="rId747" ref="E733"/>
    <hyperlink r:id="rId748" ref="E734"/>
    <hyperlink r:id="rId749" ref="E735"/>
    <hyperlink r:id="rId750" ref="E736"/>
    <hyperlink r:id="rId751" ref="E737"/>
    <hyperlink r:id="rId752" ref="E738"/>
    <hyperlink r:id="rId753" ref="E739"/>
    <hyperlink r:id="rId754" ref="E740"/>
    <hyperlink r:id="rId755" ref="E741"/>
    <hyperlink r:id="rId756" ref="E742"/>
    <hyperlink r:id="rId757" ref="E743"/>
    <hyperlink r:id="rId758" ref="E744"/>
    <hyperlink r:id="rId759" ref="E745"/>
    <hyperlink r:id="rId760" ref="E746"/>
    <hyperlink r:id="rId761" ref="E747"/>
    <hyperlink r:id="rId762" ref="E748"/>
    <hyperlink r:id="rId763" ref="C749"/>
    <hyperlink r:id="rId764" ref="E749"/>
    <hyperlink r:id="rId765" ref="E750"/>
    <hyperlink r:id="rId766" ref="E751"/>
    <hyperlink r:id="rId767" ref="E752"/>
    <hyperlink r:id="rId768" ref="E753"/>
    <hyperlink r:id="rId769" ref="E754"/>
    <hyperlink r:id="rId770" ref="E755"/>
    <hyperlink r:id="rId771" ref="E756"/>
    <hyperlink r:id="rId772" ref="E757"/>
    <hyperlink r:id="rId773" ref="E758"/>
    <hyperlink r:id="rId774" ref="E759"/>
    <hyperlink r:id="rId775" ref="E760"/>
    <hyperlink r:id="rId776" ref="E761"/>
    <hyperlink r:id="rId777" ref="E762"/>
    <hyperlink r:id="rId778" ref="E763"/>
    <hyperlink r:id="rId779" ref="E764"/>
    <hyperlink r:id="rId780" ref="E765"/>
    <hyperlink r:id="rId781" ref="E766"/>
    <hyperlink r:id="rId782" ref="E767"/>
    <hyperlink r:id="rId783" ref="E768"/>
    <hyperlink r:id="rId784" ref="E769"/>
    <hyperlink r:id="rId785" ref="E770"/>
    <hyperlink r:id="rId786" ref="E771"/>
    <hyperlink r:id="rId787" ref="C772"/>
    <hyperlink r:id="rId788" ref="E772"/>
    <hyperlink r:id="rId789" ref="E773"/>
    <hyperlink r:id="rId790" ref="E774"/>
    <hyperlink r:id="rId791" ref="E775"/>
    <hyperlink r:id="rId792" ref="E776"/>
    <hyperlink r:id="rId793" ref="E777"/>
    <hyperlink r:id="rId794" ref="E778"/>
    <hyperlink r:id="rId795" ref="E779"/>
    <hyperlink r:id="rId796" ref="E780"/>
    <hyperlink r:id="rId797" ref="E781"/>
    <hyperlink r:id="rId798" ref="E782"/>
    <hyperlink r:id="rId799" ref="E783"/>
    <hyperlink r:id="rId800" ref="E784"/>
    <hyperlink r:id="rId801" ref="E785"/>
    <hyperlink r:id="rId802" ref="E786"/>
    <hyperlink r:id="rId803" ref="E787"/>
    <hyperlink r:id="rId804" ref="E788"/>
    <hyperlink r:id="rId805" ref="E789"/>
    <hyperlink r:id="rId806" ref="E790"/>
    <hyperlink r:id="rId807" ref="E791"/>
    <hyperlink r:id="rId808" ref="E792"/>
    <hyperlink r:id="rId809" ref="E793"/>
    <hyperlink r:id="rId810" ref="E794"/>
    <hyperlink r:id="rId811" ref="E795"/>
    <hyperlink r:id="rId812" ref="E796"/>
    <hyperlink r:id="rId813" ref="E797"/>
    <hyperlink r:id="rId814" ref="E798"/>
    <hyperlink r:id="rId815" ref="E799"/>
    <hyperlink r:id="rId816" ref="C800"/>
    <hyperlink r:id="rId817" ref="E800"/>
    <hyperlink r:id="rId818" ref="E801"/>
    <hyperlink r:id="rId819" ref="E802"/>
    <hyperlink r:id="rId820" ref="E803"/>
    <hyperlink r:id="rId821" ref="E804"/>
    <hyperlink r:id="rId822" ref="E805"/>
    <hyperlink r:id="rId823" ref="E806"/>
    <hyperlink r:id="rId824" ref="E807"/>
    <hyperlink r:id="rId825" ref="E808"/>
    <hyperlink r:id="rId826" ref="E809"/>
    <hyperlink r:id="rId827" ref="E810"/>
    <hyperlink r:id="rId828" ref="E811"/>
    <hyperlink r:id="rId829" ref="E812"/>
    <hyperlink r:id="rId830" ref="E813"/>
    <hyperlink r:id="rId831" ref="E814"/>
    <hyperlink r:id="rId832" ref="E815"/>
    <hyperlink r:id="rId833" ref="E816"/>
    <hyperlink r:id="rId834" ref="E817"/>
    <hyperlink r:id="rId835" ref="E818"/>
    <hyperlink r:id="rId836" ref="E819"/>
    <hyperlink r:id="rId837" ref="E820"/>
    <hyperlink r:id="rId838" ref="E821"/>
    <hyperlink r:id="rId839" ref="E822"/>
    <hyperlink r:id="rId840" ref="E823"/>
    <hyperlink r:id="rId841" ref="E824"/>
    <hyperlink r:id="rId842" ref="E825"/>
    <hyperlink r:id="rId843" ref="E826"/>
    <hyperlink r:id="rId844" ref="E827"/>
    <hyperlink r:id="rId845" ref="E828"/>
    <hyperlink r:id="rId846" ref="E829"/>
    <hyperlink r:id="rId847" ref="E830"/>
    <hyperlink r:id="rId848" ref="E831"/>
    <hyperlink r:id="rId849" ref="E832"/>
    <hyperlink r:id="rId850" ref="E833"/>
    <hyperlink r:id="rId851" ref="E834"/>
    <hyperlink r:id="rId852" ref="E835"/>
    <hyperlink r:id="rId853" ref="E836"/>
    <hyperlink r:id="rId854" ref="E837"/>
    <hyperlink r:id="rId855" ref="E838"/>
    <hyperlink r:id="rId856" ref="E839"/>
    <hyperlink r:id="rId857" ref="E840"/>
    <hyperlink r:id="rId858" ref="E841"/>
    <hyperlink r:id="rId859" ref="E842"/>
    <hyperlink r:id="rId860" ref="E843"/>
    <hyperlink r:id="rId861" ref="E844"/>
    <hyperlink r:id="rId862" ref="E845"/>
    <hyperlink r:id="rId863" ref="E846"/>
    <hyperlink r:id="rId864" ref="E847"/>
    <hyperlink r:id="rId865" ref="E848"/>
    <hyperlink r:id="rId866" ref="E849"/>
    <hyperlink r:id="rId867" ref="E850"/>
    <hyperlink r:id="rId868" ref="E851"/>
    <hyperlink r:id="rId869" ref="E852"/>
    <hyperlink r:id="rId870" ref="E853"/>
    <hyperlink r:id="rId871" ref="E854"/>
    <hyperlink r:id="rId872" ref="E855"/>
    <hyperlink r:id="rId873" ref="E856"/>
    <hyperlink r:id="rId874" ref="E857"/>
    <hyperlink r:id="rId875" ref="E858"/>
    <hyperlink r:id="rId876" ref="E859"/>
    <hyperlink r:id="rId877" ref="E860"/>
    <hyperlink r:id="rId878" ref="E861"/>
    <hyperlink r:id="rId879" ref="E862"/>
    <hyperlink r:id="rId880" ref="E863"/>
    <hyperlink r:id="rId881" ref="E864"/>
    <hyperlink r:id="rId882" ref="E865"/>
    <hyperlink r:id="rId883" ref="E866"/>
    <hyperlink r:id="rId884" ref="E867"/>
    <hyperlink r:id="rId885" ref="E868"/>
    <hyperlink r:id="rId886" ref="E869"/>
    <hyperlink r:id="rId887" ref="E870"/>
    <hyperlink r:id="rId888" ref="E871"/>
    <hyperlink r:id="rId889" ref="E872"/>
    <hyperlink r:id="rId890" ref="E873"/>
    <hyperlink r:id="rId891" ref="E874"/>
    <hyperlink r:id="rId892" ref="E875"/>
    <hyperlink r:id="rId893" ref="E876"/>
    <hyperlink r:id="rId894" ref="E877"/>
    <hyperlink r:id="rId895" ref="E878"/>
    <hyperlink r:id="rId896" ref="E879"/>
    <hyperlink r:id="rId897" ref="E880"/>
    <hyperlink r:id="rId898" ref="E881"/>
    <hyperlink r:id="rId899" ref="E882"/>
    <hyperlink r:id="rId900" ref="E883"/>
    <hyperlink r:id="rId901" ref="E884"/>
    <hyperlink r:id="rId902" ref="E885"/>
    <hyperlink r:id="rId903" ref="E886"/>
    <hyperlink r:id="rId904" ref="E887"/>
    <hyperlink r:id="rId905" ref="E888"/>
    <hyperlink r:id="rId906" ref="E889"/>
    <hyperlink r:id="rId907" ref="E890"/>
    <hyperlink r:id="rId908" ref="E891"/>
    <hyperlink r:id="rId909" ref="E892"/>
    <hyperlink r:id="rId910" ref="E893"/>
    <hyperlink r:id="rId911" ref="E894"/>
    <hyperlink r:id="rId912" ref="E895"/>
    <hyperlink r:id="rId913" ref="E896"/>
    <hyperlink r:id="rId914" ref="E897"/>
    <hyperlink r:id="rId915" ref="E898"/>
    <hyperlink r:id="rId916" ref="E899"/>
    <hyperlink r:id="rId917" ref="C900"/>
    <hyperlink r:id="rId918" ref="E900"/>
    <hyperlink r:id="rId919" ref="E901"/>
    <hyperlink r:id="rId920" ref="E902"/>
    <hyperlink r:id="rId921" ref="E903"/>
    <hyperlink r:id="rId922" ref="E904"/>
    <hyperlink r:id="rId923" ref="E905"/>
    <hyperlink r:id="rId924" ref="E906"/>
    <hyperlink r:id="rId925" ref="E907"/>
    <hyperlink r:id="rId926" ref="E908"/>
    <hyperlink r:id="rId927" ref="E909"/>
    <hyperlink r:id="rId928" ref="E910"/>
    <hyperlink r:id="rId929" ref="E911"/>
    <hyperlink r:id="rId930" ref="E912"/>
    <hyperlink r:id="rId931" ref="E913"/>
    <hyperlink r:id="rId932" ref="E914"/>
    <hyperlink r:id="rId933" ref="E915"/>
    <hyperlink r:id="rId934" ref="E916"/>
    <hyperlink r:id="rId935" ref="C917"/>
    <hyperlink r:id="rId936" ref="E917"/>
    <hyperlink r:id="rId937" ref="E918"/>
    <hyperlink r:id="rId938" ref="E919"/>
    <hyperlink r:id="rId939" ref="E920"/>
    <hyperlink r:id="rId940" ref="E921"/>
    <hyperlink r:id="rId941" ref="E922"/>
    <hyperlink r:id="rId942" ref="E923"/>
    <hyperlink r:id="rId943" ref="E924"/>
    <hyperlink r:id="rId944" ref="E925"/>
    <hyperlink r:id="rId945" ref="E926"/>
    <hyperlink r:id="rId946" ref="E927"/>
    <hyperlink r:id="rId947" ref="E928"/>
    <hyperlink r:id="rId948" ref="E929"/>
    <hyperlink r:id="rId949" ref="E930"/>
    <hyperlink r:id="rId950" ref="E931"/>
    <hyperlink r:id="rId951" ref="E932"/>
    <hyperlink r:id="rId952" ref="E933"/>
    <hyperlink r:id="rId953" ref="E934"/>
    <hyperlink r:id="rId954" ref="E935"/>
    <hyperlink r:id="rId955" ref="E936"/>
    <hyperlink r:id="rId956" ref="E937"/>
    <hyperlink r:id="rId957" ref="E938"/>
    <hyperlink r:id="rId958" ref="E939"/>
    <hyperlink r:id="rId959" ref="E940"/>
    <hyperlink r:id="rId960" ref="E941"/>
    <hyperlink r:id="rId961" ref="E942"/>
    <hyperlink r:id="rId962" ref="E943"/>
    <hyperlink r:id="rId963" ref="E944"/>
    <hyperlink r:id="rId964" ref="E945"/>
    <hyperlink r:id="rId965" ref="E946"/>
    <hyperlink r:id="rId966" ref="E947"/>
    <hyperlink r:id="rId967" ref="E948"/>
    <hyperlink r:id="rId968" ref="E949"/>
    <hyperlink r:id="rId969" ref="E950"/>
    <hyperlink r:id="rId970" ref="E951"/>
    <hyperlink r:id="rId971" ref="E952"/>
    <hyperlink r:id="rId972" ref="E953"/>
    <hyperlink r:id="rId973" ref="E954"/>
    <hyperlink r:id="rId974" ref="E955"/>
    <hyperlink r:id="rId975" ref="E956"/>
    <hyperlink r:id="rId976" ref="E957"/>
    <hyperlink r:id="rId977" ref="C958"/>
    <hyperlink r:id="rId978" ref="E958"/>
    <hyperlink r:id="rId979" ref="E959"/>
    <hyperlink r:id="rId980" ref="E960"/>
    <hyperlink r:id="rId981" ref="E961"/>
    <hyperlink r:id="rId982" ref="E962"/>
    <hyperlink r:id="rId983" ref="C963"/>
    <hyperlink r:id="rId984" ref="E963"/>
    <hyperlink r:id="rId985" ref="E964"/>
    <hyperlink r:id="rId986" ref="E965"/>
    <hyperlink r:id="rId987" ref="E966"/>
    <hyperlink r:id="rId988" ref="E967"/>
    <hyperlink r:id="rId989" ref="E968"/>
    <hyperlink r:id="rId990" ref="E969"/>
    <hyperlink r:id="rId991" ref="E970"/>
    <hyperlink r:id="rId992" ref="E971"/>
    <hyperlink r:id="rId993" ref="E972"/>
    <hyperlink r:id="rId994" ref="E973"/>
    <hyperlink r:id="rId995" ref="E974"/>
    <hyperlink r:id="rId996" ref="E975"/>
    <hyperlink r:id="rId997" ref="E976"/>
    <hyperlink r:id="rId998" ref="E977"/>
    <hyperlink r:id="rId999" ref="E978"/>
    <hyperlink r:id="rId1000" ref="E979"/>
    <hyperlink r:id="rId1001" ref="E980"/>
    <hyperlink r:id="rId1002" ref="E981"/>
    <hyperlink r:id="rId1003" ref="E982"/>
    <hyperlink r:id="rId1004" ref="E983"/>
    <hyperlink r:id="rId1005" ref="E984"/>
    <hyperlink r:id="rId1006" ref="E985"/>
    <hyperlink r:id="rId1007" ref="E986"/>
    <hyperlink r:id="rId1008" ref="E987"/>
    <hyperlink r:id="rId1009" ref="E988"/>
    <hyperlink r:id="rId1010" ref="E989"/>
    <hyperlink r:id="rId1011" ref="E990"/>
    <hyperlink r:id="rId1012" ref="E991"/>
    <hyperlink r:id="rId1013" ref="E992"/>
    <hyperlink r:id="rId1014" ref="E993"/>
    <hyperlink r:id="rId1015" ref="E994"/>
    <hyperlink r:id="rId1016" ref="E995"/>
    <hyperlink r:id="rId1017" ref="E996"/>
    <hyperlink r:id="rId1018" ref="E997"/>
    <hyperlink r:id="rId1019" ref="E998"/>
    <hyperlink r:id="rId1020" ref="E999"/>
    <hyperlink r:id="rId1021" ref="E1000"/>
    <hyperlink r:id="rId1022" ref="E1001"/>
    <hyperlink r:id="rId1023" ref="E1002"/>
    <hyperlink r:id="rId1024" ref="E1003"/>
    <hyperlink r:id="rId1025" ref="E1004"/>
    <hyperlink r:id="rId1026" ref="E1005"/>
    <hyperlink r:id="rId1027" ref="E1006"/>
    <hyperlink r:id="rId1028" ref="E1007"/>
    <hyperlink r:id="rId1029" ref="E1008"/>
    <hyperlink r:id="rId1030" ref="E1009"/>
    <hyperlink r:id="rId1031" ref="E1010"/>
    <hyperlink r:id="rId1032" ref="E1011"/>
    <hyperlink r:id="rId1033" ref="E1012"/>
    <hyperlink r:id="rId1034" ref="E1013"/>
    <hyperlink r:id="rId1035" ref="E1014"/>
    <hyperlink r:id="rId1036" ref="E1015"/>
    <hyperlink r:id="rId1037" ref="E1017"/>
    <hyperlink r:id="rId1038" ref="E1018"/>
    <hyperlink r:id="rId1039" ref="E1019"/>
    <hyperlink r:id="rId1040" ref="E1020"/>
    <hyperlink r:id="rId1041" ref="E1021"/>
    <hyperlink r:id="rId1042" ref="E1022"/>
    <hyperlink r:id="rId1043" ref="E1023"/>
    <hyperlink r:id="rId1044" ref="E1024"/>
    <hyperlink r:id="rId1045" ref="E1025"/>
    <hyperlink r:id="rId1046" ref="E1026"/>
    <hyperlink r:id="rId1047" ref="E1027"/>
    <hyperlink r:id="rId1048" ref="E1028"/>
    <hyperlink r:id="rId1049" ref="E1029"/>
    <hyperlink r:id="rId1050" ref="E1030"/>
    <hyperlink r:id="rId1051" ref="E1031"/>
    <hyperlink r:id="rId1052" ref="E1032"/>
    <hyperlink r:id="rId1053" ref="E1033"/>
    <hyperlink r:id="rId1054" ref="E1034"/>
    <hyperlink r:id="rId1055" ref="E1035"/>
    <hyperlink r:id="rId1056" ref="E1036"/>
    <hyperlink r:id="rId1057" ref="E1037"/>
    <hyperlink r:id="rId1058" ref="E1038"/>
    <hyperlink r:id="rId1059" ref="E1039"/>
    <hyperlink r:id="rId1060" ref="E1040"/>
    <hyperlink r:id="rId1061" ref="E1041"/>
    <hyperlink r:id="rId1062" ref="E1042"/>
    <hyperlink r:id="rId1063" ref="E1043"/>
    <hyperlink r:id="rId1064" ref="E1044"/>
    <hyperlink r:id="rId1065" ref="E1045"/>
    <hyperlink r:id="rId1066" ref="E1046"/>
    <hyperlink r:id="rId1067" ref="E1047"/>
    <hyperlink r:id="rId1068" ref="E1048"/>
    <hyperlink r:id="rId1069" ref="E1049"/>
    <hyperlink r:id="rId1070" ref="E1050"/>
    <hyperlink r:id="rId1071" ref="C1051"/>
    <hyperlink r:id="rId1072" ref="E1051"/>
    <hyperlink r:id="rId1073" ref="E1052"/>
    <hyperlink r:id="rId1074" ref="E1053"/>
    <hyperlink r:id="rId1075" ref="E1054"/>
    <hyperlink r:id="rId1076" ref="E1055"/>
    <hyperlink r:id="rId1077" ref="E1056"/>
    <hyperlink r:id="rId1078" ref="E1057"/>
    <hyperlink r:id="rId1079" ref="C1058"/>
    <hyperlink r:id="rId1080" ref="E1058"/>
    <hyperlink r:id="rId1081" ref="E1059"/>
    <hyperlink r:id="rId1082" ref="E1060"/>
    <hyperlink r:id="rId1083" ref="E1061"/>
    <hyperlink r:id="rId1084" ref="E1062"/>
    <hyperlink r:id="rId1085" ref="E1063"/>
    <hyperlink r:id="rId1086" ref="E1064"/>
    <hyperlink r:id="rId1087" ref="E1065"/>
    <hyperlink r:id="rId1088" ref="E1066"/>
    <hyperlink r:id="rId1089" ref="E1067"/>
    <hyperlink r:id="rId1090" ref="E1068"/>
    <hyperlink r:id="rId1091" ref="E1069"/>
    <hyperlink r:id="rId1092" ref="E1070"/>
    <hyperlink r:id="rId1093" ref="E1071"/>
    <hyperlink r:id="rId1094" ref="E1072"/>
    <hyperlink r:id="rId1095" ref="E1073"/>
    <hyperlink r:id="rId1096" ref="E1074"/>
    <hyperlink r:id="rId1097" ref="E1075"/>
    <hyperlink r:id="rId1098" ref="E1076"/>
    <hyperlink r:id="rId1099" ref="E1077"/>
    <hyperlink r:id="rId1100" ref="E1078"/>
    <hyperlink r:id="rId1101" ref="E1079"/>
    <hyperlink r:id="rId1102" ref="E1080"/>
    <hyperlink r:id="rId1103" ref="E1081"/>
    <hyperlink r:id="rId1104" ref="E1082"/>
    <hyperlink r:id="rId1105" ref="E1083"/>
    <hyperlink r:id="rId1106" ref="E1084"/>
    <hyperlink r:id="rId1107" ref="E1085"/>
    <hyperlink r:id="rId1108" ref="E1086"/>
    <hyperlink r:id="rId1109" ref="E1087"/>
    <hyperlink r:id="rId1110" ref="E1088"/>
    <hyperlink r:id="rId1111" ref="E1089"/>
    <hyperlink r:id="rId1112" ref="E1090"/>
    <hyperlink r:id="rId1113" ref="E1091"/>
    <hyperlink r:id="rId1114" ref="E1092"/>
    <hyperlink r:id="rId1115" ref="E1093"/>
    <hyperlink r:id="rId1116" ref="E1094"/>
    <hyperlink r:id="rId1117" ref="E1095"/>
    <hyperlink r:id="rId1118" ref="E1096"/>
    <hyperlink r:id="rId1119" ref="E1097"/>
    <hyperlink r:id="rId1120" ref="E1098"/>
    <hyperlink r:id="rId1121" ref="E1099"/>
    <hyperlink r:id="rId1122" ref="E1100"/>
    <hyperlink r:id="rId1123" ref="E1101"/>
    <hyperlink r:id="rId1124" ref="E1102"/>
    <hyperlink r:id="rId1125" ref="E1103"/>
    <hyperlink r:id="rId1126" ref="E1104"/>
    <hyperlink r:id="rId1127" ref="E1105"/>
    <hyperlink r:id="rId1128" ref="E1106"/>
    <hyperlink r:id="rId1129" ref="E1107"/>
    <hyperlink r:id="rId1130" ref="E1108"/>
    <hyperlink r:id="rId1131" ref="E1109"/>
    <hyperlink r:id="rId1132" ref="E1110"/>
    <hyperlink r:id="rId1133" ref="E1111"/>
    <hyperlink r:id="rId1134" ref="E1112"/>
    <hyperlink r:id="rId1135" ref="E1113"/>
    <hyperlink r:id="rId1136" ref="E1114"/>
    <hyperlink r:id="rId1137" ref="E1115"/>
    <hyperlink r:id="rId1138" ref="E1116"/>
    <hyperlink r:id="rId1139" ref="E1117"/>
    <hyperlink r:id="rId1140" ref="E1118"/>
    <hyperlink r:id="rId1141" ref="E1119"/>
    <hyperlink r:id="rId1142" ref="E1120"/>
    <hyperlink r:id="rId1143" ref="E1121"/>
    <hyperlink r:id="rId1144" ref="E1122"/>
    <hyperlink r:id="rId1145" ref="E1123"/>
    <hyperlink r:id="rId1146" ref="E1124"/>
    <hyperlink r:id="rId1147" ref="E1125"/>
    <hyperlink r:id="rId1148" ref="E1126"/>
    <hyperlink r:id="rId1149" ref="E1127"/>
    <hyperlink r:id="rId1150" ref="E1128"/>
    <hyperlink r:id="rId1151" ref="E1129"/>
    <hyperlink r:id="rId1152" ref="E1130"/>
    <hyperlink r:id="rId1153" ref="E1131"/>
    <hyperlink r:id="rId1154" ref="E1132"/>
    <hyperlink r:id="rId1155" ref="E1133"/>
    <hyperlink r:id="rId1156" ref="E1134"/>
    <hyperlink r:id="rId1157" ref="E1135"/>
    <hyperlink r:id="rId1158" ref="E1136"/>
    <hyperlink r:id="rId1159" ref="E1137"/>
    <hyperlink r:id="rId1160" ref="C1138"/>
    <hyperlink r:id="rId1161" ref="E1138"/>
    <hyperlink r:id="rId1162" ref="E1139"/>
    <hyperlink r:id="rId1163" ref="E1140"/>
    <hyperlink r:id="rId1164" ref="E1141"/>
    <hyperlink r:id="rId1165" ref="E1142"/>
    <hyperlink r:id="rId1166" ref="E1143"/>
    <hyperlink r:id="rId1167" ref="E1144"/>
    <hyperlink r:id="rId1168" ref="E1145"/>
    <hyperlink r:id="rId1169" ref="E1146"/>
    <hyperlink r:id="rId1170" ref="E1147"/>
    <hyperlink r:id="rId1171" ref="E1148"/>
    <hyperlink r:id="rId1172" ref="E1149"/>
    <hyperlink r:id="rId1173" ref="E1150"/>
    <hyperlink r:id="rId1174" ref="E1151"/>
    <hyperlink r:id="rId1175" ref="E1152"/>
    <hyperlink r:id="rId1176" ref="E1153"/>
    <hyperlink r:id="rId1177" ref="C1154"/>
    <hyperlink r:id="rId1178" ref="E1154"/>
    <hyperlink r:id="rId1179" ref="E1155"/>
    <hyperlink r:id="rId1180" ref="E1156"/>
    <hyperlink r:id="rId1181" ref="E1157"/>
    <hyperlink r:id="rId1182" ref="E1158"/>
    <hyperlink r:id="rId1183" ref="E1159"/>
    <hyperlink r:id="rId1184" ref="E1160"/>
    <hyperlink r:id="rId1185" ref="E1161"/>
    <hyperlink r:id="rId1186" ref="E1162"/>
    <hyperlink r:id="rId1187" ref="E1163"/>
    <hyperlink r:id="rId1188" ref="E1164"/>
    <hyperlink r:id="rId1189" ref="C1165"/>
    <hyperlink r:id="rId1190" ref="E1165"/>
    <hyperlink r:id="rId1191" ref="E1166"/>
    <hyperlink r:id="rId1192" ref="E1167"/>
    <hyperlink r:id="rId1193" ref="E1168"/>
    <hyperlink r:id="rId1194" ref="E1169"/>
    <hyperlink r:id="rId1195" ref="E1170"/>
    <hyperlink r:id="rId1196" ref="E1171"/>
    <hyperlink r:id="rId1197" ref="E1172"/>
    <hyperlink r:id="rId1198" ref="E1173"/>
    <hyperlink r:id="rId1199" ref="E1174"/>
    <hyperlink r:id="rId1200" ref="E1175"/>
    <hyperlink r:id="rId1201" ref="E1176"/>
    <hyperlink r:id="rId1202" ref="E1177"/>
    <hyperlink r:id="rId1203" ref="E1178"/>
    <hyperlink r:id="rId1204" ref="E1179"/>
    <hyperlink r:id="rId1205" ref="E1180"/>
    <hyperlink r:id="rId1206" ref="E1181"/>
    <hyperlink r:id="rId1207" ref="E1182"/>
    <hyperlink r:id="rId1208" ref="E1183"/>
    <hyperlink r:id="rId1209" ref="E1184"/>
    <hyperlink r:id="rId1210" ref="E1185"/>
    <hyperlink r:id="rId1211" ref="E1186"/>
    <hyperlink r:id="rId1212" ref="E1187"/>
    <hyperlink r:id="rId1213" ref="E1188"/>
    <hyperlink r:id="rId1214" ref="C1189"/>
    <hyperlink r:id="rId1215" ref="E1189"/>
    <hyperlink r:id="rId1216" ref="E1190"/>
    <hyperlink r:id="rId1217" ref="E1191"/>
    <hyperlink r:id="rId1218" ref="E1192"/>
    <hyperlink r:id="rId1219" ref="C1193"/>
    <hyperlink r:id="rId1220" ref="E1193"/>
    <hyperlink r:id="rId1221" ref="E1194"/>
    <hyperlink r:id="rId1222" ref="E1195"/>
    <hyperlink r:id="rId1223" ref="E1196"/>
    <hyperlink r:id="rId1224" ref="E1197"/>
    <hyperlink r:id="rId1225" ref="E1198"/>
    <hyperlink r:id="rId1226" ref="E1199"/>
    <hyperlink r:id="rId1227" ref="E1200"/>
    <hyperlink r:id="rId1228" ref="E1201"/>
    <hyperlink r:id="rId1229" ref="E1202"/>
    <hyperlink r:id="rId1230" ref="E1203"/>
    <hyperlink r:id="rId1231" ref="E1204"/>
    <hyperlink r:id="rId1232" ref="E1205"/>
    <hyperlink r:id="rId1233" ref="E1206"/>
    <hyperlink r:id="rId1234" ref="E1207"/>
    <hyperlink r:id="rId1235" ref="E1208"/>
    <hyperlink r:id="rId1236" ref="E1209"/>
    <hyperlink r:id="rId1237" ref="E1210"/>
    <hyperlink r:id="rId1238" ref="E1211"/>
    <hyperlink r:id="rId1239" ref="E1212"/>
    <hyperlink r:id="rId1240" ref="E1213"/>
    <hyperlink r:id="rId1241" ref="E1214"/>
    <hyperlink r:id="rId1242" ref="E1215"/>
    <hyperlink r:id="rId1243" ref="E1216"/>
    <hyperlink r:id="rId1244" ref="E1217"/>
    <hyperlink r:id="rId1245" ref="E1218"/>
    <hyperlink r:id="rId1246" ref="E1219"/>
    <hyperlink r:id="rId1247" ref="E1220"/>
    <hyperlink r:id="rId1248" ref="E1221"/>
    <hyperlink r:id="rId1249" ref="E1222"/>
    <hyperlink r:id="rId1250" ref="E1223"/>
    <hyperlink r:id="rId1251" ref="E1224"/>
    <hyperlink r:id="rId1252" ref="E1225"/>
    <hyperlink r:id="rId1253" ref="E1226"/>
    <hyperlink r:id="rId1254" ref="E1227"/>
    <hyperlink r:id="rId1255" ref="E1228"/>
    <hyperlink r:id="rId1256" ref="E1229"/>
    <hyperlink r:id="rId1257" ref="E1230"/>
    <hyperlink r:id="rId1258" ref="E1231"/>
    <hyperlink r:id="rId1259" ref="E1232"/>
    <hyperlink r:id="rId1260" ref="E1233"/>
    <hyperlink r:id="rId1261" ref="E1234"/>
    <hyperlink r:id="rId1262" ref="E1235"/>
    <hyperlink r:id="rId1263" ref="E1236"/>
    <hyperlink r:id="rId1264" ref="E1237"/>
    <hyperlink r:id="rId1265" ref="E1238"/>
    <hyperlink r:id="rId1266" ref="E1239"/>
    <hyperlink r:id="rId1267" ref="E1240"/>
    <hyperlink r:id="rId1268" ref="E1241"/>
    <hyperlink r:id="rId1269" ref="E1242"/>
    <hyperlink r:id="rId1270" ref="E1243"/>
    <hyperlink r:id="rId1271" ref="E1244"/>
    <hyperlink r:id="rId1272" ref="E1245"/>
    <hyperlink r:id="rId1273" ref="E1246"/>
    <hyperlink r:id="rId1274" ref="E1247"/>
    <hyperlink r:id="rId1275" ref="E1248"/>
    <hyperlink r:id="rId1276" ref="E1249"/>
    <hyperlink r:id="rId1277" ref="E1250"/>
    <hyperlink r:id="rId1278" ref="E1251"/>
    <hyperlink r:id="rId1279" ref="E1252"/>
    <hyperlink r:id="rId1280" ref="E1253"/>
    <hyperlink r:id="rId1281" ref="E1254"/>
    <hyperlink r:id="rId1282" ref="E1255"/>
    <hyperlink r:id="rId1283" ref="E1256"/>
    <hyperlink r:id="rId1284" ref="E1257"/>
    <hyperlink r:id="rId1285" ref="E1258"/>
    <hyperlink r:id="rId1286" ref="E1259"/>
    <hyperlink r:id="rId1287" ref="E1260"/>
    <hyperlink r:id="rId1288" ref="E1261"/>
    <hyperlink r:id="rId1289" ref="E1262"/>
    <hyperlink r:id="rId1290" ref="E1263"/>
    <hyperlink r:id="rId1291" ref="E1264"/>
    <hyperlink r:id="rId1292" ref="E1265"/>
    <hyperlink r:id="rId1293" ref="E1266"/>
    <hyperlink r:id="rId1294" ref="E1267"/>
    <hyperlink r:id="rId1295" ref="E1268"/>
    <hyperlink r:id="rId1296" ref="E1269"/>
    <hyperlink r:id="rId1297" ref="E1270"/>
    <hyperlink r:id="rId1298" ref="E1271"/>
    <hyperlink r:id="rId1299" ref="E1272"/>
    <hyperlink r:id="rId1300" ref="E1273"/>
    <hyperlink r:id="rId1301" ref="E1274"/>
    <hyperlink r:id="rId1302" ref="E1275"/>
    <hyperlink r:id="rId1303" ref="E1276"/>
    <hyperlink r:id="rId1304" ref="E1277"/>
    <hyperlink r:id="rId1305" ref="E1278"/>
    <hyperlink r:id="rId1306" ref="E1279"/>
    <hyperlink r:id="rId1307" ref="E1280"/>
    <hyperlink r:id="rId1308" ref="E1281"/>
    <hyperlink r:id="rId1309" ref="E1282"/>
    <hyperlink r:id="rId1310" ref="E1283"/>
    <hyperlink r:id="rId1311" ref="E1284"/>
    <hyperlink r:id="rId1312" ref="E1285"/>
    <hyperlink r:id="rId1313" ref="E1286"/>
    <hyperlink r:id="rId1314" ref="E1287"/>
    <hyperlink r:id="rId1315" ref="E1288"/>
    <hyperlink r:id="rId1316" ref="E1289"/>
    <hyperlink r:id="rId1317" ref="E1290"/>
    <hyperlink r:id="rId1318" ref="E1291"/>
    <hyperlink r:id="rId1319" ref="E1292"/>
    <hyperlink r:id="rId1320" ref="E1293"/>
    <hyperlink r:id="rId1321" ref="E1294"/>
    <hyperlink r:id="rId1322" ref="E1295"/>
    <hyperlink r:id="rId1323" ref="E1296"/>
    <hyperlink r:id="rId1324" ref="E1297"/>
    <hyperlink r:id="rId1325" ref="E1298"/>
    <hyperlink r:id="rId1326" ref="E1299"/>
    <hyperlink r:id="rId1327" ref="E1300"/>
    <hyperlink r:id="rId1328" ref="E1301"/>
    <hyperlink r:id="rId1329" ref="E1302"/>
    <hyperlink r:id="rId1330" ref="E1303"/>
    <hyperlink r:id="rId1331" ref="E1304"/>
    <hyperlink r:id="rId1332" ref="E1305"/>
    <hyperlink r:id="rId1333" ref="E1306"/>
    <hyperlink r:id="rId1334" ref="E1307"/>
    <hyperlink r:id="rId1335" ref="E1308"/>
    <hyperlink r:id="rId1336" ref="E1309"/>
    <hyperlink r:id="rId1337" ref="E1310"/>
    <hyperlink r:id="rId1338" ref="E1311"/>
    <hyperlink r:id="rId1339" ref="E1312"/>
    <hyperlink r:id="rId1340" ref="E1313"/>
    <hyperlink r:id="rId1341" ref="E1314"/>
    <hyperlink r:id="rId1342" ref="E1315"/>
    <hyperlink r:id="rId1343" ref="E1316"/>
    <hyperlink r:id="rId1344" ref="E1317"/>
    <hyperlink r:id="rId1345" ref="E1318"/>
    <hyperlink r:id="rId1346" ref="E1319"/>
    <hyperlink r:id="rId1347" ref="E1320"/>
    <hyperlink r:id="rId1348" ref="E1321"/>
    <hyperlink r:id="rId1349" ref="E1322"/>
    <hyperlink r:id="rId1350" ref="E1323"/>
    <hyperlink r:id="rId1351" ref="E1324"/>
    <hyperlink r:id="rId1352" ref="E1325"/>
    <hyperlink r:id="rId1353" ref="E1326"/>
    <hyperlink r:id="rId1354" ref="E1327"/>
    <hyperlink r:id="rId1355" ref="E1328"/>
    <hyperlink r:id="rId1356" ref="C1329"/>
    <hyperlink r:id="rId1357" ref="E1329"/>
    <hyperlink r:id="rId1358" ref="E1330"/>
    <hyperlink r:id="rId1359" ref="E1331"/>
    <hyperlink r:id="rId1360" ref="E1332"/>
    <hyperlink r:id="rId1361" ref="E1333"/>
    <hyperlink r:id="rId1362" ref="E1334"/>
    <hyperlink r:id="rId1363" ref="E1335"/>
    <hyperlink r:id="rId1364" ref="E1336"/>
    <hyperlink r:id="rId1365" ref="C1337"/>
    <hyperlink r:id="rId1366" ref="E1337"/>
    <hyperlink r:id="rId1367" ref="E1338"/>
    <hyperlink r:id="rId1368" ref="E1339"/>
    <hyperlink r:id="rId1369" ref="E1340"/>
    <hyperlink r:id="rId1370" ref="E1341"/>
    <hyperlink r:id="rId1371" ref="E1342"/>
    <hyperlink r:id="rId1372" ref="E1343"/>
    <hyperlink r:id="rId1373" ref="E1344"/>
    <hyperlink r:id="rId1374" ref="E1345"/>
    <hyperlink r:id="rId1375" ref="E1346"/>
    <hyperlink r:id="rId1376" ref="E1347"/>
    <hyperlink r:id="rId1377" ref="E1348"/>
    <hyperlink r:id="rId1378" ref="E1349"/>
    <hyperlink r:id="rId1379" ref="E1350"/>
    <hyperlink r:id="rId1380" ref="E1351"/>
    <hyperlink r:id="rId1381" ref="E1352"/>
    <hyperlink r:id="rId1382" ref="E1353"/>
    <hyperlink r:id="rId1383" ref="E1354"/>
    <hyperlink r:id="rId1384" ref="E1355"/>
    <hyperlink r:id="rId1385" ref="E1356"/>
    <hyperlink r:id="rId1386" ref="E1357"/>
    <hyperlink r:id="rId1387" ref="E1358"/>
    <hyperlink r:id="rId1388" ref="E1359"/>
    <hyperlink r:id="rId1389" ref="E1360"/>
    <hyperlink r:id="rId1390" ref="E1361"/>
    <hyperlink r:id="rId1391" ref="E1362"/>
    <hyperlink r:id="rId1392" ref="C1363"/>
    <hyperlink r:id="rId1393" ref="E1363"/>
    <hyperlink r:id="rId1394" ref="E1364"/>
    <hyperlink r:id="rId1395" ref="E1365"/>
    <hyperlink r:id="rId1396" ref="E1366"/>
    <hyperlink r:id="rId1397" ref="E1367"/>
    <hyperlink r:id="rId1398" ref="E1368"/>
    <hyperlink r:id="rId1399" ref="E1369"/>
    <hyperlink r:id="rId1400" ref="E1370"/>
    <hyperlink r:id="rId1401" ref="E1371"/>
    <hyperlink r:id="rId1402" ref="E1372"/>
    <hyperlink r:id="rId1403" ref="E1373"/>
    <hyperlink r:id="rId1404" ref="E1374"/>
    <hyperlink r:id="rId1405" ref="E1375"/>
    <hyperlink r:id="rId1406" ref="E1376"/>
    <hyperlink r:id="rId1407" ref="E1377"/>
    <hyperlink r:id="rId1408" ref="E1378"/>
    <hyperlink r:id="rId1409" ref="E1379"/>
    <hyperlink r:id="rId1410" ref="E1380"/>
    <hyperlink r:id="rId1411" ref="E1381"/>
    <hyperlink r:id="rId1412" ref="E1382"/>
    <hyperlink r:id="rId1413" ref="E1383"/>
    <hyperlink r:id="rId1414" ref="E1384"/>
    <hyperlink r:id="rId1415" ref="E1385"/>
    <hyperlink r:id="rId1416" ref="E1386"/>
    <hyperlink r:id="rId1417" ref="E1387"/>
    <hyperlink r:id="rId1418" ref="E1388"/>
    <hyperlink r:id="rId1419" ref="E1389"/>
    <hyperlink r:id="rId1420" ref="E1390"/>
    <hyperlink r:id="rId1421" ref="E1391"/>
    <hyperlink r:id="rId1422" ref="E1392"/>
    <hyperlink r:id="rId1423" ref="E1393"/>
    <hyperlink r:id="rId1424" ref="E1394"/>
    <hyperlink r:id="rId1425" ref="E1395"/>
    <hyperlink r:id="rId1426" ref="E1396"/>
    <hyperlink r:id="rId1427" ref="E1397"/>
    <hyperlink r:id="rId1428" ref="E1398"/>
    <hyperlink r:id="rId1429" ref="E1399"/>
    <hyperlink r:id="rId1430" ref="E1400"/>
    <hyperlink r:id="rId1431" ref="E1401"/>
    <hyperlink r:id="rId1432" ref="E1402"/>
    <hyperlink r:id="rId1433" ref="E1403"/>
    <hyperlink r:id="rId1434" ref="E1404"/>
    <hyperlink r:id="rId1435" ref="E1405"/>
    <hyperlink r:id="rId1436" ref="E1406"/>
    <hyperlink r:id="rId1437" ref="E1407"/>
    <hyperlink r:id="rId1438" ref="E1408"/>
    <hyperlink r:id="rId1439" ref="E1409"/>
    <hyperlink r:id="rId1440" ref="E1410"/>
    <hyperlink r:id="rId1441" ref="E1411"/>
    <hyperlink r:id="rId1442" ref="E1412"/>
    <hyperlink r:id="rId1443" ref="E1413"/>
    <hyperlink r:id="rId1444" ref="E1414"/>
    <hyperlink r:id="rId1445" ref="E1415"/>
    <hyperlink r:id="rId1446" ref="E1416"/>
    <hyperlink r:id="rId1447" ref="E1417"/>
    <hyperlink r:id="rId1448" ref="E1418"/>
    <hyperlink r:id="rId1449" ref="E1419"/>
    <hyperlink r:id="rId1450" ref="E1420"/>
    <hyperlink r:id="rId1451" ref="E1421"/>
    <hyperlink r:id="rId1452" ref="E1422"/>
    <hyperlink r:id="rId1453" ref="E1423"/>
    <hyperlink r:id="rId1454" ref="E1424"/>
    <hyperlink r:id="rId1455" ref="E1425"/>
    <hyperlink r:id="rId1456" ref="E1426"/>
    <hyperlink r:id="rId1457" ref="E1427"/>
    <hyperlink r:id="rId1458" ref="E1428"/>
    <hyperlink r:id="rId1459" ref="E1429"/>
    <hyperlink r:id="rId1460" ref="E1430"/>
    <hyperlink r:id="rId1461" ref="E1431"/>
    <hyperlink r:id="rId1462" ref="E1432"/>
    <hyperlink r:id="rId1463" ref="E1433"/>
    <hyperlink r:id="rId1464" ref="C1434"/>
    <hyperlink r:id="rId1465" ref="E1434"/>
    <hyperlink r:id="rId1466" ref="E1435"/>
    <hyperlink r:id="rId1467" ref="E1436"/>
    <hyperlink r:id="rId1468" ref="E1437"/>
    <hyperlink r:id="rId1469" ref="E1438"/>
    <hyperlink r:id="rId1470" ref="E1439"/>
    <hyperlink r:id="rId1471" ref="E1440"/>
    <hyperlink r:id="rId1472" ref="E1441"/>
    <hyperlink r:id="rId1473" ref="E1442"/>
    <hyperlink r:id="rId1474" ref="E1443"/>
    <hyperlink r:id="rId1475" ref="E1444"/>
    <hyperlink r:id="rId1476" ref="E1445"/>
    <hyperlink r:id="rId1477" ref="E1446"/>
    <hyperlink r:id="rId1478" ref="E1447"/>
    <hyperlink r:id="rId1479" ref="E1448"/>
    <hyperlink r:id="rId1480" ref="E1449"/>
    <hyperlink r:id="rId1481" ref="E1450"/>
    <hyperlink r:id="rId1482" ref="E1451"/>
    <hyperlink r:id="rId1483" ref="E1452"/>
    <hyperlink r:id="rId1484" ref="E1453"/>
    <hyperlink r:id="rId1485" ref="E1454"/>
    <hyperlink r:id="rId1486" ref="E1455"/>
    <hyperlink r:id="rId1487" ref="E1456"/>
    <hyperlink r:id="rId1488" ref="E1457"/>
    <hyperlink r:id="rId1489" ref="E1458"/>
    <hyperlink r:id="rId1490" ref="E1459"/>
    <hyperlink r:id="rId1491" ref="E1460"/>
    <hyperlink r:id="rId1492" ref="E1461"/>
    <hyperlink r:id="rId1493" ref="E1462"/>
    <hyperlink r:id="rId1494" ref="E1463"/>
    <hyperlink r:id="rId1495" ref="E1464"/>
    <hyperlink r:id="rId1496" ref="E1465"/>
    <hyperlink r:id="rId1497" ref="E1466"/>
    <hyperlink r:id="rId1498" ref="E1467"/>
    <hyperlink r:id="rId1499" ref="E1468"/>
    <hyperlink r:id="rId1500" ref="E1469"/>
    <hyperlink r:id="rId1501" ref="E1470"/>
    <hyperlink r:id="rId1502" ref="E1471"/>
    <hyperlink r:id="rId1503" ref="E1472"/>
    <hyperlink r:id="rId1504" ref="E1473"/>
    <hyperlink r:id="rId1505" ref="E1474"/>
    <hyperlink r:id="rId1506" ref="E1475"/>
    <hyperlink r:id="rId1507" ref="E1476"/>
    <hyperlink r:id="rId1508" ref="E1477"/>
    <hyperlink r:id="rId1509" ref="E1478"/>
    <hyperlink r:id="rId1510" ref="E1479"/>
    <hyperlink r:id="rId1511" ref="E1480"/>
    <hyperlink r:id="rId1512" ref="E1481"/>
    <hyperlink r:id="rId1513" ref="E1482"/>
    <hyperlink r:id="rId1514" ref="E1483"/>
    <hyperlink r:id="rId1515" ref="E1484"/>
    <hyperlink r:id="rId1516" ref="E1485"/>
    <hyperlink r:id="rId1517" ref="E1486"/>
    <hyperlink r:id="rId1518" ref="E1487"/>
    <hyperlink r:id="rId1519" ref="E1488"/>
    <hyperlink r:id="rId1520" ref="E1489"/>
    <hyperlink r:id="rId1521" ref="E1490"/>
    <hyperlink r:id="rId1522" ref="E1491"/>
    <hyperlink r:id="rId1523" ref="E1492"/>
    <hyperlink r:id="rId1524" ref="E1493"/>
    <hyperlink r:id="rId1525" ref="E1494"/>
    <hyperlink r:id="rId1526" ref="E1495"/>
    <hyperlink r:id="rId1527" ref="E1496"/>
    <hyperlink r:id="rId1528" ref="E1497"/>
    <hyperlink r:id="rId1529" ref="E1498"/>
    <hyperlink r:id="rId1530" ref="E1499"/>
    <hyperlink r:id="rId1531" ref="E1500"/>
    <hyperlink r:id="rId1532" ref="E1501"/>
    <hyperlink r:id="rId1533" ref="E1502"/>
    <hyperlink r:id="rId1534" ref="E1503"/>
    <hyperlink r:id="rId1535" ref="E1504"/>
    <hyperlink r:id="rId1536" ref="E1505"/>
    <hyperlink r:id="rId1537" ref="E1506"/>
    <hyperlink r:id="rId1538" ref="E1507"/>
    <hyperlink r:id="rId1539" ref="E1508"/>
    <hyperlink r:id="rId1540" ref="E1509"/>
    <hyperlink r:id="rId1541" ref="E1510"/>
    <hyperlink r:id="rId1542" ref="E1511"/>
    <hyperlink r:id="rId1543" ref="E1512"/>
    <hyperlink r:id="rId1544" ref="E1515"/>
    <hyperlink r:id="rId1545" ref="E1516"/>
    <hyperlink r:id="rId1546" ref="E1517"/>
    <hyperlink r:id="rId1547" ref="E1518"/>
    <hyperlink r:id="rId1548" ref="E1519"/>
    <hyperlink r:id="rId1549" ref="E1520"/>
    <hyperlink r:id="rId1550" ref="E1521"/>
    <hyperlink r:id="rId1551" ref="E1522"/>
    <hyperlink r:id="rId1552" ref="E1523"/>
    <hyperlink r:id="rId1553" ref="E1524"/>
    <hyperlink r:id="rId1554" ref="E1525"/>
    <hyperlink r:id="rId1555" ref="E1526"/>
    <hyperlink r:id="rId1556" ref="E1527"/>
    <hyperlink r:id="rId1557" ref="E1528"/>
    <hyperlink r:id="rId1558" ref="E1530"/>
    <hyperlink r:id="rId1559" ref="E1531"/>
    <hyperlink r:id="rId1560" ref="E1532"/>
    <hyperlink r:id="rId1561" ref="E1533"/>
    <hyperlink r:id="rId1562" ref="E1534"/>
    <hyperlink r:id="rId1563" ref="C1535"/>
    <hyperlink r:id="rId1564" ref="E1535"/>
    <hyperlink r:id="rId1565" ref="E1536"/>
    <hyperlink r:id="rId1566" ref="E1537"/>
    <hyperlink r:id="rId1567" ref="E1538"/>
    <hyperlink r:id="rId1568" ref="E1539"/>
    <hyperlink r:id="rId1569" ref="E1540"/>
    <hyperlink r:id="rId1570" ref="E1541"/>
    <hyperlink r:id="rId1571" ref="E1542"/>
    <hyperlink r:id="rId1572" ref="E1543"/>
    <hyperlink r:id="rId1573" ref="E1544"/>
    <hyperlink r:id="rId1574" ref="E1545"/>
    <hyperlink r:id="rId1575" ref="E1546"/>
    <hyperlink r:id="rId1576" ref="E1547"/>
    <hyperlink r:id="rId1577" ref="E1548"/>
    <hyperlink r:id="rId1578" ref="E1549"/>
    <hyperlink r:id="rId1579" ref="E1550"/>
    <hyperlink r:id="rId1580" ref="E1551"/>
    <hyperlink r:id="rId1581" ref="E1552"/>
    <hyperlink r:id="rId1582" ref="E1553"/>
    <hyperlink r:id="rId1583" ref="E1554"/>
    <hyperlink r:id="rId1584" ref="E1555"/>
    <hyperlink r:id="rId1585" ref="E1556"/>
    <hyperlink r:id="rId1586" ref="E1557"/>
    <hyperlink r:id="rId1587" ref="E1558"/>
    <hyperlink r:id="rId1588" ref="E1559"/>
    <hyperlink r:id="rId1589" ref="E1560"/>
    <hyperlink r:id="rId1590" ref="E1561"/>
    <hyperlink r:id="rId1591" ref="C1562"/>
    <hyperlink r:id="rId1592" ref="E1562"/>
    <hyperlink r:id="rId1593" ref="E1563"/>
    <hyperlink r:id="rId1594" ref="E1564"/>
    <hyperlink r:id="rId1595" ref="E1565"/>
    <hyperlink r:id="rId1596" ref="E1566"/>
    <hyperlink r:id="rId1597" ref="E1567"/>
    <hyperlink r:id="rId1598" ref="E1568"/>
    <hyperlink r:id="rId1599" ref="E1569"/>
    <hyperlink r:id="rId1600" ref="E1570"/>
    <hyperlink r:id="rId1601" ref="E1571"/>
    <hyperlink r:id="rId1602" ref="E1572"/>
    <hyperlink r:id="rId1603" ref="E1573"/>
    <hyperlink r:id="rId1604" ref="E1574"/>
    <hyperlink r:id="rId1605" ref="E1575"/>
    <hyperlink r:id="rId1606" ref="E1576"/>
    <hyperlink r:id="rId1607" ref="E1577"/>
    <hyperlink r:id="rId1608" ref="E1578"/>
    <hyperlink r:id="rId1609" ref="E1580"/>
    <hyperlink r:id="rId1610" ref="E1581"/>
    <hyperlink r:id="rId1611" ref="E1582"/>
    <hyperlink r:id="rId1612" ref="E1583"/>
    <hyperlink r:id="rId1613" ref="E1584"/>
    <hyperlink r:id="rId1614" ref="E1585"/>
    <hyperlink r:id="rId1615" ref="E1586"/>
    <hyperlink r:id="rId1616" ref="E1587"/>
    <hyperlink r:id="rId1617" ref="E1588"/>
    <hyperlink r:id="rId1618" ref="E1590"/>
    <hyperlink r:id="rId1619" ref="E1591"/>
    <hyperlink r:id="rId1620" ref="E1592"/>
    <hyperlink r:id="rId1621" ref="E1593"/>
    <hyperlink r:id="rId1622" ref="E1595"/>
    <hyperlink r:id="rId1623" ref="E1596"/>
    <hyperlink r:id="rId1624" ref="E1597"/>
    <hyperlink r:id="rId1625" ref="E1598"/>
    <hyperlink r:id="rId1626" ref="E1599"/>
    <hyperlink r:id="rId1627" ref="E1600"/>
    <hyperlink r:id="rId1628" ref="E1601"/>
    <hyperlink r:id="rId1629" ref="E1602"/>
    <hyperlink r:id="rId1630" ref="E1603"/>
    <hyperlink r:id="rId1631" ref="E1604"/>
    <hyperlink r:id="rId1632" ref="E1605"/>
    <hyperlink r:id="rId1633" ref="E1606"/>
    <hyperlink r:id="rId1634" ref="E1607"/>
    <hyperlink r:id="rId1635" ref="E1608"/>
    <hyperlink r:id="rId1636" ref="E1610"/>
    <hyperlink r:id="rId1637" ref="E1611"/>
    <hyperlink r:id="rId1638" ref="E1612"/>
    <hyperlink r:id="rId1639" ref="E1613"/>
    <hyperlink r:id="rId1640" ref="C1614"/>
    <hyperlink r:id="rId1641" ref="E1614"/>
    <hyperlink r:id="rId1642" ref="E1615"/>
    <hyperlink r:id="rId1643" ref="E1616"/>
    <hyperlink r:id="rId1644" ref="E1617"/>
    <hyperlink r:id="rId1645" ref="E1618"/>
    <hyperlink r:id="rId1646" ref="E1619"/>
    <hyperlink r:id="rId1647" ref="E1620"/>
    <hyperlink r:id="rId1648" ref="E1621"/>
    <hyperlink r:id="rId1649" ref="E1622"/>
    <hyperlink r:id="rId1650" ref="E1623"/>
    <hyperlink r:id="rId1651" ref="E1624"/>
    <hyperlink r:id="rId1652" ref="E1626"/>
    <hyperlink r:id="rId1653" ref="E1627"/>
    <hyperlink r:id="rId1654" ref="E1628"/>
    <hyperlink r:id="rId1655" ref="E1629"/>
    <hyperlink r:id="rId1656" ref="E1630"/>
    <hyperlink r:id="rId1657" ref="E1632"/>
    <hyperlink r:id="rId1658" ref="E1633"/>
    <hyperlink r:id="rId1659" ref="E1634"/>
    <hyperlink r:id="rId1660" ref="E1635"/>
    <hyperlink r:id="rId1661" ref="E1636"/>
    <hyperlink r:id="rId1662" ref="E1638"/>
    <hyperlink r:id="rId1663" ref="E1639"/>
    <hyperlink r:id="rId1664" ref="E1640"/>
    <hyperlink r:id="rId1665" ref="E1641"/>
    <hyperlink r:id="rId1666" ref="E1642"/>
    <hyperlink r:id="rId1667" ref="E1643"/>
    <hyperlink r:id="rId1668" ref="E1644"/>
    <hyperlink r:id="rId1669" ref="E1645"/>
    <hyperlink r:id="rId1670" ref="E1646"/>
    <hyperlink r:id="rId1671" ref="E1647"/>
    <hyperlink r:id="rId1672" ref="E1648"/>
    <hyperlink r:id="rId1673" ref="E1649"/>
    <hyperlink r:id="rId1674" ref="E1650"/>
    <hyperlink r:id="rId1675" ref="E1651"/>
    <hyperlink r:id="rId1676" ref="E1652"/>
    <hyperlink r:id="rId1677" ref="E1653"/>
    <hyperlink r:id="rId1678" ref="E1654"/>
    <hyperlink r:id="rId1679" ref="E1655"/>
    <hyperlink r:id="rId1680" ref="E1656"/>
    <hyperlink r:id="rId1681" ref="E1657"/>
    <hyperlink r:id="rId1682" ref="C1658"/>
    <hyperlink r:id="rId1683" ref="E1658"/>
    <hyperlink r:id="rId1684" ref="E1659"/>
    <hyperlink r:id="rId1685" ref="E1660"/>
    <hyperlink r:id="rId1686" ref="E1661"/>
    <hyperlink r:id="rId1687" ref="E1662"/>
    <hyperlink r:id="rId1688" ref="E1663"/>
    <hyperlink r:id="rId1689" ref="E1664"/>
    <hyperlink r:id="rId1690" ref="E1665"/>
    <hyperlink r:id="rId1691" ref="E1666"/>
    <hyperlink r:id="rId1692" ref="C1667"/>
    <hyperlink r:id="rId1693" ref="E1667"/>
    <hyperlink r:id="rId1694" ref="E1668"/>
    <hyperlink r:id="rId1695" ref="E1669"/>
    <hyperlink r:id="rId1696" ref="E1670"/>
    <hyperlink r:id="rId1697" ref="E1671"/>
    <hyperlink r:id="rId1698" ref="E1672"/>
    <hyperlink r:id="rId1699" ref="E1673"/>
    <hyperlink r:id="rId1700" ref="E1674"/>
    <hyperlink r:id="rId1701" ref="E1675"/>
    <hyperlink r:id="rId1702" ref="E1676"/>
    <hyperlink r:id="rId1703" ref="C1677"/>
    <hyperlink r:id="rId1704" ref="E1677"/>
    <hyperlink r:id="rId1705" ref="E1678"/>
    <hyperlink r:id="rId1706" ref="E1679"/>
    <hyperlink r:id="rId1707" ref="E1680"/>
    <hyperlink r:id="rId1708" ref="E1681"/>
    <hyperlink r:id="rId1709" ref="E1682"/>
    <hyperlink r:id="rId1710" ref="E1683"/>
    <hyperlink r:id="rId1711" ref="E1684"/>
    <hyperlink r:id="rId1712" ref="E1685"/>
    <hyperlink r:id="rId1713" ref="E1686"/>
    <hyperlink r:id="rId1714" ref="E1688"/>
    <hyperlink r:id="rId1715" ref="E1689"/>
    <hyperlink r:id="rId1716" ref="E1690"/>
    <hyperlink r:id="rId1717" ref="E1691"/>
    <hyperlink r:id="rId1718" ref="E1692"/>
    <hyperlink r:id="rId1719" ref="E1693"/>
    <hyperlink r:id="rId1720" ref="E1694"/>
    <hyperlink r:id="rId1721" ref="E1695"/>
    <hyperlink r:id="rId1722" ref="E1696"/>
    <hyperlink r:id="rId1723" ref="E1698"/>
    <hyperlink r:id="rId1724" ref="E1701"/>
    <hyperlink r:id="rId1725" ref="E1703"/>
    <hyperlink r:id="rId1726" ref="E1704"/>
    <hyperlink r:id="rId1727" ref="E1705"/>
    <hyperlink r:id="rId1728" ref="E1706"/>
    <hyperlink r:id="rId1729" ref="E1707"/>
    <hyperlink r:id="rId1730" ref="E1708"/>
    <hyperlink r:id="rId1731" ref="E1709"/>
    <hyperlink r:id="rId1732" ref="C1710"/>
    <hyperlink r:id="rId1733" ref="E1710"/>
    <hyperlink r:id="rId1734" ref="E1711"/>
    <hyperlink r:id="rId1735" ref="E1712"/>
    <hyperlink r:id="rId1736" ref="E1713"/>
    <hyperlink r:id="rId1737" ref="E1714"/>
    <hyperlink r:id="rId1738" ref="E1715"/>
    <hyperlink r:id="rId1739" ref="E1716"/>
    <hyperlink r:id="rId1740" ref="E1717"/>
    <hyperlink r:id="rId1741" ref="E1718"/>
    <hyperlink r:id="rId1742" ref="E1720"/>
    <hyperlink r:id="rId1743" ref="E1722"/>
    <hyperlink r:id="rId1744" ref="E1723"/>
    <hyperlink r:id="rId1745" ref="E1724"/>
    <hyperlink r:id="rId1746" ref="E1725"/>
    <hyperlink r:id="rId1747" ref="E1726"/>
    <hyperlink r:id="rId1748" ref="E1727"/>
    <hyperlink r:id="rId1749" ref="E1728"/>
    <hyperlink r:id="rId1750" ref="E1729"/>
    <hyperlink r:id="rId1751" ref="E1730"/>
    <hyperlink r:id="rId1752" ref="E1731"/>
    <hyperlink r:id="rId1753" ref="E1732"/>
    <hyperlink r:id="rId1754" ref="E1733"/>
    <hyperlink r:id="rId1755" ref="E1734"/>
    <hyperlink r:id="rId1756" ref="E1735"/>
    <hyperlink r:id="rId1757" ref="E1736"/>
    <hyperlink r:id="rId1758" ref="E1737"/>
    <hyperlink r:id="rId1759" ref="E1738"/>
    <hyperlink r:id="rId1760" ref="E1739"/>
    <hyperlink r:id="rId1761" ref="E1740"/>
    <hyperlink r:id="rId1762" ref="E1741"/>
    <hyperlink r:id="rId1763" ref="C1742"/>
    <hyperlink r:id="rId1764" ref="E1742"/>
    <hyperlink r:id="rId1765" ref="E1743"/>
    <hyperlink r:id="rId1766" ref="E1744"/>
    <hyperlink r:id="rId1767" ref="E1745"/>
    <hyperlink r:id="rId1768" ref="E1746"/>
    <hyperlink r:id="rId1769" ref="E1747"/>
    <hyperlink r:id="rId1770" ref="E1748"/>
    <hyperlink r:id="rId1771" ref="E1749"/>
    <hyperlink r:id="rId1772" ref="E1750"/>
    <hyperlink r:id="rId1773" ref="E1751"/>
    <hyperlink r:id="rId1774" ref="E1752"/>
    <hyperlink r:id="rId1775" ref="E1753"/>
    <hyperlink r:id="rId1776" ref="E1754"/>
    <hyperlink r:id="rId1777" ref="E1755"/>
    <hyperlink r:id="rId1778" ref="E1756"/>
    <hyperlink r:id="rId1779" ref="E1757"/>
    <hyperlink r:id="rId1780" ref="E1758"/>
    <hyperlink r:id="rId1781" ref="E1759"/>
    <hyperlink r:id="rId1782" ref="E1760"/>
    <hyperlink r:id="rId1783" ref="E1761"/>
    <hyperlink r:id="rId1784" ref="E1762"/>
    <hyperlink r:id="rId1785" ref="E1763"/>
    <hyperlink r:id="rId1786" ref="E1764"/>
    <hyperlink r:id="rId1787" ref="E1765"/>
    <hyperlink r:id="rId1788" ref="E1766"/>
    <hyperlink r:id="rId1789" ref="E1767"/>
    <hyperlink r:id="rId1790" ref="E1768"/>
    <hyperlink r:id="rId1791" ref="E1769"/>
    <hyperlink r:id="rId1792" ref="E1770"/>
    <hyperlink r:id="rId1793" ref="E1771"/>
    <hyperlink r:id="rId1794" ref="E1772"/>
    <hyperlink r:id="rId1795" ref="C1773"/>
    <hyperlink r:id="rId1796" ref="E1773"/>
    <hyperlink r:id="rId1797" ref="E1774"/>
    <hyperlink r:id="rId1798" ref="E1775"/>
    <hyperlink r:id="rId1799" ref="E1776"/>
    <hyperlink r:id="rId1800" ref="E1777"/>
    <hyperlink r:id="rId1801" ref="E1778"/>
    <hyperlink r:id="rId1802" ref="C1779"/>
    <hyperlink r:id="rId1803" ref="E1779"/>
    <hyperlink r:id="rId1804" ref="E1780"/>
    <hyperlink r:id="rId1805" ref="E1781"/>
    <hyperlink r:id="rId1806" ref="E1782"/>
    <hyperlink r:id="rId1807" ref="E1783"/>
    <hyperlink r:id="rId1808" ref="E1784"/>
    <hyperlink r:id="rId1809" ref="E1785"/>
    <hyperlink r:id="rId1810" ref="E1786"/>
    <hyperlink r:id="rId1811" ref="E1787"/>
    <hyperlink r:id="rId1812" ref="E1788"/>
    <hyperlink r:id="rId1813" ref="E1789"/>
    <hyperlink r:id="rId1814" ref="E1790"/>
    <hyperlink r:id="rId1815" ref="E1791"/>
    <hyperlink r:id="rId1816" ref="E1792"/>
    <hyperlink r:id="rId1817" ref="E1793"/>
    <hyperlink r:id="rId1818" ref="E1794"/>
    <hyperlink r:id="rId1819" ref="E1795"/>
    <hyperlink r:id="rId1820" ref="E1796"/>
    <hyperlink r:id="rId1821" ref="E1797"/>
    <hyperlink r:id="rId1822" ref="E1798"/>
    <hyperlink r:id="rId1823" ref="E1799"/>
    <hyperlink r:id="rId1824" ref="E1800"/>
    <hyperlink r:id="rId1825" ref="E1801"/>
    <hyperlink r:id="rId1826" ref="E1802"/>
    <hyperlink r:id="rId1827" ref="E1803"/>
    <hyperlink r:id="rId1828" ref="E1804"/>
    <hyperlink r:id="rId1829" ref="E1805"/>
    <hyperlink r:id="rId1830" ref="C1806"/>
    <hyperlink r:id="rId1831" ref="E1806"/>
    <hyperlink r:id="rId1832" ref="E1807"/>
    <hyperlink r:id="rId1833" ref="E1808"/>
    <hyperlink r:id="rId1834" ref="C1809"/>
    <hyperlink r:id="rId1835" ref="E1809"/>
    <hyperlink r:id="rId1836" ref="E1810"/>
    <hyperlink r:id="rId1837" ref="E1811"/>
    <hyperlink r:id="rId1838" ref="E1812"/>
    <hyperlink r:id="rId1839" ref="E1813"/>
    <hyperlink r:id="rId1840" ref="E1814"/>
    <hyperlink r:id="rId1841" ref="E1815"/>
    <hyperlink r:id="rId1842" ref="E1816"/>
    <hyperlink r:id="rId1843" ref="E1817"/>
    <hyperlink r:id="rId1844" ref="E1818"/>
    <hyperlink r:id="rId1845" ref="E1819"/>
    <hyperlink r:id="rId1846" ref="E1820"/>
    <hyperlink r:id="rId1847" ref="E1821"/>
    <hyperlink r:id="rId1848" ref="E1822"/>
    <hyperlink r:id="rId1849" ref="E1823"/>
    <hyperlink r:id="rId1850" ref="E1824"/>
    <hyperlink r:id="rId1851" ref="E1825"/>
    <hyperlink r:id="rId1852" ref="E1826"/>
    <hyperlink r:id="rId1853" ref="E1827"/>
    <hyperlink r:id="rId1854" ref="E1828"/>
    <hyperlink r:id="rId1855" ref="E1829"/>
    <hyperlink r:id="rId1856" ref="E1830"/>
    <hyperlink r:id="rId1857" ref="E1831"/>
    <hyperlink r:id="rId1858" ref="E1832"/>
    <hyperlink r:id="rId1859" ref="E1833"/>
    <hyperlink r:id="rId1860" ref="E1834"/>
    <hyperlink r:id="rId1861" ref="E1835"/>
    <hyperlink r:id="rId1862" ref="E1836"/>
    <hyperlink r:id="rId1863" ref="E1837"/>
    <hyperlink r:id="rId1864" ref="E1838"/>
    <hyperlink r:id="rId1865" ref="E1839"/>
    <hyperlink r:id="rId1866" ref="E1840"/>
    <hyperlink r:id="rId1867" ref="E1841"/>
    <hyperlink r:id="rId1868" ref="E1842"/>
    <hyperlink r:id="rId1869" ref="E1843"/>
    <hyperlink r:id="rId1870" ref="E1844"/>
    <hyperlink r:id="rId1871" ref="E1845"/>
    <hyperlink r:id="rId1872" ref="C1846"/>
    <hyperlink r:id="rId1873" ref="E1846"/>
    <hyperlink r:id="rId1874" ref="C1847"/>
    <hyperlink r:id="rId1875" ref="E1847"/>
    <hyperlink r:id="rId1876" ref="E1848"/>
    <hyperlink r:id="rId1877" ref="E1849"/>
    <hyperlink r:id="rId1878" ref="E1850"/>
    <hyperlink r:id="rId1879" ref="E1851"/>
    <hyperlink r:id="rId1880" ref="E1852"/>
    <hyperlink r:id="rId1881" ref="E1853"/>
    <hyperlink r:id="rId1882" ref="E1854"/>
    <hyperlink r:id="rId1883" ref="E1855"/>
    <hyperlink r:id="rId1884" ref="E1856"/>
    <hyperlink r:id="rId1885" ref="E1857"/>
    <hyperlink r:id="rId1886" ref="E1858"/>
    <hyperlink r:id="rId1887" ref="E1859"/>
    <hyperlink r:id="rId1888" ref="E1860"/>
    <hyperlink r:id="rId1889" ref="E1861"/>
    <hyperlink r:id="rId1890" ref="E1862"/>
    <hyperlink r:id="rId1891" ref="E1863"/>
    <hyperlink r:id="rId1892" ref="E1864"/>
    <hyperlink r:id="rId1893" ref="E1865"/>
    <hyperlink r:id="rId1894" ref="E1866"/>
    <hyperlink r:id="rId1895" ref="E1867"/>
    <hyperlink r:id="rId1896" ref="E1868"/>
    <hyperlink r:id="rId1897" ref="E1869"/>
    <hyperlink r:id="rId1898" ref="E1870"/>
    <hyperlink r:id="rId1899" ref="E1871"/>
    <hyperlink r:id="rId1900" ref="E1872"/>
    <hyperlink r:id="rId1901" ref="E1873"/>
    <hyperlink r:id="rId1902" ref="E1874"/>
    <hyperlink r:id="rId1903" ref="E1875"/>
    <hyperlink r:id="rId1904" ref="E1876"/>
    <hyperlink r:id="rId1905" ref="E1877"/>
    <hyperlink r:id="rId1906" ref="E1878"/>
    <hyperlink r:id="rId1907" ref="E1879"/>
    <hyperlink r:id="rId1908" ref="E1880"/>
    <hyperlink r:id="rId1909" ref="E1881"/>
    <hyperlink r:id="rId1910" ref="E1882"/>
    <hyperlink r:id="rId1911" ref="E1883"/>
    <hyperlink r:id="rId1912" ref="E1884"/>
    <hyperlink r:id="rId1913" ref="E1885"/>
    <hyperlink r:id="rId1914" ref="E1886"/>
    <hyperlink r:id="rId1915" ref="E1887"/>
    <hyperlink r:id="rId1916" ref="E1888"/>
    <hyperlink r:id="rId1917" ref="E1889"/>
    <hyperlink r:id="rId1918" ref="E1890"/>
    <hyperlink r:id="rId1919" ref="E1891"/>
    <hyperlink r:id="rId1920" ref="E1892"/>
    <hyperlink r:id="rId1921" ref="E1893"/>
    <hyperlink r:id="rId1922" ref="E1894"/>
    <hyperlink r:id="rId1923" ref="E1895"/>
    <hyperlink r:id="rId1924" ref="E1896"/>
    <hyperlink r:id="rId1925" ref="E1897"/>
    <hyperlink r:id="rId1926" ref="E1898"/>
    <hyperlink r:id="rId1927" ref="E1899"/>
    <hyperlink r:id="rId1928" ref="E1900"/>
    <hyperlink r:id="rId1929" ref="E1901"/>
    <hyperlink r:id="rId1930" ref="E1902"/>
    <hyperlink r:id="rId1931" ref="E1903"/>
    <hyperlink r:id="rId1932" ref="E1904"/>
    <hyperlink r:id="rId1933" ref="E1905"/>
    <hyperlink r:id="rId1934" ref="E1906"/>
    <hyperlink r:id="rId1935" ref="E1907"/>
    <hyperlink r:id="rId1936" ref="C1908"/>
    <hyperlink r:id="rId1937" ref="E1908"/>
    <hyperlink r:id="rId1938" ref="E1909"/>
    <hyperlink r:id="rId1939" ref="E1910"/>
    <hyperlink r:id="rId1940" ref="E1911"/>
    <hyperlink r:id="rId1941" ref="E1912"/>
    <hyperlink r:id="rId1942" ref="E1913"/>
    <hyperlink r:id="rId1943" ref="E1914"/>
    <hyperlink r:id="rId1944" ref="E1915"/>
    <hyperlink r:id="rId1945" ref="E1916"/>
    <hyperlink r:id="rId1946" ref="E1917"/>
    <hyperlink r:id="rId1947" ref="E1918"/>
    <hyperlink r:id="rId1948" ref="E1919"/>
    <hyperlink r:id="rId1949" ref="E1920"/>
    <hyperlink r:id="rId1950" ref="E1921"/>
    <hyperlink r:id="rId1951" ref="E1922"/>
    <hyperlink r:id="rId1952" ref="E1923"/>
    <hyperlink r:id="rId1953" ref="E1924"/>
    <hyperlink r:id="rId1954" ref="E1925"/>
    <hyperlink r:id="rId1955" ref="E1926"/>
    <hyperlink r:id="rId1956" ref="E1927"/>
    <hyperlink r:id="rId1957" ref="E1928"/>
    <hyperlink r:id="rId1958" ref="E1929"/>
    <hyperlink r:id="rId1959" ref="E1930"/>
    <hyperlink r:id="rId1960" ref="E1931"/>
    <hyperlink r:id="rId1961" ref="E1932"/>
    <hyperlink r:id="rId1962" ref="E1933"/>
    <hyperlink r:id="rId1963" ref="E1934"/>
    <hyperlink r:id="rId1964" ref="E1935"/>
    <hyperlink r:id="rId1965" ref="E1936"/>
    <hyperlink r:id="rId1966" ref="E1937"/>
    <hyperlink r:id="rId1967" ref="E1938"/>
    <hyperlink r:id="rId1968" ref="E1939"/>
    <hyperlink r:id="rId1969" ref="E1940"/>
    <hyperlink r:id="rId1970" ref="E1941"/>
    <hyperlink r:id="rId1971" ref="E1942"/>
    <hyperlink r:id="rId1972" ref="E1943"/>
    <hyperlink r:id="rId1973" ref="E1944"/>
    <hyperlink r:id="rId1974" ref="E1945"/>
    <hyperlink r:id="rId1975" ref="E1946"/>
    <hyperlink r:id="rId1976" ref="E1947"/>
    <hyperlink r:id="rId1977" ref="E1948"/>
    <hyperlink r:id="rId1978" ref="E1949"/>
    <hyperlink r:id="rId1979" ref="E1950"/>
    <hyperlink r:id="rId1980" ref="E1951"/>
    <hyperlink r:id="rId1981" ref="C1952"/>
    <hyperlink r:id="rId1982" ref="E1952"/>
    <hyperlink r:id="rId1983" ref="E1953"/>
    <hyperlink r:id="rId1984" ref="E1954"/>
    <hyperlink r:id="rId1985" ref="E1955"/>
    <hyperlink r:id="rId1986" ref="E1956"/>
    <hyperlink r:id="rId1987" ref="E1957"/>
    <hyperlink r:id="rId1988" ref="E1958"/>
    <hyperlink r:id="rId1989" ref="E1959"/>
    <hyperlink r:id="rId1990" ref="E1960"/>
    <hyperlink r:id="rId1991" ref="E1961"/>
    <hyperlink r:id="rId1992" ref="E1962"/>
    <hyperlink r:id="rId1993" ref="C1963"/>
    <hyperlink r:id="rId1994" ref="E1963"/>
    <hyperlink r:id="rId1995" ref="E1964"/>
    <hyperlink r:id="rId1996" ref="E1965"/>
    <hyperlink r:id="rId1997" ref="E1966"/>
    <hyperlink r:id="rId1998" ref="E1967"/>
    <hyperlink r:id="rId1999" ref="E1968"/>
    <hyperlink r:id="rId2000" ref="E1969"/>
    <hyperlink r:id="rId2001" ref="E1970"/>
    <hyperlink r:id="rId2002" ref="E1971"/>
    <hyperlink r:id="rId2003" ref="E1972"/>
    <hyperlink r:id="rId2004" ref="E1973"/>
    <hyperlink r:id="rId2005" ref="E1974"/>
    <hyperlink r:id="rId2006" ref="E1975"/>
    <hyperlink r:id="rId2007" ref="E1976"/>
    <hyperlink r:id="rId2008" ref="E1977"/>
    <hyperlink r:id="rId2009" ref="E1978"/>
    <hyperlink r:id="rId2010" ref="E1979"/>
    <hyperlink r:id="rId2011" ref="E1980"/>
    <hyperlink r:id="rId2012" ref="E1981"/>
    <hyperlink r:id="rId2013" ref="E1982"/>
    <hyperlink r:id="rId2014" ref="E1983"/>
    <hyperlink r:id="rId2015" ref="E1984"/>
    <hyperlink r:id="rId2016" ref="E1985"/>
    <hyperlink r:id="rId2017" ref="E1986"/>
    <hyperlink r:id="rId2018" ref="E1987"/>
    <hyperlink r:id="rId2019" ref="E1988"/>
    <hyperlink r:id="rId2020" ref="E1989"/>
    <hyperlink r:id="rId2021" ref="E1990"/>
    <hyperlink r:id="rId2022" ref="E1991"/>
    <hyperlink r:id="rId2023" ref="E1992"/>
    <hyperlink r:id="rId2024" ref="E1993"/>
    <hyperlink r:id="rId2025" ref="E1994"/>
    <hyperlink r:id="rId2026" ref="E1995"/>
    <hyperlink r:id="rId2027" ref="E1996"/>
    <hyperlink r:id="rId2028" ref="E1997"/>
    <hyperlink r:id="rId2029" ref="E1998"/>
    <hyperlink r:id="rId2030" ref="E1999"/>
    <hyperlink r:id="rId2031" ref="E2000"/>
    <hyperlink r:id="rId2032" ref="C2001"/>
    <hyperlink r:id="rId2033" ref="E2001"/>
    <hyperlink r:id="rId2034" ref="E2002"/>
    <hyperlink r:id="rId2035" ref="E2003"/>
    <hyperlink r:id="rId2036" ref="E2004"/>
    <hyperlink r:id="rId2037" ref="E2005"/>
    <hyperlink r:id="rId2038" ref="E2006"/>
    <hyperlink r:id="rId2039" ref="E2007"/>
    <hyperlink r:id="rId2040" ref="E2008"/>
    <hyperlink r:id="rId2041" ref="E2009"/>
    <hyperlink r:id="rId2042" ref="E2010"/>
    <hyperlink r:id="rId2043" ref="E2011"/>
    <hyperlink r:id="rId2044" ref="E2012"/>
    <hyperlink r:id="rId2045" ref="E2013"/>
    <hyperlink r:id="rId2046" ref="E2014"/>
    <hyperlink r:id="rId2047" ref="E2015"/>
    <hyperlink r:id="rId2048" ref="E2016"/>
    <hyperlink r:id="rId2049" ref="E2017"/>
    <hyperlink r:id="rId2050" ref="E2018"/>
    <hyperlink r:id="rId2051" ref="E2019"/>
    <hyperlink r:id="rId2052" ref="E2020"/>
    <hyperlink r:id="rId2053" ref="E2021"/>
    <hyperlink r:id="rId2054" ref="E2022"/>
    <hyperlink r:id="rId2055" ref="E2023"/>
    <hyperlink r:id="rId2056" ref="E2024"/>
    <hyperlink r:id="rId2057" ref="E2025"/>
    <hyperlink r:id="rId2058" ref="E2026"/>
    <hyperlink r:id="rId2059" ref="E2027"/>
    <hyperlink r:id="rId2060" ref="E2028"/>
    <hyperlink r:id="rId2061" ref="E2029"/>
    <hyperlink r:id="rId2062" ref="E2030"/>
    <hyperlink r:id="rId2063" ref="E2031"/>
    <hyperlink r:id="rId2064" ref="E2032"/>
    <hyperlink r:id="rId2065" ref="E2033"/>
    <hyperlink r:id="rId2066" ref="E2034"/>
    <hyperlink r:id="rId2067" ref="E2035"/>
    <hyperlink r:id="rId2068" ref="E2036"/>
    <hyperlink r:id="rId2069" ref="E2037"/>
    <hyperlink r:id="rId2070" ref="E2038"/>
    <hyperlink r:id="rId2071" ref="E2039"/>
    <hyperlink r:id="rId2072" ref="E2040"/>
    <hyperlink r:id="rId2073" ref="E2041"/>
    <hyperlink r:id="rId2074" ref="E2042"/>
    <hyperlink r:id="rId2075" ref="E2043"/>
    <hyperlink r:id="rId2076" ref="E2044"/>
    <hyperlink r:id="rId2077" ref="E2045"/>
    <hyperlink r:id="rId2078" ref="E2046"/>
    <hyperlink r:id="rId2079" ref="E2047"/>
    <hyperlink r:id="rId2080" ref="E2048"/>
    <hyperlink r:id="rId2081" ref="E2049"/>
    <hyperlink r:id="rId2082" ref="E2050"/>
    <hyperlink r:id="rId2083" ref="E2051"/>
    <hyperlink r:id="rId2084" ref="E2052"/>
    <hyperlink r:id="rId2085" ref="E2053"/>
    <hyperlink r:id="rId2086" ref="E2054"/>
    <hyperlink r:id="rId2087" ref="E2055"/>
    <hyperlink r:id="rId2088" ref="E2056"/>
    <hyperlink r:id="rId2089" ref="E2057"/>
    <hyperlink r:id="rId2090" ref="E2058"/>
    <hyperlink r:id="rId2091" ref="E2059"/>
    <hyperlink r:id="rId2092" ref="E2060"/>
    <hyperlink r:id="rId2093" ref="E2061"/>
    <hyperlink r:id="rId2094" ref="E2062"/>
    <hyperlink r:id="rId2095" ref="E2063"/>
    <hyperlink r:id="rId2096" ref="E2064"/>
    <hyperlink r:id="rId2097" ref="E2065"/>
    <hyperlink r:id="rId2098" ref="E2066"/>
    <hyperlink r:id="rId2099" ref="E2067"/>
    <hyperlink r:id="rId2100" ref="E2068"/>
    <hyperlink r:id="rId2101" ref="E2069"/>
    <hyperlink r:id="rId2102" ref="E2070"/>
    <hyperlink r:id="rId2103" ref="E2071"/>
    <hyperlink r:id="rId2104" ref="E2072"/>
    <hyperlink r:id="rId2105" ref="E2073"/>
    <hyperlink r:id="rId2106" ref="E2074"/>
    <hyperlink r:id="rId2107" ref="E2075"/>
    <hyperlink r:id="rId2108" ref="E2076"/>
    <hyperlink r:id="rId2109" ref="E2077"/>
    <hyperlink r:id="rId2110" ref="E2078"/>
    <hyperlink r:id="rId2111" ref="E2079"/>
    <hyperlink r:id="rId2112" ref="E2080"/>
    <hyperlink r:id="rId2113" ref="E2081"/>
    <hyperlink r:id="rId2114" ref="C2082"/>
    <hyperlink r:id="rId2115" ref="E2082"/>
    <hyperlink r:id="rId2116" ref="E2083"/>
    <hyperlink r:id="rId2117" ref="E2084"/>
    <hyperlink r:id="rId2118" ref="E2085"/>
    <hyperlink r:id="rId2119" ref="E2086"/>
    <hyperlink r:id="rId2120" ref="E2087"/>
    <hyperlink r:id="rId2121" ref="E2088"/>
    <hyperlink r:id="rId2122" ref="E2089"/>
    <hyperlink r:id="rId2123" ref="E2090"/>
    <hyperlink r:id="rId2124" ref="E2091"/>
    <hyperlink r:id="rId2125" ref="E2092"/>
    <hyperlink r:id="rId2126" ref="E2093"/>
    <hyperlink r:id="rId2127" ref="E2094"/>
    <hyperlink r:id="rId2128" ref="E2095"/>
    <hyperlink r:id="rId2129" ref="E2096"/>
    <hyperlink r:id="rId2130" ref="E2097"/>
    <hyperlink r:id="rId2131" ref="E2098"/>
    <hyperlink r:id="rId2132" ref="E2099"/>
    <hyperlink r:id="rId2133" ref="E2100"/>
    <hyperlink r:id="rId2134" ref="E2101"/>
    <hyperlink r:id="rId2135" ref="E2102"/>
    <hyperlink r:id="rId2136" ref="E2103"/>
    <hyperlink r:id="rId2137" ref="E2104"/>
    <hyperlink r:id="rId2138" ref="E2105"/>
    <hyperlink r:id="rId2139" ref="E2106"/>
    <hyperlink r:id="rId2140" ref="E2107"/>
    <hyperlink r:id="rId2141" ref="E2108"/>
    <hyperlink r:id="rId2142" ref="E2109"/>
    <hyperlink r:id="rId2143" ref="E2110"/>
    <hyperlink r:id="rId2144" ref="E2111"/>
    <hyperlink r:id="rId2145" ref="E2112"/>
    <hyperlink r:id="rId2146" ref="E2113"/>
    <hyperlink r:id="rId2147" ref="E2114"/>
    <hyperlink r:id="rId2148" ref="E2115"/>
    <hyperlink r:id="rId2149" ref="E2116"/>
    <hyperlink r:id="rId2150" ref="E2117"/>
    <hyperlink r:id="rId2151" ref="E2118"/>
    <hyperlink r:id="rId2152" ref="E2119"/>
    <hyperlink r:id="rId2153" ref="E2120"/>
    <hyperlink r:id="rId2154" ref="E2121"/>
    <hyperlink r:id="rId2155" ref="E2122"/>
    <hyperlink r:id="rId2156" ref="E2123"/>
    <hyperlink r:id="rId2157" ref="E2124"/>
    <hyperlink r:id="rId2158" ref="E2125"/>
    <hyperlink r:id="rId2159" ref="E2126"/>
    <hyperlink r:id="rId2160" ref="E2127"/>
    <hyperlink r:id="rId2161" ref="E2128"/>
    <hyperlink r:id="rId2162" ref="C2129"/>
    <hyperlink r:id="rId2163" ref="E2129"/>
    <hyperlink r:id="rId2164" ref="E2130"/>
    <hyperlink r:id="rId2165" ref="E2131"/>
    <hyperlink r:id="rId2166" ref="E2132"/>
    <hyperlink r:id="rId2167" ref="E2133"/>
    <hyperlink r:id="rId2168" ref="E2134"/>
    <hyperlink r:id="rId2169" ref="E2135"/>
    <hyperlink r:id="rId2170" ref="E2136"/>
    <hyperlink r:id="rId2171" ref="E2137"/>
    <hyperlink r:id="rId2172" ref="E2138"/>
    <hyperlink r:id="rId2173" ref="E2139"/>
    <hyperlink r:id="rId2174" ref="C2140"/>
    <hyperlink r:id="rId2175" ref="E2140"/>
    <hyperlink r:id="rId2176" ref="E2141"/>
    <hyperlink r:id="rId2177" ref="E2142"/>
    <hyperlink r:id="rId2178" ref="E2143"/>
    <hyperlink r:id="rId2179" ref="E2144"/>
    <hyperlink r:id="rId2180" ref="E2145"/>
    <hyperlink r:id="rId2181" ref="E2146"/>
    <hyperlink r:id="rId2182" ref="E2147"/>
    <hyperlink r:id="rId2183" ref="C2148"/>
    <hyperlink r:id="rId2184" ref="E2148"/>
    <hyperlink r:id="rId2185" ref="E2149"/>
    <hyperlink r:id="rId2186" ref="E2150"/>
    <hyperlink r:id="rId2187" ref="E2151"/>
    <hyperlink r:id="rId2188" ref="E2152"/>
    <hyperlink r:id="rId2189" ref="E2153"/>
    <hyperlink r:id="rId2190" ref="E2154"/>
    <hyperlink r:id="rId2191" ref="E2155"/>
    <hyperlink r:id="rId2192" ref="E2156"/>
    <hyperlink r:id="rId2193" ref="E2157"/>
    <hyperlink r:id="rId2194" ref="E2158"/>
    <hyperlink r:id="rId2195" ref="E2159"/>
    <hyperlink r:id="rId2196" ref="E2160"/>
    <hyperlink r:id="rId2197" ref="E2161"/>
    <hyperlink r:id="rId2198" ref="E2162"/>
    <hyperlink r:id="rId2199" ref="E2163"/>
    <hyperlink r:id="rId2200" ref="E2164"/>
    <hyperlink r:id="rId2201" ref="E2165"/>
    <hyperlink r:id="rId2202" ref="E2166"/>
    <hyperlink r:id="rId2203" ref="E2167"/>
    <hyperlink r:id="rId2204" ref="E2168"/>
    <hyperlink r:id="rId2205" ref="E2169"/>
    <hyperlink r:id="rId2206" ref="E2170"/>
    <hyperlink r:id="rId2207" ref="E2171"/>
    <hyperlink r:id="rId2208" ref="E2172"/>
    <hyperlink r:id="rId2209" ref="E2173"/>
    <hyperlink r:id="rId2210" ref="E2174"/>
    <hyperlink r:id="rId2211" ref="C2175"/>
    <hyperlink r:id="rId2212" ref="E2175"/>
    <hyperlink r:id="rId2213" ref="E2176"/>
    <hyperlink r:id="rId2214" ref="E2177"/>
    <hyperlink r:id="rId2215" ref="E2178"/>
    <hyperlink r:id="rId2216" ref="E2179"/>
    <hyperlink r:id="rId2217" ref="E2180"/>
    <hyperlink r:id="rId2218" ref="E2181"/>
    <hyperlink r:id="rId2219" ref="E2182"/>
    <hyperlink r:id="rId2220" ref="E2183"/>
    <hyperlink r:id="rId2221" ref="E2184"/>
    <hyperlink r:id="rId2222" ref="E2185"/>
    <hyperlink r:id="rId2223" ref="E2186"/>
    <hyperlink r:id="rId2224" ref="E2187"/>
    <hyperlink r:id="rId2225" ref="E2188"/>
    <hyperlink r:id="rId2226" ref="E2189"/>
    <hyperlink r:id="rId2227" ref="E2190"/>
    <hyperlink r:id="rId2228" ref="E2191"/>
    <hyperlink r:id="rId2229" ref="E2192"/>
    <hyperlink r:id="rId2230" ref="E2193"/>
    <hyperlink r:id="rId2231" ref="E2194"/>
    <hyperlink r:id="rId2232" ref="E2195"/>
    <hyperlink r:id="rId2233" ref="E2196"/>
    <hyperlink r:id="rId2234" ref="E2197"/>
    <hyperlink r:id="rId2235" ref="E2198"/>
    <hyperlink r:id="rId2236" ref="E2199"/>
    <hyperlink r:id="rId2237" ref="E2200"/>
    <hyperlink r:id="rId2238" ref="E2201"/>
    <hyperlink r:id="rId2239" ref="E2202"/>
    <hyperlink r:id="rId2240" ref="E2203"/>
    <hyperlink r:id="rId2241" ref="E2204"/>
    <hyperlink r:id="rId2242" ref="E2205"/>
    <hyperlink r:id="rId2243" ref="E2206"/>
    <hyperlink r:id="rId2244" ref="E2207"/>
    <hyperlink r:id="rId2245" ref="E2208"/>
    <hyperlink r:id="rId2246" ref="E2209"/>
    <hyperlink r:id="rId2247" ref="E2210"/>
    <hyperlink r:id="rId2248" ref="E2211"/>
    <hyperlink r:id="rId2249" ref="E2212"/>
    <hyperlink r:id="rId2250" ref="E2213"/>
    <hyperlink r:id="rId2251" ref="E2214"/>
    <hyperlink r:id="rId2252" ref="E2215"/>
    <hyperlink r:id="rId2253" ref="E2216"/>
    <hyperlink r:id="rId2254" ref="E2217"/>
    <hyperlink r:id="rId2255" ref="E2218"/>
    <hyperlink r:id="rId2256" ref="E2219"/>
    <hyperlink r:id="rId2257" ref="E2220"/>
    <hyperlink r:id="rId2258" ref="E2221"/>
    <hyperlink r:id="rId2259" ref="E2222"/>
    <hyperlink r:id="rId2260" ref="E2223"/>
    <hyperlink r:id="rId2261" ref="E2224"/>
    <hyperlink r:id="rId2262" ref="E2225"/>
    <hyperlink r:id="rId2263" ref="E2226"/>
    <hyperlink r:id="rId2264" ref="E2227"/>
    <hyperlink r:id="rId2265" ref="E2228"/>
    <hyperlink r:id="rId2266" ref="E2229"/>
    <hyperlink r:id="rId2267" ref="E2230"/>
    <hyperlink r:id="rId2268" ref="E2231"/>
    <hyperlink r:id="rId2269" ref="E2232"/>
    <hyperlink r:id="rId2270" ref="E2233"/>
    <hyperlink r:id="rId2271" ref="E2234"/>
    <hyperlink r:id="rId2272" ref="E2235"/>
    <hyperlink r:id="rId2273" ref="E2236"/>
    <hyperlink r:id="rId2274" ref="E2237"/>
    <hyperlink r:id="rId2275" ref="E2238"/>
    <hyperlink r:id="rId2276" ref="E2239"/>
    <hyperlink r:id="rId2277" ref="E2240"/>
    <hyperlink r:id="rId2278" ref="E2241"/>
    <hyperlink r:id="rId2279" ref="E2242"/>
    <hyperlink r:id="rId2280" ref="E2243"/>
    <hyperlink r:id="rId2281" ref="E2244"/>
    <hyperlink r:id="rId2282" ref="E2245"/>
    <hyperlink r:id="rId2283" ref="E2246"/>
    <hyperlink r:id="rId2284" ref="E2247"/>
    <hyperlink r:id="rId2285" ref="E2248"/>
    <hyperlink r:id="rId2286" ref="E2249"/>
    <hyperlink r:id="rId2287" ref="E2250"/>
    <hyperlink r:id="rId2288" ref="E2251"/>
    <hyperlink r:id="rId2289" ref="E2252"/>
    <hyperlink r:id="rId2290" ref="E2253"/>
    <hyperlink r:id="rId2291" ref="E2254"/>
    <hyperlink r:id="rId2292" ref="E2255"/>
    <hyperlink r:id="rId2293" ref="E2256"/>
    <hyperlink r:id="rId2294" ref="E2257"/>
    <hyperlink r:id="rId2295" ref="E2258"/>
    <hyperlink r:id="rId2296" ref="E2259"/>
    <hyperlink r:id="rId2297" ref="E2260"/>
    <hyperlink r:id="rId2298" ref="C2261"/>
    <hyperlink r:id="rId2299" ref="E2261"/>
    <hyperlink r:id="rId2300" ref="E2262"/>
    <hyperlink r:id="rId2301" ref="E2263"/>
    <hyperlink r:id="rId2302" ref="E2264"/>
    <hyperlink r:id="rId2303" ref="E2265"/>
    <hyperlink r:id="rId2304" ref="E2266"/>
    <hyperlink r:id="rId2305" ref="E2267"/>
    <hyperlink r:id="rId2306" ref="E2268"/>
    <hyperlink r:id="rId2307" ref="E2269"/>
    <hyperlink r:id="rId2308" ref="E2270"/>
    <hyperlink r:id="rId2309" ref="E2271"/>
    <hyperlink r:id="rId2310" ref="E2272"/>
    <hyperlink r:id="rId2311" ref="E2273"/>
    <hyperlink r:id="rId2312" ref="E2274"/>
    <hyperlink r:id="rId2313" ref="E2275"/>
    <hyperlink r:id="rId2314" ref="E2276"/>
    <hyperlink r:id="rId2315" ref="E2277"/>
    <hyperlink r:id="rId2316" ref="E2278"/>
    <hyperlink r:id="rId2317" ref="E2279"/>
    <hyperlink r:id="rId2318" ref="E2280"/>
    <hyperlink r:id="rId2319" ref="E2281"/>
    <hyperlink r:id="rId2320" ref="E2282"/>
    <hyperlink r:id="rId2321" ref="E2283"/>
    <hyperlink r:id="rId2322" ref="E2284"/>
    <hyperlink r:id="rId2323" ref="E2285"/>
    <hyperlink r:id="rId2324" ref="E2286"/>
    <hyperlink r:id="rId2325" ref="E2287"/>
    <hyperlink r:id="rId2326" ref="E2288"/>
    <hyperlink r:id="rId2327" ref="E2289"/>
    <hyperlink r:id="rId2328" ref="E2290"/>
    <hyperlink r:id="rId2329" ref="E2291"/>
    <hyperlink r:id="rId2330" ref="E2292"/>
    <hyperlink r:id="rId2331" ref="E2293"/>
    <hyperlink r:id="rId2332" ref="E2294"/>
    <hyperlink r:id="rId2333" ref="E2295"/>
    <hyperlink r:id="rId2334" ref="E2296"/>
    <hyperlink r:id="rId2335" ref="E2297"/>
    <hyperlink r:id="rId2336" ref="E2298"/>
    <hyperlink r:id="rId2337" ref="E2299"/>
    <hyperlink r:id="rId2338" ref="E2300"/>
    <hyperlink r:id="rId2339" ref="C2301"/>
    <hyperlink r:id="rId2340" ref="E2301"/>
    <hyperlink r:id="rId2341" ref="E2302"/>
    <hyperlink r:id="rId2342" ref="E2303"/>
    <hyperlink r:id="rId2343" ref="E2304"/>
    <hyperlink r:id="rId2344" ref="E2305"/>
    <hyperlink r:id="rId2345" ref="E2306"/>
    <hyperlink r:id="rId2346" ref="E2307"/>
    <hyperlink r:id="rId2347" ref="E2308"/>
    <hyperlink r:id="rId2348" ref="E2309"/>
    <hyperlink r:id="rId2349" ref="E2310"/>
    <hyperlink r:id="rId2350" ref="E2311"/>
    <hyperlink r:id="rId2351" ref="E2312"/>
    <hyperlink r:id="rId2352" ref="E2313"/>
    <hyperlink r:id="rId2353" ref="E2314"/>
    <hyperlink r:id="rId2354" ref="E2315"/>
    <hyperlink r:id="rId2355" ref="E2316"/>
    <hyperlink r:id="rId2356" ref="E2317"/>
    <hyperlink r:id="rId2357" ref="E2318"/>
    <hyperlink r:id="rId2358" ref="E2319"/>
    <hyperlink r:id="rId2359" ref="E2320"/>
    <hyperlink r:id="rId2360" ref="E2321"/>
    <hyperlink r:id="rId2361" ref="E2322"/>
    <hyperlink r:id="rId2362" ref="E2323"/>
    <hyperlink r:id="rId2363" ref="E2324"/>
    <hyperlink r:id="rId2364" ref="E2325"/>
    <hyperlink r:id="rId2365" ref="E2326"/>
    <hyperlink r:id="rId2366" ref="E2327"/>
    <hyperlink r:id="rId2367" ref="E2328"/>
    <hyperlink r:id="rId2368" ref="E2329"/>
    <hyperlink r:id="rId2369" ref="E2330"/>
    <hyperlink r:id="rId2370" ref="E2331"/>
    <hyperlink r:id="rId2371" ref="E2332"/>
    <hyperlink r:id="rId2372" ref="E2333"/>
    <hyperlink r:id="rId2373" ref="E2334"/>
    <hyperlink r:id="rId2374" ref="E2335"/>
    <hyperlink r:id="rId2375" ref="E2336"/>
    <hyperlink r:id="rId2376" ref="E2337"/>
    <hyperlink r:id="rId2377" ref="E2338"/>
    <hyperlink r:id="rId2378" ref="E2339"/>
    <hyperlink r:id="rId2379" ref="E2340"/>
    <hyperlink r:id="rId2380" ref="E2341"/>
    <hyperlink r:id="rId2381" ref="E2342"/>
    <hyperlink r:id="rId2382" ref="E2343"/>
    <hyperlink r:id="rId2383" ref="E2344"/>
    <hyperlink r:id="rId2384" ref="E2345"/>
    <hyperlink r:id="rId2385" ref="E2346"/>
    <hyperlink r:id="rId2386" ref="E2347"/>
    <hyperlink r:id="rId2387" ref="E2348"/>
    <hyperlink r:id="rId2388" ref="E2349"/>
    <hyperlink r:id="rId2389" ref="E2350"/>
    <hyperlink r:id="rId2390" ref="E2351"/>
    <hyperlink r:id="rId2391" ref="E2352"/>
    <hyperlink r:id="rId2392" ref="E2353"/>
    <hyperlink r:id="rId2393" ref="E2354"/>
    <hyperlink r:id="rId2394" ref="E2355"/>
    <hyperlink r:id="rId2395" ref="E2356"/>
    <hyperlink r:id="rId2396" ref="E2357"/>
    <hyperlink r:id="rId2397" ref="E2358"/>
    <hyperlink r:id="rId2398" ref="E2359"/>
    <hyperlink r:id="rId2399" ref="E2360"/>
    <hyperlink r:id="rId2400" ref="E2361"/>
    <hyperlink r:id="rId2401" ref="E2362"/>
    <hyperlink r:id="rId2402" ref="E2363"/>
    <hyperlink r:id="rId2403" ref="E2364"/>
    <hyperlink r:id="rId2404" ref="E2365"/>
    <hyperlink r:id="rId2405" ref="E2366"/>
    <hyperlink r:id="rId2406" ref="E2367"/>
    <hyperlink r:id="rId2407" ref="E2368"/>
    <hyperlink r:id="rId2408" ref="E2369"/>
    <hyperlink r:id="rId2409" ref="E2370"/>
    <hyperlink r:id="rId2410" ref="E2371"/>
    <hyperlink r:id="rId2411" ref="E2372"/>
    <hyperlink r:id="rId2412" ref="E2373"/>
    <hyperlink r:id="rId2413" ref="E2374"/>
    <hyperlink r:id="rId2414" ref="E2375"/>
    <hyperlink r:id="rId2415" ref="E2376"/>
    <hyperlink r:id="rId2416" ref="E2377"/>
    <hyperlink r:id="rId2417" ref="E2378"/>
    <hyperlink r:id="rId2418" ref="E2379"/>
    <hyperlink r:id="rId2419" ref="E2380"/>
    <hyperlink r:id="rId2420" ref="E2381"/>
    <hyperlink r:id="rId2421" ref="E2382"/>
    <hyperlink r:id="rId2422" ref="E2383"/>
    <hyperlink r:id="rId2423" ref="E2384"/>
    <hyperlink r:id="rId2424" ref="E2385"/>
    <hyperlink r:id="rId2425" ref="E2386"/>
    <hyperlink r:id="rId2426" ref="E2387"/>
    <hyperlink r:id="rId2427" ref="E2388"/>
    <hyperlink r:id="rId2428" ref="E2389"/>
    <hyperlink r:id="rId2429" ref="E2390"/>
    <hyperlink r:id="rId2430" ref="E2391"/>
    <hyperlink r:id="rId2431" ref="E2392"/>
    <hyperlink r:id="rId2432" ref="C2393"/>
    <hyperlink r:id="rId2433" ref="E2393"/>
    <hyperlink r:id="rId2434" ref="E2394"/>
    <hyperlink r:id="rId2435" ref="E2395"/>
    <hyperlink r:id="rId2436" ref="E2396"/>
    <hyperlink r:id="rId2437" ref="E2397"/>
    <hyperlink r:id="rId2438" ref="E2398"/>
    <hyperlink r:id="rId2439" ref="E2399"/>
    <hyperlink r:id="rId2440" ref="E2400"/>
    <hyperlink r:id="rId2441" ref="E2401"/>
    <hyperlink r:id="rId2442" ref="E2402"/>
    <hyperlink r:id="rId2443" ref="E2403"/>
    <hyperlink r:id="rId2444" ref="E2404"/>
    <hyperlink r:id="rId2445" ref="E2405"/>
    <hyperlink r:id="rId2446" ref="E2406"/>
    <hyperlink r:id="rId2447" ref="E2407"/>
    <hyperlink r:id="rId2448" ref="E2408"/>
    <hyperlink r:id="rId2449" ref="E2409"/>
    <hyperlink r:id="rId2450" ref="E2410"/>
    <hyperlink r:id="rId2451" ref="E2411"/>
    <hyperlink r:id="rId2452" ref="E2412"/>
    <hyperlink r:id="rId2453" ref="E2413"/>
    <hyperlink r:id="rId2454" ref="E2414"/>
    <hyperlink r:id="rId2455" ref="E2415"/>
    <hyperlink r:id="rId2456" ref="E2416"/>
    <hyperlink r:id="rId2457" ref="E2417"/>
    <hyperlink r:id="rId2458" ref="E2418"/>
    <hyperlink r:id="rId2459" ref="E2419"/>
    <hyperlink r:id="rId2460" ref="E2420"/>
    <hyperlink r:id="rId2461" ref="E2421"/>
    <hyperlink r:id="rId2462" ref="C2422"/>
    <hyperlink r:id="rId2463" ref="E2422"/>
    <hyperlink r:id="rId2464" ref="E2423"/>
    <hyperlink r:id="rId2465" ref="E2424"/>
    <hyperlink r:id="rId2466" ref="E2425"/>
    <hyperlink r:id="rId2467" ref="E2426"/>
    <hyperlink r:id="rId2468" ref="E2427"/>
    <hyperlink r:id="rId2469" ref="E2428"/>
    <hyperlink r:id="rId2470" ref="E2429"/>
    <hyperlink r:id="rId2471" ref="E2430"/>
    <hyperlink r:id="rId2472" ref="E2431"/>
    <hyperlink r:id="rId2473" ref="E2432"/>
    <hyperlink r:id="rId2474" ref="E2433"/>
    <hyperlink r:id="rId2475" ref="E2434"/>
    <hyperlink r:id="rId2476" ref="E2435"/>
    <hyperlink r:id="rId2477" ref="E2436"/>
    <hyperlink r:id="rId2478" ref="E2437"/>
    <hyperlink r:id="rId2479" ref="E2438"/>
    <hyperlink r:id="rId2480" ref="E2439"/>
    <hyperlink r:id="rId2481" ref="E2440"/>
    <hyperlink r:id="rId2482" ref="E2441"/>
    <hyperlink r:id="rId2483" ref="E2442"/>
    <hyperlink r:id="rId2484" ref="E2443"/>
    <hyperlink r:id="rId2485" ref="E2444"/>
    <hyperlink r:id="rId2486" ref="E2445"/>
    <hyperlink r:id="rId2487" ref="E2446"/>
    <hyperlink r:id="rId2488" ref="E2447"/>
    <hyperlink r:id="rId2489" ref="E2448"/>
    <hyperlink r:id="rId2490" ref="E2449"/>
    <hyperlink r:id="rId2491" ref="E2450"/>
    <hyperlink r:id="rId2492" ref="E2451"/>
    <hyperlink r:id="rId2493" ref="E2452"/>
    <hyperlink r:id="rId2494" ref="E2453"/>
    <hyperlink r:id="rId2495" ref="E2454"/>
    <hyperlink r:id="rId2496" ref="E2455"/>
    <hyperlink r:id="rId2497" ref="E2456"/>
    <hyperlink r:id="rId2498" ref="E2457"/>
    <hyperlink r:id="rId2499" ref="E2458"/>
    <hyperlink r:id="rId2500" ref="E2459"/>
    <hyperlink r:id="rId2501" ref="E2460"/>
    <hyperlink r:id="rId2502" ref="E2461"/>
    <hyperlink r:id="rId2503" ref="E2462"/>
    <hyperlink r:id="rId2504" ref="E2463"/>
    <hyperlink r:id="rId2505" ref="E2464"/>
    <hyperlink r:id="rId2506" ref="E2465"/>
    <hyperlink r:id="rId2507" ref="E2466"/>
    <hyperlink r:id="rId2508" ref="E2467"/>
    <hyperlink r:id="rId2509" ref="E2468"/>
    <hyperlink r:id="rId2510" ref="E2469"/>
    <hyperlink r:id="rId2511" ref="E2470"/>
    <hyperlink r:id="rId2512" ref="E2471"/>
    <hyperlink r:id="rId2513" ref="E2472"/>
    <hyperlink r:id="rId2514" ref="E2473"/>
    <hyperlink r:id="rId2515" ref="E2474"/>
    <hyperlink r:id="rId2516" ref="E2475"/>
    <hyperlink r:id="rId2517" ref="E2476"/>
    <hyperlink r:id="rId2518" ref="E2477"/>
    <hyperlink r:id="rId2519" ref="E2478"/>
    <hyperlink r:id="rId2520" ref="E2479"/>
    <hyperlink r:id="rId2521" ref="E2480"/>
    <hyperlink r:id="rId2522" ref="E2481"/>
    <hyperlink r:id="rId2523" ref="E2482"/>
    <hyperlink r:id="rId2524" ref="E2483"/>
    <hyperlink r:id="rId2525" ref="E2484"/>
    <hyperlink r:id="rId2526" ref="E2485"/>
    <hyperlink r:id="rId2527" ref="E2486"/>
    <hyperlink r:id="rId2528" ref="E2487"/>
    <hyperlink r:id="rId2529" ref="E2488"/>
    <hyperlink r:id="rId2530" ref="E2489"/>
    <hyperlink r:id="rId2531" ref="E2490"/>
    <hyperlink r:id="rId2532" ref="C2491"/>
    <hyperlink r:id="rId2533" ref="E2491"/>
    <hyperlink r:id="rId2534" ref="E2492"/>
    <hyperlink r:id="rId2535" ref="E2493"/>
    <hyperlink r:id="rId2536" ref="E2494"/>
    <hyperlink r:id="rId2537" ref="E2495"/>
    <hyperlink r:id="rId2538" ref="E2496"/>
    <hyperlink r:id="rId2539" ref="E2497"/>
    <hyperlink r:id="rId2540" ref="E2498"/>
    <hyperlink r:id="rId2541" ref="E2499"/>
    <hyperlink r:id="rId2542" ref="C2500"/>
    <hyperlink r:id="rId2543" ref="E2500"/>
    <hyperlink r:id="rId2544" ref="E2501"/>
    <hyperlink r:id="rId2545" ref="E2502"/>
    <hyperlink r:id="rId2546" ref="E2503"/>
    <hyperlink r:id="rId2547" ref="E2504"/>
    <hyperlink r:id="rId2548" ref="E2505"/>
    <hyperlink r:id="rId2549" ref="E2506"/>
    <hyperlink r:id="rId2550" ref="E2507"/>
    <hyperlink r:id="rId2551" ref="E2508"/>
    <hyperlink r:id="rId2552" ref="E2509"/>
    <hyperlink r:id="rId2553" ref="E2510"/>
    <hyperlink r:id="rId2554" ref="E2511"/>
    <hyperlink r:id="rId2555" ref="E2512"/>
    <hyperlink r:id="rId2556" ref="E2513"/>
    <hyperlink r:id="rId2557" ref="E2514"/>
    <hyperlink r:id="rId2558" ref="E2515"/>
    <hyperlink r:id="rId2559" ref="E2516"/>
    <hyperlink r:id="rId2560" ref="E2517"/>
    <hyperlink r:id="rId2561" ref="E2518"/>
    <hyperlink r:id="rId2562" ref="E2519"/>
    <hyperlink r:id="rId2563" ref="E2520"/>
    <hyperlink r:id="rId2564" ref="E2521"/>
    <hyperlink r:id="rId2565" ref="E2522"/>
    <hyperlink r:id="rId2566" ref="E2523"/>
    <hyperlink r:id="rId2567" ref="E2524"/>
    <hyperlink r:id="rId2568" ref="E2525"/>
    <hyperlink r:id="rId2569" ref="E2526"/>
    <hyperlink r:id="rId2570" ref="E2527"/>
    <hyperlink r:id="rId2571" ref="E2528"/>
    <hyperlink r:id="rId2572" ref="E2529"/>
    <hyperlink r:id="rId2573" ref="E2530"/>
    <hyperlink r:id="rId2574" ref="E2531"/>
    <hyperlink r:id="rId2575" ref="E2532"/>
    <hyperlink r:id="rId2576" ref="E2533"/>
    <hyperlink r:id="rId2577" ref="E2534"/>
    <hyperlink r:id="rId2578" ref="E2535"/>
    <hyperlink r:id="rId2579" ref="E2536"/>
    <hyperlink r:id="rId2580" ref="E2537"/>
    <hyperlink r:id="rId2581" ref="E2538"/>
    <hyperlink r:id="rId2582" ref="E2539"/>
    <hyperlink r:id="rId2583" ref="E2540"/>
    <hyperlink r:id="rId2584" ref="E2541"/>
    <hyperlink r:id="rId2585" ref="E2542"/>
    <hyperlink r:id="rId2586" ref="E2543"/>
    <hyperlink r:id="rId2587" ref="E2544"/>
    <hyperlink r:id="rId2588" ref="E2545"/>
    <hyperlink r:id="rId2589" ref="E2546"/>
    <hyperlink r:id="rId2590" ref="E2547"/>
    <hyperlink r:id="rId2591" ref="E2548"/>
    <hyperlink r:id="rId2592" ref="E2549"/>
    <hyperlink r:id="rId2593" ref="E2550"/>
    <hyperlink r:id="rId2594" ref="E2551"/>
    <hyperlink r:id="rId2595" ref="E2552"/>
    <hyperlink r:id="rId2596" ref="E2553"/>
    <hyperlink r:id="rId2597" ref="E2554"/>
    <hyperlink r:id="rId2598" ref="E2555"/>
    <hyperlink r:id="rId2599" ref="E2556"/>
    <hyperlink r:id="rId2600" ref="E2557"/>
    <hyperlink r:id="rId2601" ref="E2558"/>
    <hyperlink r:id="rId2602" ref="E2559"/>
    <hyperlink r:id="rId2603" ref="E2560"/>
    <hyperlink r:id="rId2604" ref="E2561"/>
    <hyperlink r:id="rId2605" ref="E2562"/>
    <hyperlink r:id="rId2606" ref="E2563"/>
    <hyperlink r:id="rId2607" ref="E2564"/>
    <hyperlink r:id="rId2608" ref="E2565"/>
    <hyperlink r:id="rId2609" ref="E2566"/>
    <hyperlink r:id="rId2610" ref="E2567"/>
    <hyperlink r:id="rId2611" ref="E2568"/>
    <hyperlink r:id="rId2612" ref="E2569"/>
    <hyperlink r:id="rId2613" ref="E2570"/>
    <hyperlink r:id="rId2614" ref="E2571"/>
    <hyperlink r:id="rId2615" ref="C2572"/>
    <hyperlink r:id="rId2616" ref="E2572"/>
    <hyperlink r:id="rId2617" ref="E2573"/>
    <hyperlink r:id="rId2618" ref="E2574"/>
    <hyperlink r:id="rId2619" ref="E2575"/>
    <hyperlink r:id="rId2620" ref="E2576"/>
    <hyperlink r:id="rId2621" ref="E2577"/>
    <hyperlink r:id="rId2622" ref="E2578"/>
    <hyperlink r:id="rId2623" ref="E2579"/>
    <hyperlink r:id="rId2624" ref="E2580"/>
    <hyperlink r:id="rId2625" ref="E2581"/>
    <hyperlink r:id="rId2626" ref="E2582"/>
    <hyperlink r:id="rId2627" ref="E2583"/>
    <hyperlink r:id="rId2628" ref="C2584"/>
    <hyperlink r:id="rId2629" ref="E2584"/>
    <hyperlink r:id="rId2630" ref="E2585"/>
    <hyperlink r:id="rId2631" ref="E2586"/>
    <hyperlink r:id="rId2632" ref="E2587"/>
    <hyperlink r:id="rId2633" ref="E2588"/>
    <hyperlink r:id="rId2634" ref="E2589"/>
    <hyperlink r:id="rId2635" ref="E2590"/>
    <hyperlink r:id="rId2636" ref="E2591"/>
    <hyperlink r:id="rId2637" ref="C2592"/>
    <hyperlink r:id="rId2638" ref="E2592"/>
    <hyperlink r:id="rId2639" ref="E2593"/>
    <hyperlink r:id="rId2640" ref="E2594"/>
    <hyperlink r:id="rId2641" ref="E2595"/>
    <hyperlink r:id="rId2642" ref="E2596"/>
    <hyperlink r:id="rId2643" ref="E2597"/>
    <hyperlink r:id="rId2644" ref="E2598"/>
    <hyperlink r:id="rId2645" ref="E2599"/>
    <hyperlink r:id="rId2646" ref="E2600"/>
    <hyperlink r:id="rId2647" ref="E2601"/>
    <hyperlink r:id="rId2648" ref="E2602"/>
    <hyperlink r:id="rId2649" ref="E2603"/>
    <hyperlink r:id="rId2650" ref="E2604"/>
    <hyperlink r:id="rId2651" ref="E2605"/>
    <hyperlink r:id="rId2652" ref="E2606"/>
    <hyperlink r:id="rId2653" ref="E2607"/>
    <hyperlink r:id="rId2654" ref="E2608"/>
    <hyperlink r:id="rId2655" ref="E2609"/>
    <hyperlink r:id="rId2656" ref="E2610"/>
    <hyperlink r:id="rId2657" ref="E2611"/>
    <hyperlink r:id="rId2658" ref="E2612"/>
    <hyperlink r:id="rId2659" ref="E2613"/>
    <hyperlink r:id="rId2660" ref="E2614"/>
    <hyperlink r:id="rId2661" ref="E2615"/>
    <hyperlink r:id="rId2662" ref="E2616"/>
    <hyperlink r:id="rId2663" ref="E2617"/>
    <hyperlink r:id="rId2664" ref="E2618"/>
    <hyperlink r:id="rId2665" ref="E2619"/>
    <hyperlink r:id="rId2666" ref="E2620"/>
    <hyperlink r:id="rId2667" ref="E2621"/>
    <hyperlink r:id="rId2668" ref="E2622"/>
    <hyperlink r:id="rId2669" ref="E2623"/>
    <hyperlink r:id="rId2670" ref="E2624"/>
    <hyperlink r:id="rId2671" ref="E2625"/>
    <hyperlink r:id="rId2672" ref="E2626"/>
    <hyperlink r:id="rId2673" ref="E2627"/>
    <hyperlink r:id="rId2674" ref="E2628"/>
    <hyperlink r:id="rId2675" ref="E2629"/>
    <hyperlink r:id="rId2676" ref="E2630"/>
    <hyperlink r:id="rId2677" ref="E2631"/>
    <hyperlink r:id="rId2678" ref="E2632"/>
    <hyperlink r:id="rId2679" ref="E2633"/>
    <hyperlink r:id="rId2680" ref="C2634"/>
    <hyperlink r:id="rId2681" ref="E2634"/>
    <hyperlink r:id="rId2682" ref="E2635"/>
    <hyperlink r:id="rId2683" ref="E2636"/>
    <hyperlink r:id="rId2684" ref="E2637"/>
    <hyperlink r:id="rId2685" ref="E2638"/>
    <hyperlink r:id="rId2686" ref="E2639"/>
    <hyperlink r:id="rId2687" ref="C2640"/>
    <hyperlink r:id="rId2688" ref="E2640"/>
    <hyperlink r:id="rId2689" ref="E2641"/>
    <hyperlink r:id="rId2690" ref="E2642"/>
    <hyperlink r:id="rId2691" ref="E2643"/>
    <hyperlink r:id="rId2692" ref="E2644"/>
    <hyperlink r:id="rId2693" ref="E2645"/>
    <hyperlink r:id="rId2694" ref="E2646"/>
    <hyperlink r:id="rId2695" ref="E2647"/>
    <hyperlink r:id="rId2696" ref="E2648"/>
    <hyperlink r:id="rId2697" ref="E2649"/>
    <hyperlink r:id="rId2698" ref="E2650"/>
    <hyperlink r:id="rId2699" ref="E2651"/>
    <hyperlink r:id="rId2700" ref="E2652"/>
    <hyperlink r:id="rId2701" ref="E2653"/>
    <hyperlink r:id="rId2702" ref="E2654"/>
    <hyperlink r:id="rId2703" ref="E2655"/>
    <hyperlink r:id="rId2704" ref="E2656"/>
    <hyperlink r:id="rId2705" ref="E2657"/>
    <hyperlink r:id="rId2706" ref="E2658"/>
    <hyperlink r:id="rId2707" ref="E2659"/>
    <hyperlink r:id="rId2708" ref="E2660"/>
    <hyperlink r:id="rId2709" ref="E2661"/>
    <hyperlink r:id="rId2710" ref="E2662"/>
    <hyperlink r:id="rId2711" ref="E2663"/>
    <hyperlink r:id="rId2712" ref="E2664"/>
    <hyperlink r:id="rId2713" ref="E2665"/>
    <hyperlink r:id="rId2714" ref="E2666"/>
    <hyperlink r:id="rId2715" ref="E2667"/>
    <hyperlink r:id="rId2716" ref="E2668"/>
    <hyperlink r:id="rId2717" ref="E2669"/>
    <hyperlink r:id="rId2718" ref="E2670"/>
    <hyperlink r:id="rId2719" ref="E2671"/>
    <hyperlink r:id="rId2720" ref="E2672"/>
    <hyperlink r:id="rId2721" ref="E2673"/>
    <hyperlink r:id="rId2722" ref="E2674"/>
    <hyperlink r:id="rId2723" ref="E2675"/>
    <hyperlink r:id="rId2724" ref="E2676"/>
    <hyperlink r:id="rId2725" ref="E2677"/>
    <hyperlink r:id="rId2726" ref="E2678"/>
    <hyperlink r:id="rId2727" ref="E2679"/>
    <hyperlink r:id="rId2728" ref="E2680"/>
    <hyperlink r:id="rId2729" ref="E2681"/>
    <hyperlink r:id="rId2730" ref="E2682"/>
    <hyperlink r:id="rId2731" ref="E2683"/>
    <hyperlink r:id="rId2732" ref="E2684"/>
    <hyperlink r:id="rId2733" ref="E2685"/>
    <hyperlink r:id="rId2734" ref="E2686"/>
    <hyperlink r:id="rId2735" ref="E2687"/>
    <hyperlink r:id="rId2736" ref="E2688"/>
    <hyperlink r:id="rId2737" ref="E2689"/>
    <hyperlink r:id="rId2738" ref="E2690"/>
    <hyperlink r:id="rId2739" ref="E2691"/>
    <hyperlink r:id="rId2740" ref="E2692"/>
    <hyperlink r:id="rId2741" ref="E2693"/>
    <hyperlink r:id="rId2742" ref="E2694"/>
    <hyperlink r:id="rId2743" ref="E2695"/>
    <hyperlink r:id="rId2744" ref="E2696"/>
    <hyperlink r:id="rId2745" ref="E2697"/>
    <hyperlink r:id="rId2746" ref="E2698"/>
    <hyperlink r:id="rId2747" ref="E2699"/>
    <hyperlink r:id="rId2748" ref="E2700"/>
    <hyperlink r:id="rId2749" ref="E2701"/>
    <hyperlink r:id="rId2750" ref="E2702"/>
    <hyperlink r:id="rId2751" ref="E2703"/>
    <hyperlink r:id="rId2752" ref="E2704"/>
    <hyperlink r:id="rId2753" ref="E2705"/>
    <hyperlink r:id="rId2754" ref="E2706"/>
    <hyperlink r:id="rId2755" ref="E2707"/>
    <hyperlink r:id="rId2756" ref="C2708"/>
    <hyperlink r:id="rId2757" ref="E2708"/>
    <hyperlink r:id="rId2758" ref="E2709"/>
    <hyperlink r:id="rId2759" ref="E2710"/>
    <hyperlink r:id="rId2760" ref="E2711"/>
    <hyperlink r:id="rId2761" ref="E2712"/>
    <hyperlink r:id="rId2762" ref="E2713"/>
    <hyperlink r:id="rId2763" ref="E2714"/>
    <hyperlink r:id="rId2764" ref="E2715"/>
    <hyperlink r:id="rId2765" ref="E2716"/>
    <hyperlink r:id="rId2766" ref="E2717"/>
    <hyperlink r:id="rId2767" ref="E2718"/>
    <hyperlink r:id="rId2768" ref="E2719"/>
    <hyperlink r:id="rId2769" ref="E2720"/>
    <hyperlink r:id="rId2770" ref="E2721"/>
    <hyperlink r:id="rId2771" ref="E2722"/>
    <hyperlink r:id="rId2772" ref="E2723"/>
    <hyperlink r:id="rId2773" ref="E2724"/>
    <hyperlink r:id="rId2774" ref="E2725"/>
    <hyperlink r:id="rId2775" ref="E2726"/>
    <hyperlink r:id="rId2776" ref="E2727"/>
    <hyperlink r:id="rId2777" ref="E2728"/>
    <hyperlink r:id="rId2778" ref="E2729"/>
    <hyperlink r:id="rId2779" ref="E2730"/>
    <hyperlink r:id="rId2780" ref="E2731"/>
    <hyperlink r:id="rId2781" ref="E2732"/>
    <hyperlink r:id="rId2782" ref="E2733"/>
    <hyperlink r:id="rId2783" ref="E2734"/>
    <hyperlink r:id="rId2784" ref="E2735"/>
    <hyperlink r:id="rId2785" ref="E2736"/>
    <hyperlink r:id="rId2786" ref="E2737"/>
    <hyperlink r:id="rId2787" ref="E2738"/>
    <hyperlink r:id="rId2788" ref="E2739"/>
    <hyperlink r:id="rId2789" ref="E2740"/>
    <hyperlink r:id="rId2790" ref="E2741"/>
    <hyperlink r:id="rId2791" ref="E2742"/>
    <hyperlink r:id="rId2792" ref="C2743"/>
    <hyperlink r:id="rId2793" ref="E2743"/>
    <hyperlink r:id="rId2794" ref="E2744"/>
    <hyperlink r:id="rId2795" ref="E2745"/>
    <hyperlink r:id="rId2796" ref="E2746"/>
    <hyperlink r:id="rId2797" ref="E2747"/>
    <hyperlink r:id="rId2798" ref="E2748"/>
    <hyperlink r:id="rId2799" ref="E2749"/>
    <hyperlink r:id="rId2800" ref="E2750"/>
    <hyperlink r:id="rId2801" ref="E2751"/>
    <hyperlink r:id="rId2802" ref="E2752"/>
    <hyperlink r:id="rId2803" ref="E2753"/>
    <hyperlink r:id="rId2804" ref="E2754"/>
    <hyperlink r:id="rId2805" ref="E2755"/>
    <hyperlink r:id="rId2806" ref="E2756"/>
    <hyperlink r:id="rId2807" ref="E2757"/>
    <hyperlink r:id="rId2808" ref="E2758"/>
    <hyperlink r:id="rId2809" ref="E2759"/>
    <hyperlink r:id="rId2810" ref="E2760"/>
    <hyperlink r:id="rId2811" ref="E2761"/>
    <hyperlink r:id="rId2812" ref="E2762"/>
    <hyperlink r:id="rId2813" ref="E2763"/>
    <hyperlink r:id="rId2814" ref="E2764"/>
    <hyperlink r:id="rId2815" ref="E2765"/>
    <hyperlink r:id="rId2816" ref="E2766"/>
    <hyperlink r:id="rId2817" ref="E2767"/>
    <hyperlink r:id="rId2818" ref="E2768"/>
    <hyperlink r:id="rId2819" ref="E2769"/>
    <hyperlink r:id="rId2820" ref="E2770"/>
    <hyperlink r:id="rId2821" ref="E2771"/>
    <hyperlink r:id="rId2822" ref="E2772"/>
    <hyperlink r:id="rId2823" ref="E2773"/>
    <hyperlink r:id="rId2824" ref="E2774"/>
    <hyperlink r:id="rId2825" ref="E2775"/>
    <hyperlink r:id="rId2826" ref="E2776"/>
    <hyperlink r:id="rId2827" ref="E2777"/>
    <hyperlink r:id="rId2828" ref="E2778"/>
    <hyperlink r:id="rId2829" ref="E2779"/>
    <hyperlink r:id="rId2830" ref="E2780"/>
    <hyperlink r:id="rId2831" ref="E2781"/>
    <hyperlink r:id="rId2832" ref="E2782"/>
    <hyperlink r:id="rId2833" ref="E2783"/>
    <hyperlink r:id="rId2834" ref="E2784"/>
    <hyperlink r:id="rId2835" ref="E2785"/>
    <hyperlink r:id="rId2836" ref="E2786"/>
    <hyperlink r:id="rId2837" ref="E2787"/>
    <hyperlink r:id="rId2838" ref="E2788"/>
    <hyperlink r:id="rId2839" ref="E2789"/>
    <hyperlink r:id="rId2840" ref="E2790"/>
    <hyperlink r:id="rId2841" ref="E2791"/>
    <hyperlink r:id="rId2842" ref="E2792"/>
    <hyperlink r:id="rId2843" ref="E2793"/>
    <hyperlink r:id="rId2844" ref="E2794"/>
    <hyperlink r:id="rId2845" ref="E2795"/>
    <hyperlink r:id="rId2846" ref="E2796"/>
    <hyperlink r:id="rId2847" ref="E2797"/>
    <hyperlink r:id="rId2848" ref="E2798"/>
    <hyperlink r:id="rId2849" ref="E2799"/>
    <hyperlink r:id="rId2850" ref="E2800"/>
    <hyperlink r:id="rId2851" ref="E2801"/>
    <hyperlink r:id="rId2852" ref="E2802"/>
    <hyperlink r:id="rId2853" ref="E2803"/>
    <hyperlink r:id="rId2854" ref="E2804"/>
    <hyperlink r:id="rId2855" ref="E2805"/>
    <hyperlink r:id="rId2856" ref="E2806"/>
    <hyperlink r:id="rId2857" ref="E2807"/>
    <hyperlink r:id="rId2858" ref="E2808"/>
    <hyperlink r:id="rId2859" ref="E2809"/>
    <hyperlink r:id="rId2860" ref="E2810"/>
    <hyperlink r:id="rId2861" ref="E2811"/>
    <hyperlink r:id="rId2862" ref="E2812"/>
    <hyperlink r:id="rId2863" ref="E2813"/>
    <hyperlink r:id="rId2864" ref="E2814"/>
    <hyperlink r:id="rId2865" ref="E2815"/>
    <hyperlink r:id="rId2866" ref="E2816"/>
    <hyperlink r:id="rId2867" ref="E2817"/>
    <hyperlink r:id="rId2868" ref="E2818"/>
    <hyperlink r:id="rId2869" ref="C2819"/>
    <hyperlink r:id="rId2870" ref="E2819"/>
    <hyperlink r:id="rId2871" ref="E2820"/>
    <hyperlink r:id="rId2872" ref="E2821"/>
    <hyperlink r:id="rId2873" ref="E2822"/>
    <hyperlink r:id="rId2874" ref="E2823"/>
    <hyperlink r:id="rId2875" ref="E2824"/>
    <hyperlink r:id="rId2876" ref="E2825"/>
    <hyperlink r:id="rId2877" ref="E2826"/>
    <hyperlink r:id="rId2878" ref="E2827"/>
    <hyperlink r:id="rId2879" ref="C2828"/>
    <hyperlink r:id="rId2880" ref="E2828"/>
    <hyperlink r:id="rId2881" ref="E2829"/>
    <hyperlink r:id="rId2882" ref="E2830"/>
    <hyperlink r:id="rId2883" ref="E2831"/>
    <hyperlink r:id="rId2884" ref="C2832"/>
    <hyperlink r:id="rId2885" ref="E2832"/>
    <hyperlink r:id="rId2886" ref="E2833"/>
    <hyperlink r:id="rId2887" ref="C2834"/>
    <hyperlink r:id="rId2888" ref="E2834"/>
    <hyperlink r:id="rId2889" ref="C2835"/>
    <hyperlink r:id="rId2890" ref="E2835"/>
    <hyperlink r:id="rId2891" ref="E2836"/>
    <hyperlink r:id="rId2892" ref="E2837"/>
    <hyperlink r:id="rId2893" ref="E2838"/>
    <hyperlink r:id="rId2894" ref="E2839"/>
    <hyperlink r:id="rId2895" ref="E2840"/>
    <hyperlink r:id="rId2896" ref="E2841"/>
    <hyperlink r:id="rId2897" ref="E2842"/>
    <hyperlink r:id="rId2898" ref="E2843"/>
    <hyperlink r:id="rId2899" ref="E2844"/>
    <hyperlink r:id="rId2900" ref="E2845"/>
    <hyperlink r:id="rId2901" ref="C2846"/>
    <hyperlink r:id="rId2902" ref="E2846"/>
    <hyperlink r:id="rId2903" ref="C2847"/>
    <hyperlink r:id="rId2904" ref="E2847"/>
    <hyperlink r:id="rId2905" ref="E2848"/>
    <hyperlink r:id="rId2906" ref="E2849"/>
    <hyperlink r:id="rId2907" ref="E2850"/>
    <hyperlink r:id="rId2908" ref="E2851"/>
    <hyperlink r:id="rId2909" ref="E2852"/>
    <hyperlink r:id="rId2910" ref="E2853"/>
    <hyperlink r:id="rId2911" ref="E2854"/>
    <hyperlink r:id="rId2912" ref="E2855"/>
    <hyperlink r:id="rId2913" ref="E2856"/>
    <hyperlink r:id="rId2914" ref="E2857"/>
    <hyperlink r:id="rId2915" ref="E2858"/>
    <hyperlink r:id="rId2916" ref="E2859"/>
    <hyperlink r:id="rId2917" ref="C2860"/>
    <hyperlink r:id="rId2918" ref="E2860"/>
    <hyperlink r:id="rId2919" ref="E2861"/>
    <hyperlink r:id="rId2920" ref="E2862"/>
    <hyperlink r:id="rId2921" ref="E2863"/>
    <hyperlink r:id="rId2922" ref="E2864"/>
    <hyperlink r:id="rId2923" ref="E2865"/>
    <hyperlink r:id="rId2924" ref="E2866"/>
    <hyperlink r:id="rId2925" ref="E2867"/>
    <hyperlink r:id="rId2926" ref="E2868"/>
    <hyperlink r:id="rId2927" ref="E2869"/>
    <hyperlink r:id="rId2928" ref="E2870"/>
    <hyperlink r:id="rId2929" ref="E2871"/>
    <hyperlink r:id="rId2930" ref="E2872"/>
    <hyperlink r:id="rId2931" ref="E2873"/>
    <hyperlink r:id="rId2932" ref="E2874"/>
    <hyperlink r:id="rId2933" ref="E2875"/>
    <hyperlink r:id="rId2934" ref="E2876"/>
    <hyperlink r:id="rId2935" ref="E2877"/>
    <hyperlink r:id="rId2936" ref="E2878"/>
    <hyperlink r:id="rId2937" ref="E2879"/>
    <hyperlink r:id="rId2938" ref="E2880"/>
    <hyperlink r:id="rId2939" ref="E2881"/>
    <hyperlink r:id="rId2940" ref="E2882"/>
    <hyperlink r:id="rId2941" ref="E2883"/>
    <hyperlink r:id="rId2942" ref="E2884"/>
    <hyperlink r:id="rId2943" ref="E2885"/>
    <hyperlink r:id="rId2944" ref="E2886"/>
    <hyperlink r:id="rId2945" ref="E2887"/>
    <hyperlink r:id="rId2946" ref="E2888"/>
    <hyperlink r:id="rId2947" ref="E2889"/>
    <hyperlink r:id="rId2948" ref="E2890"/>
    <hyperlink r:id="rId2949" ref="E2891"/>
    <hyperlink r:id="rId2950" ref="E2892"/>
    <hyperlink r:id="rId2951" ref="E2893"/>
    <hyperlink r:id="rId2952" ref="E2894"/>
    <hyperlink r:id="rId2953" ref="E2895"/>
    <hyperlink r:id="rId2954" ref="E2896"/>
    <hyperlink r:id="rId2955" ref="C2897"/>
    <hyperlink r:id="rId2956" ref="E2897"/>
    <hyperlink r:id="rId2957" ref="E2898"/>
    <hyperlink r:id="rId2958" ref="E2899"/>
    <hyperlink r:id="rId2959" ref="E2900"/>
    <hyperlink r:id="rId2960" ref="C2901"/>
    <hyperlink r:id="rId2961" ref="E2901"/>
    <hyperlink r:id="rId2962" ref="E2902"/>
    <hyperlink r:id="rId2963" ref="E2903"/>
    <hyperlink r:id="rId2964" ref="E2904"/>
    <hyperlink r:id="rId2965" ref="E2905"/>
    <hyperlink r:id="rId2966" ref="E2906"/>
    <hyperlink r:id="rId2967" ref="E2907"/>
    <hyperlink r:id="rId2968" ref="E2908"/>
    <hyperlink r:id="rId2969" ref="E2909"/>
    <hyperlink r:id="rId2970" ref="E2910"/>
    <hyperlink r:id="rId2971" ref="E2911"/>
    <hyperlink r:id="rId2972" ref="E2912"/>
    <hyperlink r:id="rId2973" ref="E2913"/>
    <hyperlink r:id="rId2974" ref="E2914"/>
    <hyperlink r:id="rId2975" ref="E2915"/>
    <hyperlink r:id="rId2976" ref="E2916"/>
    <hyperlink r:id="rId2977" ref="E2917"/>
    <hyperlink r:id="rId2978" ref="E2918"/>
    <hyperlink r:id="rId2979" ref="E2919"/>
    <hyperlink r:id="rId2980" ref="E2920"/>
    <hyperlink r:id="rId2981" ref="E2921"/>
    <hyperlink r:id="rId2982" ref="E2922"/>
    <hyperlink r:id="rId2983" ref="E2923"/>
    <hyperlink r:id="rId2984" ref="E2924"/>
    <hyperlink r:id="rId2985" ref="E2925"/>
    <hyperlink r:id="rId2986" ref="E2926"/>
    <hyperlink r:id="rId2987" ref="E2927"/>
    <hyperlink r:id="rId2988" ref="E2928"/>
    <hyperlink r:id="rId2989" ref="E2929"/>
    <hyperlink r:id="rId2990" ref="C2930"/>
    <hyperlink r:id="rId2991" ref="E2930"/>
    <hyperlink r:id="rId2992" ref="E2931"/>
    <hyperlink r:id="rId2993" ref="E2932"/>
    <hyperlink r:id="rId2994" ref="E2934"/>
    <hyperlink r:id="rId2995" ref="E2935"/>
    <hyperlink r:id="rId2996" ref="E2937"/>
    <hyperlink r:id="rId2997" ref="E2938"/>
    <hyperlink r:id="rId2998" ref="E2939"/>
    <hyperlink r:id="rId2999" ref="E2941"/>
    <hyperlink r:id="rId3000" ref="E2942"/>
    <hyperlink r:id="rId3001" ref="E2943"/>
    <hyperlink r:id="rId3002" ref="E2944"/>
    <hyperlink r:id="rId3003" ref="E2945"/>
    <hyperlink r:id="rId3004" ref="E2946"/>
    <hyperlink r:id="rId3005" ref="E2947"/>
    <hyperlink r:id="rId3006" ref="E2949"/>
    <hyperlink r:id="rId3007" ref="E2950"/>
    <hyperlink r:id="rId3008" ref="E2951"/>
    <hyperlink r:id="rId3009" ref="E2952"/>
    <hyperlink r:id="rId3010" ref="E2953"/>
    <hyperlink r:id="rId3011" ref="E2954"/>
    <hyperlink r:id="rId3012" ref="E2955"/>
    <hyperlink r:id="rId3013" ref="E2957"/>
    <hyperlink r:id="rId3014" ref="E2958"/>
    <hyperlink r:id="rId3015" ref="E2959"/>
    <hyperlink r:id="rId3016" ref="E2962"/>
    <hyperlink r:id="rId3017" ref="E2963"/>
    <hyperlink r:id="rId3018" ref="E2964"/>
    <hyperlink r:id="rId3019" ref="E2965"/>
    <hyperlink r:id="rId3020" ref="E2966"/>
    <hyperlink r:id="rId3021" ref="E2967"/>
    <hyperlink r:id="rId3022" ref="E2969"/>
    <hyperlink r:id="rId3023" ref="E2970"/>
    <hyperlink r:id="rId3024" ref="E2971"/>
    <hyperlink r:id="rId3025" ref="E2972"/>
    <hyperlink r:id="rId3026" ref="E2973"/>
    <hyperlink r:id="rId3027" ref="E2974"/>
    <hyperlink r:id="rId3028" ref="E2975"/>
    <hyperlink r:id="rId3029" ref="E2976"/>
    <hyperlink r:id="rId3030" ref="E2977"/>
    <hyperlink r:id="rId3031" ref="E2978"/>
    <hyperlink r:id="rId3032" ref="E2980"/>
    <hyperlink r:id="rId3033" ref="E2982"/>
    <hyperlink r:id="rId3034" ref="E2983"/>
    <hyperlink r:id="rId3035" ref="E2984"/>
    <hyperlink r:id="rId3036" ref="E2985"/>
    <hyperlink r:id="rId3037" ref="E2988"/>
    <hyperlink r:id="rId3038" ref="E2989"/>
    <hyperlink r:id="rId3039" ref="E2990"/>
    <hyperlink r:id="rId3040" ref="E2991"/>
    <hyperlink r:id="rId3041" ref="E2992"/>
    <hyperlink r:id="rId3042" ref="E2993"/>
    <hyperlink r:id="rId3043" ref="E2994"/>
    <hyperlink r:id="rId3044" ref="E2997"/>
    <hyperlink r:id="rId3045" ref="E2998"/>
    <hyperlink r:id="rId3046" ref="E2999"/>
    <hyperlink r:id="rId3047" ref="E3000"/>
    <hyperlink r:id="rId3048" ref="E3001"/>
    <hyperlink r:id="rId3049" ref="E3002"/>
    <hyperlink r:id="rId3050" ref="E3004"/>
    <hyperlink r:id="rId3051" ref="E3005"/>
    <hyperlink r:id="rId3052" ref="E3009"/>
    <hyperlink r:id="rId3053" ref="E3012"/>
    <hyperlink r:id="rId3054" ref="E3013"/>
    <hyperlink r:id="rId3055" ref="C3014"/>
    <hyperlink r:id="rId3056" ref="E3014"/>
    <hyperlink r:id="rId3057" ref="E3015"/>
    <hyperlink r:id="rId3058" ref="E3016"/>
    <hyperlink r:id="rId3059" ref="E3017"/>
    <hyperlink r:id="rId3060" ref="E3018"/>
    <hyperlink r:id="rId3061" ref="E3019"/>
    <hyperlink r:id="rId3062" ref="E3021"/>
    <hyperlink r:id="rId3063" ref="E3022"/>
    <hyperlink r:id="rId3064" ref="E3023"/>
    <hyperlink r:id="rId3065" ref="E3024"/>
    <hyperlink r:id="rId3066" ref="E3025"/>
    <hyperlink r:id="rId3067" ref="E3026"/>
    <hyperlink r:id="rId3068" ref="E3028"/>
    <hyperlink r:id="rId3069" ref="E3029"/>
    <hyperlink r:id="rId3070" ref="E3030"/>
    <hyperlink r:id="rId3071" ref="E3031"/>
    <hyperlink r:id="rId3072" ref="E3032"/>
    <hyperlink r:id="rId3073" ref="E3033"/>
    <hyperlink r:id="rId3074" ref="E3035"/>
    <hyperlink r:id="rId3075" ref="E3036"/>
    <hyperlink r:id="rId3076" ref="E3037"/>
    <hyperlink r:id="rId3077" ref="E3038"/>
    <hyperlink r:id="rId3078" ref="E3039"/>
    <hyperlink r:id="rId3079" ref="E3040"/>
    <hyperlink r:id="rId3080" ref="E3041"/>
    <hyperlink r:id="rId3081" ref="E3042"/>
    <hyperlink r:id="rId3082" ref="E3043"/>
    <hyperlink r:id="rId3083" ref="E3044"/>
    <hyperlink r:id="rId3084" ref="E3045"/>
    <hyperlink r:id="rId3085" ref="E3046"/>
    <hyperlink r:id="rId3086" ref="E3047"/>
    <hyperlink r:id="rId3087" ref="E3049"/>
    <hyperlink r:id="rId3088" ref="E3051"/>
    <hyperlink r:id="rId3089" ref="E3052"/>
    <hyperlink r:id="rId3090" ref="E3053"/>
    <hyperlink r:id="rId3091" ref="E3054"/>
    <hyperlink r:id="rId3092" ref="E3056"/>
    <hyperlink r:id="rId3093" ref="E3057"/>
    <hyperlink r:id="rId3094" ref="E3058"/>
    <hyperlink r:id="rId3095" ref="E3059"/>
    <hyperlink r:id="rId3096" ref="E3060"/>
    <hyperlink r:id="rId3097" ref="E3061"/>
    <hyperlink r:id="rId3098" ref="E3062"/>
    <hyperlink r:id="rId3099" ref="E3063"/>
    <hyperlink r:id="rId3100" ref="E3064"/>
    <hyperlink r:id="rId3101" ref="E3065"/>
    <hyperlink r:id="rId3102" ref="E3067"/>
    <hyperlink r:id="rId3103" ref="E3068"/>
    <hyperlink r:id="rId3104" ref="E3069"/>
    <hyperlink r:id="rId3105" ref="E3070"/>
    <hyperlink r:id="rId3106" ref="E3071"/>
    <hyperlink r:id="rId3107" ref="E3073"/>
    <hyperlink r:id="rId3108" ref="E3074"/>
    <hyperlink r:id="rId3109" ref="E3076"/>
    <hyperlink r:id="rId3110" ref="E3077"/>
    <hyperlink r:id="rId3111" ref="E3078"/>
    <hyperlink r:id="rId3112" ref="E3079"/>
    <hyperlink r:id="rId3113" ref="E3080"/>
    <hyperlink r:id="rId3114" ref="E3081"/>
    <hyperlink r:id="rId3115" ref="E3082"/>
    <hyperlink r:id="rId3116" ref="E3083"/>
    <hyperlink r:id="rId3117" ref="E3084"/>
    <hyperlink r:id="rId3118" ref="E3086"/>
    <hyperlink r:id="rId3119" ref="E3088"/>
    <hyperlink r:id="rId3120" ref="E3089"/>
    <hyperlink r:id="rId3121" ref="E3090"/>
    <hyperlink r:id="rId3122" ref="E3091"/>
    <hyperlink r:id="rId3123" ref="C3092"/>
    <hyperlink r:id="rId3124" ref="E3092"/>
    <hyperlink r:id="rId3125" ref="E3094"/>
    <hyperlink r:id="rId3126" ref="E3096"/>
    <hyperlink r:id="rId3127" ref="E3097"/>
    <hyperlink r:id="rId3128" ref="E3098"/>
    <hyperlink r:id="rId3129" ref="E3099"/>
    <hyperlink r:id="rId3130" ref="E3100"/>
    <hyperlink r:id="rId3131" ref="E3101"/>
    <hyperlink r:id="rId3132" ref="E3102"/>
    <hyperlink r:id="rId3133" ref="E3103"/>
    <hyperlink r:id="rId3134" ref="E3104"/>
    <hyperlink r:id="rId3135" ref="E3105"/>
    <hyperlink r:id="rId3136" ref="E3106"/>
    <hyperlink r:id="rId3137" ref="E3107"/>
    <hyperlink r:id="rId3138" ref="E3108"/>
    <hyperlink r:id="rId3139" ref="E3109"/>
    <hyperlink r:id="rId3140" ref="E3110"/>
    <hyperlink r:id="rId3141" ref="E3111"/>
    <hyperlink r:id="rId3142" ref="E3112"/>
    <hyperlink r:id="rId3143" ref="E3113"/>
    <hyperlink r:id="rId3144" ref="E3115"/>
    <hyperlink r:id="rId3145" ref="E3117"/>
    <hyperlink r:id="rId3146" ref="C3118"/>
    <hyperlink r:id="rId3147" ref="E3118"/>
    <hyperlink r:id="rId3148" ref="E3119"/>
    <hyperlink r:id="rId3149" ref="E3120"/>
    <hyperlink r:id="rId3150" ref="E3123"/>
    <hyperlink r:id="rId3151" ref="E3124"/>
    <hyperlink r:id="rId3152" ref="E3125"/>
    <hyperlink r:id="rId3153" ref="E3126"/>
    <hyperlink r:id="rId3154" ref="E3127"/>
    <hyperlink r:id="rId3155" ref="E3128"/>
    <hyperlink r:id="rId3156" ref="E3129"/>
    <hyperlink r:id="rId3157" ref="E3130"/>
    <hyperlink r:id="rId3158" ref="E3131"/>
    <hyperlink r:id="rId3159" ref="C3133"/>
    <hyperlink r:id="rId3160" ref="E3133"/>
    <hyperlink r:id="rId3161" ref="E3135"/>
    <hyperlink r:id="rId3162" ref="E3136"/>
    <hyperlink r:id="rId3163" ref="E3137"/>
    <hyperlink r:id="rId3164" ref="E3138"/>
    <hyperlink r:id="rId3165" ref="E3139"/>
    <hyperlink r:id="rId3166" ref="E3140"/>
    <hyperlink r:id="rId3167" ref="E3142"/>
    <hyperlink r:id="rId3168" ref="E3143"/>
    <hyperlink r:id="rId3169" ref="E3144"/>
    <hyperlink r:id="rId3170" ref="E3145"/>
    <hyperlink r:id="rId3171" ref="E3146"/>
    <hyperlink r:id="rId3172" ref="E3147"/>
    <hyperlink r:id="rId3173" ref="E3148"/>
    <hyperlink r:id="rId3174" ref="E3149"/>
    <hyperlink r:id="rId3175" ref="E3150"/>
    <hyperlink r:id="rId3176" ref="E3151"/>
    <hyperlink r:id="rId3177" ref="E3152"/>
    <hyperlink r:id="rId3178" ref="E3153"/>
    <hyperlink r:id="rId3179" ref="E3154"/>
    <hyperlink r:id="rId3180" ref="E3155"/>
    <hyperlink r:id="rId3181" ref="E3156"/>
    <hyperlink r:id="rId3182" ref="E3157"/>
    <hyperlink r:id="rId3183" ref="E3158"/>
    <hyperlink r:id="rId3184" ref="E3159"/>
    <hyperlink r:id="rId3185" ref="E3160"/>
    <hyperlink r:id="rId3186" ref="E3161"/>
    <hyperlink r:id="rId3187" ref="E3162"/>
    <hyperlink r:id="rId3188" ref="E3163"/>
    <hyperlink r:id="rId3189" ref="E3164"/>
    <hyperlink r:id="rId3190" ref="E3165"/>
    <hyperlink r:id="rId3191" ref="E3166"/>
    <hyperlink r:id="rId3192" ref="E3167"/>
    <hyperlink r:id="rId3193" ref="E3168"/>
    <hyperlink r:id="rId3194" ref="E3169"/>
    <hyperlink r:id="rId3195" ref="E3170"/>
    <hyperlink r:id="rId3196" ref="E3171"/>
    <hyperlink r:id="rId3197" ref="E3173"/>
    <hyperlink r:id="rId3198" ref="E3174"/>
    <hyperlink r:id="rId3199" ref="E3175"/>
    <hyperlink r:id="rId3200" ref="E3176"/>
    <hyperlink r:id="rId3201" ref="E3177"/>
    <hyperlink r:id="rId3202" ref="E3178"/>
    <hyperlink r:id="rId3203" ref="C3179"/>
    <hyperlink r:id="rId3204" ref="E3179"/>
    <hyperlink r:id="rId3205" ref="E3180"/>
    <hyperlink r:id="rId3206" ref="E3181"/>
    <hyperlink r:id="rId3207" ref="E3182"/>
    <hyperlink r:id="rId3208" ref="E3184"/>
    <hyperlink r:id="rId3209" ref="E3185"/>
    <hyperlink r:id="rId3210" ref="E3186"/>
    <hyperlink r:id="rId3211" ref="E3187"/>
    <hyperlink r:id="rId3212" ref="E3189"/>
    <hyperlink r:id="rId3213" ref="E3190"/>
    <hyperlink r:id="rId3214" ref="E3191"/>
    <hyperlink r:id="rId3215" ref="E3192"/>
    <hyperlink r:id="rId3216" ref="E3193"/>
    <hyperlink r:id="rId3217" ref="E3194"/>
    <hyperlink r:id="rId3218" ref="E3195"/>
    <hyperlink r:id="rId3219" ref="E3196"/>
    <hyperlink r:id="rId3220" ref="E3197"/>
    <hyperlink r:id="rId3221" ref="E3198"/>
    <hyperlink r:id="rId3222" ref="E3199"/>
    <hyperlink r:id="rId3223" ref="E3200"/>
    <hyperlink r:id="rId3224" ref="E3201"/>
    <hyperlink r:id="rId3225" ref="E3202"/>
    <hyperlink r:id="rId3226" ref="E3203"/>
    <hyperlink r:id="rId3227" ref="E3204"/>
    <hyperlink r:id="rId3228" ref="E3205"/>
    <hyperlink r:id="rId3229" ref="E3206"/>
    <hyperlink r:id="rId3230" ref="E3207"/>
    <hyperlink r:id="rId3231" ref="E3208"/>
    <hyperlink r:id="rId3232" ref="E3209"/>
    <hyperlink r:id="rId3233" ref="E3210"/>
    <hyperlink r:id="rId3234" ref="E3211"/>
    <hyperlink r:id="rId3235" ref="E3213"/>
    <hyperlink r:id="rId3236" ref="E3214"/>
    <hyperlink r:id="rId3237" ref="E3215"/>
    <hyperlink r:id="rId3238" ref="E3216"/>
    <hyperlink r:id="rId3239" ref="E3217"/>
    <hyperlink r:id="rId3240" ref="E3218"/>
    <hyperlink r:id="rId3241" ref="E3219"/>
    <hyperlink r:id="rId3242" ref="E3223"/>
    <hyperlink r:id="rId3243" ref="E3224"/>
    <hyperlink r:id="rId3244" ref="E3225"/>
    <hyperlink r:id="rId3245" ref="E3226"/>
    <hyperlink r:id="rId3246" ref="E3227"/>
    <hyperlink r:id="rId3247" ref="E3228"/>
    <hyperlink r:id="rId3248" ref="E3229"/>
    <hyperlink r:id="rId3249" ref="E3230"/>
    <hyperlink r:id="rId3250" ref="E3232"/>
    <hyperlink r:id="rId3251" ref="E3233"/>
    <hyperlink r:id="rId3252" ref="E3234"/>
    <hyperlink r:id="rId3253" ref="E3236"/>
    <hyperlink r:id="rId3254" ref="E3237"/>
    <hyperlink r:id="rId3255" ref="E3239"/>
    <hyperlink r:id="rId3256" ref="E3240"/>
    <hyperlink r:id="rId3257" ref="E3241"/>
    <hyperlink r:id="rId3258" ref="E3242"/>
    <hyperlink r:id="rId3259" ref="E3243"/>
    <hyperlink r:id="rId3260" ref="E3244"/>
    <hyperlink r:id="rId3261" ref="E3245"/>
    <hyperlink r:id="rId3262" ref="E3246"/>
    <hyperlink r:id="rId3263" ref="E3247"/>
    <hyperlink r:id="rId3264" ref="E3248"/>
    <hyperlink r:id="rId3265" ref="E3252"/>
    <hyperlink r:id="rId3266" ref="E3253"/>
    <hyperlink r:id="rId3267" ref="E3254"/>
    <hyperlink r:id="rId3268" ref="E3255"/>
    <hyperlink r:id="rId3269" ref="E3256"/>
    <hyperlink r:id="rId3270" ref="E3257"/>
    <hyperlink r:id="rId3271" ref="E3259"/>
    <hyperlink r:id="rId3272" ref="E3260"/>
    <hyperlink r:id="rId3273" ref="E3261"/>
    <hyperlink r:id="rId3274" ref="E3262"/>
    <hyperlink r:id="rId3275" ref="E3263"/>
    <hyperlink r:id="rId3276" ref="C3264"/>
    <hyperlink r:id="rId3277" ref="E3264"/>
    <hyperlink r:id="rId3278" ref="E3265"/>
    <hyperlink r:id="rId3279" ref="E3266"/>
    <hyperlink r:id="rId3280" ref="E3267"/>
    <hyperlink r:id="rId3281" ref="E3269"/>
    <hyperlink r:id="rId3282" ref="E3270"/>
    <hyperlink r:id="rId3283" ref="E3271"/>
    <hyperlink r:id="rId3284" ref="E3272"/>
    <hyperlink r:id="rId3285" ref="E3273"/>
    <hyperlink r:id="rId3286" ref="E3274"/>
    <hyperlink r:id="rId3287" ref="E3277"/>
    <hyperlink r:id="rId3288" ref="E3278"/>
    <hyperlink r:id="rId3289" ref="E3280"/>
    <hyperlink r:id="rId3290" ref="E3281"/>
    <hyperlink r:id="rId3291" ref="E3282"/>
    <hyperlink r:id="rId3292" ref="E3283"/>
    <hyperlink r:id="rId3293" ref="E3284"/>
    <hyperlink r:id="rId3294" ref="E3285"/>
    <hyperlink r:id="rId3295" ref="C3286"/>
    <hyperlink r:id="rId3296" ref="E3287"/>
    <hyperlink r:id="rId3297" ref="E3288"/>
    <hyperlink r:id="rId3298" ref="E3289"/>
    <hyperlink r:id="rId3299" ref="C3291"/>
    <hyperlink r:id="rId3300" ref="E3291"/>
    <hyperlink r:id="rId3301" ref="E3292"/>
    <hyperlink r:id="rId3302" ref="E3294"/>
    <hyperlink r:id="rId3303" ref="E3295"/>
    <hyperlink r:id="rId3304" ref="E3296"/>
    <hyperlink r:id="rId3305" ref="E3297"/>
    <hyperlink r:id="rId3306" ref="E3298"/>
    <hyperlink r:id="rId3307" ref="E3299"/>
    <hyperlink r:id="rId3308" ref="E3300"/>
    <hyperlink r:id="rId3309" ref="E3301"/>
    <hyperlink r:id="rId3310" ref="E3302"/>
    <hyperlink r:id="rId3311" ref="E3303"/>
    <hyperlink r:id="rId3312" ref="E3304"/>
    <hyperlink r:id="rId3313" ref="E3306"/>
    <hyperlink r:id="rId3314" ref="E3308"/>
    <hyperlink r:id="rId3315" ref="E3309"/>
    <hyperlink r:id="rId3316" ref="E3310"/>
    <hyperlink r:id="rId3317" ref="E3311"/>
    <hyperlink r:id="rId3318" ref="E3312"/>
    <hyperlink r:id="rId3319" ref="E3313"/>
    <hyperlink r:id="rId3320" ref="C3314"/>
    <hyperlink r:id="rId3321" ref="E3314"/>
    <hyperlink r:id="rId3322" ref="E3315"/>
    <hyperlink r:id="rId3323" ref="E3316"/>
    <hyperlink r:id="rId3324" ref="E3317"/>
    <hyperlink r:id="rId3325" ref="E3318"/>
    <hyperlink r:id="rId3326" ref="E3319"/>
    <hyperlink r:id="rId3327" ref="E3321"/>
    <hyperlink r:id="rId3328" ref="E3322"/>
    <hyperlink r:id="rId3329" ref="E3323"/>
    <hyperlink r:id="rId3330" ref="E3324"/>
    <hyperlink r:id="rId3331" ref="E3325"/>
    <hyperlink r:id="rId3332" ref="E3326"/>
    <hyperlink r:id="rId3333" ref="E3327"/>
    <hyperlink r:id="rId3334" ref="E3328"/>
    <hyperlink r:id="rId3335" ref="E3330"/>
    <hyperlink r:id="rId3336" ref="E3331"/>
    <hyperlink r:id="rId3337" ref="E3333"/>
    <hyperlink r:id="rId3338" ref="E3335"/>
    <hyperlink r:id="rId3339" ref="E3336"/>
    <hyperlink r:id="rId3340" ref="E3338"/>
    <hyperlink r:id="rId3341" ref="E3339"/>
    <hyperlink r:id="rId3342" ref="E3340"/>
    <hyperlink r:id="rId3343" ref="E3341"/>
    <hyperlink r:id="rId3344" ref="E3342"/>
    <hyperlink r:id="rId3345" ref="E3344"/>
    <hyperlink r:id="rId3346" ref="E3345"/>
    <hyperlink r:id="rId3347" ref="E3346"/>
    <hyperlink r:id="rId3348" ref="E3347"/>
    <hyperlink r:id="rId3349" ref="E3348"/>
    <hyperlink r:id="rId3350" ref="E3349"/>
    <hyperlink r:id="rId3351" ref="E3350"/>
    <hyperlink r:id="rId3352" ref="E3351"/>
    <hyperlink r:id="rId3353" ref="E3353"/>
    <hyperlink r:id="rId3354" ref="E3354"/>
    <hyperlink r:id="rId3355" ref="E3356"/>
    <hyperlink r:id="rId3356" ref="E3357"/>
    <hyperlink r:id="rId3357" ref="E3358"/>
    <hyperlink r:id="rId3358" ref="E3359"/>
    <hyperlink r:id="rId3359" ref="E3360"/>
    <hyperlink r:id="rId3360" ref="E3361"/>
    <hyperlink r:id="rId3361" ref="E3363"/>
    <hyperlink r:id="rId3362" ref="E3364"/>
    <hyperlink r:id="rId3363" ref="E3365"/>
    <hyperlink r:id="rId3364" ref="E3368"/>
    <hyperlink r:id="rId3365" ref="E3369"/>
    <hyperlink r:id="rId3366" ref="E3370"/>
    <hyperlink r:id="rId3367" ref="E3371"/>
    <hyperlink r:id="rId3368" ref="E3372"/>
    <hyperlink r:id="rId3369" ref="E3374"/>
    <hyperlink r:id="rId3370" ref="E3375"/>
    <hyperlink r:id="rId3371" ref="E3376"/>
    <hyperlink r:id="rId3372" ref="E3377"/>
    <hyperlink r:id="rId3373" ref="E3378"/>
    <hyperlink r:id="rId3374" ref="E3379"/>
    <hyperlink r:id="rId3375" ref="E3380"/>
    <hyperlink r:id="rId3376" ref="E3381"/>
    <hyperlink r:id="rId3377" ref="E3382"/>
    <hyperlink r:id="rId3378" ref="E3383"/>
    <hyperlink r:id="rId3379" ref="E3384"/>
    <hyperlink r:id="rId3380" ref="E3386"/>
    <hyperlink r:id="rId3381" ref="E3389"/>
    <hyperlink r:id="rId3382" ref="E3391"/>
    <hyperlink r:id="rId3383" ref="E3393"/>
    <hyperlink r:id="rId3384" ref="E3394"/>
    <hyperlink r:id="rId3385" ref="E3395"/>
    <hyperlink r:id="rId3386" ref="E3396"/>
    <hyperlink r:id="rId3387" ref="E3397"/>
    <hyperlink r:id="rId3388" ref="E3398"/>
    <hyperlink r:id="rId3389" ref="E3399"/>
    <hyperlink r:id="rId3390" ref="E3400"/>
    <hyperlink r:id="rId3391" ref="E3401"/>
    <hyperlink r:id="rId3392" ref="E3402"/>
    <hyperlink r:id="rId3393" ref="E3403"/>
    <hyperlink r:id="rId3394" ref="E3404"/>
    <hyperlink r:id="rId3395" ref="E3405"/>
    <hyperlink r:id="rId3396" ref="E3407"/>
    <hyperlink r:id="rId3397" ref="E3408"/>
    <hyperlink r:id="rId3398" ref="E3409"/>
    <hyperlink r:id="rId3399" ref="E3410"/>
    <hyperlink r:id="rId3400" ref="E3412"/>
    <hyperlink r:id="rId3401" ref="E3413"/>
    <hyperlink r:id="rId3402" ref="E3414"/>
    <hyperlink r:id="rId3403" ref="E3415"/>
    <hyperlink r:id="rId3404" ref="E3416"/>
    <hyperlink r:id="rId3405" ref="E3418"/>
    <hyperlink r:id="rId3406" ref="E3419"/>
    <hyperlink r:id="rId3407" ref="E3420"/>
    <hyperlink r:id="rId3408" ref="E3422"/>
    <hyperlink r:id="rId3409" ref="E3423"/>
    <hyperlink r:id="rId3410" ref="E3424"/>
    <hyperlink r:id="rId3411" ref="E3426"/>
    <hyperlink r:id="rId3412" ref="E3427"/>
    <hyperlink r:id="rId3413" ref="E3428"/>
    <hyperlink r:id="rId3414" ref="E3429"/>
    <hyperlink r:id="rId3415" ref="E3430"/>
    <hyperlink r:id="rId3416" ref="E3431"/>
    <hyperlink r:id="rId3417" ref="E3432"/>
    <hyperlink r:id="rId3418" ref="E3433"/>
    <hyperlink r:id="rId3419" ref="E3434"/>
    <hyperlink r:id="rId3420" ref="E3435"/>
    <hyperlink r:id="rId3421" ref="E3436"/>
    <hyperlink r:id="rId3422" ref="E3437"/>
    <hyperlink r:id="rId3423" ref="E3438"/>
    <hyperlink r:id="rId3424" ref="E3439"/>
    <hyperlink r:id="rId3425" ref="E3440"/>
    <hyperlink r:id="rId3426" ref="E3441"/>
    <hyperlink r:id="rId3427" ref="E3442"/>
    <hyperlink r:id="rId3428" ref="E3443"/>
    <hyperlink r:id="rId3429" ref="E3444"/>
    <hyperlink r:id="rId3430" ref="E3445"/>
    <hyperlink r:id="rId3431" ref="E3446"/>
    <hyperlink r:id="rId3432" ref="E3447"/>
    <hyperlink r:id="rId3433" ref="E3448"/>
    <hyperlink r:id="rId3434" ref="E3449"/>
    <hyperlink r:id="rId3435" ref="E3450"/>
    <hyperlink r:id="rId3436" ref="E3451"/>
    <hyperlink r:id="rId3437" ref="E3452"/>
    <hyperlink r:id="rId3438" ref="E3453"/>
    <hyperlink r:id="rId3439" ref="E3454"/>
    <hyperlink r:id="rId3440" ref="E3455"/>
    <hyperlink r:id="rId3441" ref="E3456"/>
    <hyperlink r:id="rId3442" ref="C3457"/>
    <hyperlink r:id="rId3443" ref="E3457"/>
    <hyperlink r:id="rId3444" ref="E3458"/>
    <hyperlink r:id="rId3445" ref="E3459"/>
    <hyperlink r:id="rId3446" ref="E3460"/>
    <hyperlink r:id="rId3447" ref="E3461"/>
    <hyperlink r:id="rId3448" ref="E3462"/>
    <hyperlink r:id="rId3449" ref="E3463"/>
    <hyperlink r:id="rId3450" ref="E3464"/>
    <hyperlink r:id="rId3451" ref="E3465"/>
    <hyperlink r:id="rId3452" ref="E3466"/>
    <hyperlink r:id="rId3453" ref="E3467"/>
    <hyperlink r:id="rId3454" ref="E3468"/>
    <hyperlink r:id="rId3455" ref="E3469"/>
    <hyperlink r:id="rId3456" ref="E3470"/>
    <hyperlink r:id="rId3457" ref="E3471"/>
    <hyperlink r:id="rId3458" ref="E3472"/>
    <hyperlink r:id="rId3459" ref="E3473"/>
    <hyperlink r:id="rId3460" ref="C3474"/>
    <hyperlink r:id="rId3461" ref="E3474"/>
    <hyperlink r:id="rId3462" ref="E3475"/>
    <hyperlink r:id="rId3463" ref="E3476"/>
    <hyperlink r:id="rId3464" ref="E3477"/>
    <hyperlink r:id="rId3465" ref="E3478"/>
    <hyperlink r:id="rId3466" ref="E3479"/>
    <hyperlink r:id="rId3467" ref="E3480"/>
    <hyperlink r:id="rId3468" ref="E3481"/>
    <hyperlink r:id="rId3469" ref="E3482"/>
    <hyperlink r:id="rId3470" ref="E3483"/>
    <hyperlink r:id="rId3471" ref="E3484"/>
    <hyperlink r:id="rId3472" ref="E3485"/>
    <hyperlink r:id="rId3473" ref="E3486"/>
    <hyperlink r:id="rId3474" ref="E3487"/>
    <hyperlink r:id="rId3475" ref="E3488"/>
    <hyperlink r:id="rId3476" ref="E3489"/>
    <hyperlink r:id="rId3477" ref="E3490"/>
    <hyperlink r:id="rId3478" ref="E3491"/>
    <hyperlink r:id="rId3479" ref="E3492"/>
    <hyperlink r:id="rId3480" ref="E3493"/>
    <hyperlink r:id="rId3481" ref="E3494"/>
    <hyperlink r:id="rId3482" ref="E3495"/>
    <hyperlink r:id="rId3483" ref="E3496"/>
    <hyperlink r:id="rId3484" ref="E3497"/>
    <hyperlink r:id="rId3485" ref="E3498"/>
    <hyperlink r:id="rId3486" ref="E3499"/>
    <hyperlink r:id="rId3487" ref="E3500"/>
    <hyperlink r:id="rId3488" ref="E3502"/>
    <hyperlink r:id="rId3489" ref="E3503"/>
    <hyperlink r:id="rId3490" ref="E3504"/>
    <hyperlink r:id="rId3491" ref="E3505"/>
    <hyperlink r:id="rId3492" ref="E3506"/>
    <hyperlink r:id="rId3493" ref="E3507"/>
    <hyperlink r:id="rId3494" ref="E3508"/>
    <hyperlink r:id="rId3495" ref="E3509"/>
    <hyperlink r:id="rId3496" ref="E3510"/>
    <hyperlink r:id="rId3497" ref="E3511"/>
    <hyperlink r:id="rId3498" ref="E3512"/>
    <hyperlink r:id="rId3499" ref="E3513"/>
    <hyperlink r:id="rId3500" ref="E3514"/>
    <hyperlink r:id="rId3501" ref="C3515"/>
    <hyperlink r:id="rId3502" ref="E3515"/>
    <hyperlink r:id="rId3503" ref="E3516"/>
    <hyperlink r:id="rId3504" ref="E3517"/>
    <hyperlink r:id="rId3505" ref="E3518"/>
    <hyperlink r:id="rId3506" ref="E3519"/>
    <hyperlink r:id="rId3507" ref="E3520"/>
    <hyperlink r:id="rId3508" ref="E3521"/>
    <hyperlink r:id="rId3509" ref="E3522"/>
    <hyperlink r:id="rId3510" ref="E3523"/>
    <hyperlink r:id="rId3511" ref="E3524"/>
    <hyperlink r:id="rId3512" ref="E3525"/>
    <hyperlink r:id="rId3513" ref="E3526"/>
    <hyperlink r:id="rId3514" ref="E3527"/>
    <hyperlink r:id="rId3515" ref="E3528"/>
    <hyperlink r:id="rId3516" ref="E3529"/>
    <hyperlink r:id="rId3517" ref="E3530"/>
    <hyperlink r:id="rId3518" ref="E3531"/>
    <hyperlink r:id="rId3519" ref="E3532"/>
    <hyperlink r:id="rId3520" ref="E3533"/>
    <hyperlink r:id="rId3521" ref="E3534"/>
    <hyperlink r:id="rId3522" ref="E3535"/>
    <hyperlink r:id="rId3523" ref="E3536"/>
    <hyperlink r:id="rId3524" ref="E3537"/>
    <hyperlink r:id="rId3525" ref="E3539"/>
    <hyperlink r:id="rId3526" ref="E3540"/>
    <hyperlink r:id="rId3527" ref="E3541"/>
    <hyperlink r:id="rId3528" ref="E3542"/>
    <hyperlink r:id="rId3529" ref="E3543"/>
    <hyperlink r:id="rId3530" ref="E3544"/>
    <hyperlink r:id="rId3531" ref="E3546"/>
    <hyperlink r:id="rId3532" ref="E3547"/>
    <hyperlink r:id="rId3533" ref="E3548"/>
    <hyperlink r:id="rId3534" ref="F3548"/>
    <hyperlink r:id="rId3535" ref="E3549"/>
    <hyperlink r:id="rId3536" ref="F3549"/>
    <hyperlink r:id="rId3537" ref="E3550"/>
    <hyperlink r:id="rId3538" ref="F3550"/>
  </hyperlinks>
  <drawing r:id="rId35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8.5" customHeight="1">
      <c r="A1" s="7" t="s">
        <v>1171</v>
      </c>
      <c r="B1" s="7" t="s">
        <v>1172</v>
      </c>
      <c r="C1" s="7" t="s">
        <v>1173</v>
      </c>
      <c r="D1" s="7" t="s">
        <v>8</v>
      </c>
      <c r="E1" s="7" t="s">
        <v>1174</v>
      </c>
      <c r="F1" s="47" t="s">
        <v>1175</v>
      </c>
      <c r="G1" s="7" t="s">
        <v>1179</v>
      </c>
      <c r="H1" s="7" t="s">
        <v>1180</v>
      </c>
      <c r="I1" s="7" t="s">
        <v>1181</v>
      </c>
      <c r="J1" s="7" t="s">
        <v>15</v>
      </c>
      <c r="K1" s="7" t="s">
        <v>1182</v>
      </c>
      <c r="L1" s="7" t="s">
        <v>1183</v>
      </c>
      <c r="M1" s="7" t="s">
        <v>1184</v>
      </c>
      <c r="N1" s="7" t="s">
        <v>1185</v>
      </c>
      <c r="O1" s="7" t="s">
        <v>1186</v>
      </c>
      <c r="P1" s="7" t="s">
        <v>1187</v>
      </c>
      <c r="Q1" s="7" t="s">
        <v>1188</v>
      </c>
      <c r="R1" s="7" t="s">
        <v>1189</v>
      </c>
      <c r="S1" s="48"/>
      <c r="T1" s="48"/>
      <c r="U1" s="48"/>
      <c r="V1" s="48"/>
      <c r="W1" s="48"/>
      <c r="X1" s="48"/>
      <c r="Y1" s="48"/>
      <c r="Z1" s="48"/>
      <c r="AA1" s="48"/>
      <c r="AB1" s="48"/>
      <c r="AC1" s="48"/>
      <c r="AD1" s="48"/>
      <c r="AE1" s="48"/>
    </row>
    <row r="2" ht="22.5" customHeight="1">
      <c r="C2" s="16"/>
      <c r="F2" s="45"/>
      <c r="I2" s="16"/>
      <c r="M2" s="49"/>
    </row>
    <row r="3" ht="22.5" customHeight="1">
      <c r="C3" s="16"/>
      <c r="F3" s="45"/>
      <c r="I3" s="16"/>
      <c r="M3" s="49"/>
    </row>
    <row r="4" ht="22.5" customHeight="1">
      <c r="C4" s="16"/>
      <c r="F4" s="45"/>
      <c r="I4" s="16"/>
      <c r="M4" s="49"/>
    </row>
    <row r="5" ht="22.5" customHeight="1">
      <c r="C5" s="16"/>
      <c r="F5" s="45"/>
      <c r="I5" s="16"/>
      <c r="M5" s="49"/>
    </row>
    <row r="6" ht="22.5" customHeight="1">
      <c r="C6" s="16"/>
      <c r="F6" s="45"/>
      <c r="I6" s="16"/>
      <c r="M6" s="49"/>
    </row>
    <row r="7" ht="22.5" customHeight="1">
      <c r="C7" s="16"/>
      <c r="F7" s="45"/>
      <c r="I7" s="16"/>
      <c r="M7" s="49"/>
    </row>
    <row r="8" ht="22.5" customHeight="1">
      <c r="C8" s="16"/>
      <c r="F8" s="45"/>
      <c r="I8" s="16"/>
      <c r="M8" s="49"/>
    </row>
    <row r="9" ht="22.5" customHeight="1">
      <c r="C9" s="16"/>
      <c r="F9" s="45"/>
      <c r="I9" s="16"/>
      <c r="M9" s="49"/>
    </row>
    <row r="10" ht="22.5" customHeight="1">
      <c r="C10" s="16"/>
      <c r="F10" s="45"/>
      <c r="I10" s="16"/>
      <c r="M10" s="49"/>
    </row>
    <row r="11" ht="22.5" customHeight="1">
      <c r="C11" s="16"/>
      <c r="F11" s="45"/>
      <c r="I11" s="16"/>
      <c r="M11" s="49"/>
    </row>
    <row r="12" ht="22.5" customHeight="1">
      <c r="C12" s="16"/>
      <c r="F12" s="45"/>
      <c r="I12" s="16"/>
      <c r="M12" s="49"/>
    </row>
    <row r="13" ht="22.5" customHeight="1">
      <c r="C13" s="16"/>
      <c r="F13" s="45"/>
      <c r="I13" s="16"/>
      <c r="M13" s="49"/>
    </row>
    <row r="14" ht="22.5" customHeight="1">
      <c r="C14" s="16"/>
      <c r="F14" s="45"/>
      <c r="I14" s="16"/>
      <c r="M14" s="49"/>
    </row>
    <row r="15" ht="22.5" customHeight="1">
      <c r="C15" s="16"/>
      <c r="F15" s="45"/>
      <c r="I15" s="16"/>
      <c r="M15" s="49"/>
    </row>
    <row r="16" ht="22.5" customHeight="1">
      <c r="C16" s="16"/>
      <c r="F16" s="45"/>
      <c r="I16" s="16"/>
      <c r="M16" s="49"/>
    </row>
    <row r="17" ht="22.5" customHeight="1">
      <c r="C17" s="16"/>
      <c r="F17" s="45"/>
      <c r="I17" s="16"/>
      <c r="M17" s="49"/>
    </row>
    <row r="18" ht="22.5" customHeight="1">
      <c r="C18" s="16"/>
      <c r="F18" s="45"/>
      <c r="I18" s="16"/>
      <c r="M18" s="49"/>
    </row>
    <row r="19" ht="22.5" customHeight="1">
      <c r="C19" s="16"/>
      <c r="F19" s="45"/>
      <c r="I19" s="16"/>
      <c r="M19" s="49"/>
    </row>
    <row r="20" ht="22.5" customHeight="1">
      <c r="C20" s="16"/>
      <c r="F20" s="45"/>
      <c r="I20" s="16"/>
      <c r="M20" s="49"/>
    </row>
    <row r="21" ht="22.5" customHeight="1">
      <c r="C21" s="16"/>
      <c r="F21" s="45"/>
      <c r="I21" s="16"/>
      <c r="M21" s="49"/>
    </row>
    <row r="22" ht="22.5" customHeight="1">
      <c r="C22" s="16"/>
      <c r="F22" s="45"/>
      <c r="I22" s="16"/>
      <c r="M22" s="49"/>
    </row>
    <row r="23" ht="22.5" customHeight="1">
      <c r="C23" s="16"/>
      <c r="F23" s="45"/>
      <c r="I23" s="16"/>
      <c r="M23" s="49"/>
    </row>
    <row r="24" ht="22.5" customHeight="1">
      <c r="C24" s="16"/>
      <c r="F24" s="45"/>
      <c r="I24" s="16"/>
      <c r="M24" s="49"/>
    </row>
    <row r="25" ht="22.5" customHeight="1">
      <c r="C25" s="16"/>
      <c r="F25" s="45"/>
      <c r="I25" s="16"/>
      <c r="M25" s="49"/>
    </row>
    <row r="26" ht="22.5" customHeight="1">
      <c r="C26" s="16"/>
      <c r="F26" s="45"/>
      <c r="I26" s="16"/>
      <c r="M26" s="49"/>
    </row>
    <row r="27" ht="22.5" customHeight="1">
      <c r="C27" s="16"/>
      <c r="F27" s="45"/>
      <c r="I27" s="16"/>
      <c r="M27" s="49"/>
    </row>
    <row r="28" ht="22.5" customHeight="1">
      <c r="C28" s="16"/>
      <c r="F28" s="45"/>
      <c r="I28" s="16"/>
      <c r="M28" s="49"/>
    </row>
    <row r="29" ht="22.5" customHeight="1">
      <c r="C29" s="16"/>
      <c r="F29" s="45"/>
      <c r="I29" s="16"/>
      <c r="M29" s="49"/>
    </row>
    <row r="30" ht="22.5" customHeight="1">
      <c r="C30" s="16"/>
      <c r="F30" s="45"/>
      <c r="I30" s="16"/>
      <c r="M30" s="49"/>
    </row>
    <row r="31" ht="22.5" customHeight="1">
      <c r="C31" s="16"/>
      <c r="F31" s="45"/>
      <c r="I31" s="16"/>
      <c r="M31" s="49"/>
    </row>
    <row r="32" ht="22.5" customHeight="1">
      <c r="C32" s="16"/>
      <c r="F32" s="45"/>
      <c r="I32" s="16"/>
      <c r="M32" s="49"/>
    </row>
    <row r="33" ht="22.5" customHeight="1">
      <c r="C33" s="16"/>
      <c r="F33" s="45"/>
      <c r="I33" s="16"/>
      <c r="M33" s="49"/>
    </row>
    <row r="34" ht="22.5" customHeight="1">
      <c r="C34" s="16"/>
      <c r="F34" s="45"/>
      <c r="I34" s="16"/>
      <c r="M34" s="49"/>
    </row>
    <row r="35" ht="22.5" customHeight="1">
      <c r="C35" s="16"/>
      <c r="F35" s="45"/>
      <c r="I35" s="16"/>
      <c r="M35" s="49"/>
    </row>
    <row r="36" ht="22.5" customHeight="1">
      <c r="C36" s="16"/>
      <c r="F36" s="45"/>
      <c r="I36" s="16"/>
      <c r="M36" s="49"/>
    </row>
    <row r="37" ht="22.5" customHeight="1">
      <c r="C37" s="16"/>
      <c r="F37" s="45"/>
      <c r="I37" s="16"/>
      <c r="M37" s="49"/>
    </row>
    <row r="38" ht="22.5" customHeight="1">
      <c r="C38" s="16"/>
      <c r="F38" s="45"/>
      <c r="I38" s="16"/>
      <c r="M38" s="49"/>
    </row>
    <row r="39" ht="22.5" customHeight="1">
      <c r="C39" s="16"/>
      <c r="F39" s="45"/>
      <c r="I39" s="16"/>
      <c r="M39" s="49"/>
    </row>
    <row r="40" ht="22.5" customHeight="1">
      <c r="C40" s="16"/>
      <c r="F40" s="45"/>
      <c r="I40" s="16"/>
      <c r="M40" s="49"/>
    </row>
    <row r="41" ht="22.5" customHeight="1">
      <c r="C41" s="16"/>
      <c r="F41" s="45"/>
      <c r="I41" s="16"/>
      <c r="M41" s="49"/>
    </row>
    <row r="42" ht="22.5" customHeight="1">
      <c r="C42" s="16"/>
      <c r="F42" s="45"/>
      <c r="I42" s="16"/>
      <c r="M42" s="49"/>
    </row>
    <row r="43" ht="22.5" customHeight="1">
      <c r="C43" s="16"/>
      <c r="F43" s="45"/>
      <c r="I43" s="16"/>
      <c r="M43" s="49"/>
    </row>
    <row r="44" ht="22.5" customHeight="1">
      <c r="C44" s="16"/>
      <c r="F44" s="45"/>
      <c r="I44" s="16"/>
      <c r="M44" s="49"/>
    </row>
    <row r="45" ht="22.5" customHeight="1">
      <c r="C45" s="16"/>
      <c r="F45" s="45"/>
      <c r="I45" s="16"/>
      <c r="M45" s="49"/>
    </row>
    <row r="46" ht="22.5" customHeight="1">
      <c r="C46" s="16"/>
      <c r="F46" s="45"/>
      <c r="I46" s="16"/>
      <c r="M46" s="49"/>
    </row>
    <row r="47" ht="22.5" customHeight="1">
      <c r="C47" s="16"/>
      <c r="F47" s="45"/>
      <c r="I47" s="16"/>
      <c r="M47" s="49"/>
    </row>
    <row r="48" ht="22.5" customHeight="1">
      <c r="C48" s="16"/>
      <c r="F48" s="45"/>
      <c r="I48" s="16"/>
      <c r="M48" s="49"/>
    </row>
    <row r="49" ht="22.5" customHeight="1">
      <c r="C49" s="16"/>
      <c r="F49" s="45"/>
      <c r="I49" s="16"/>
      <c r="M49" s="49"/>
    </row>
    <row r="50" ht="22.5" customHeight="1">
      <c r="C50" s="16"/>
      <c r="F50" s="45"/>
      <c r="I50" s="16"/>
      <c r="M50" s="49"/>
    </row>
    <row r="51" ht="22.5" customHeight="1">
      <c r="C51" s="16"/>
      <c r="F51" s="45"/>
      <c r="I51" s="16"/>
      <c r="M51" s="49"/>
    </row>
    <row r="52" ht="22.5" customHeight="1">
      <c r="C52" s="16"/>
      <c r="F52" s="45"/>
      <c r="I52" s="16"/>
      <c r="M52" s="49"/>
    </row>
    <row r="53" ht="22.5" customHeight="1">
      <c r="C53" s="16"/>
      <c r="F53" s="45"/>
      <c r="I53" s="16"/>
      <c r="M53" s="49"/>
    </row>
    <row r="54" ht="22.5" customHeight="1">
      <c r="C54" s="16"/>
      <c r="F54" s="45"/>
      <c r="I54" s="16"/>
      <c r="M54" s="49"/>
    </row>
    <row r="55" ht="22.5" customHeight="1">
      <c r="C55" s="16"/>
      <c r="F55" s="45"/>
      <c r="I55" s="16"/>
      <c r="M55" s="49"/>
    </row>
    <row r="56" ht="22.5" customHeight="1">
      <c r="C56" s="16"/>
      <c r="F56" s="45"/>
      <c r="I56" s="16"/>
      <c r="M56" s="49"/>
    </row>
    <row r="57" ht="22.5" customHeight="1">
      <c r="C57" s="16"/>
      <c r="F57" s="45"/>
      <c r="I57" s="16"/>
      <c r="M57" s="49"/>
    </row>
    <row r="58" ht="22.5" customHeight="1">
      <c r="C58" s="16"/>
      <c r="F58" s="45"/>
      <c r="I58" s="16"/>
      <c r="M58" s="49"/>
    </row>
    <row r="59" ht="22.5" customHeight="1">
      <c r="C59" s="16"/>
      <c r="F59" s="45"/>
      <c r="I59" s="16"/>
      <c r="M59" s="49"/>
    </row>
    <row r="60" ht="22.5" customHeight="1">
      <c r="C60" s="16"/>
      <c r="F60" s="45"/>
      <c r="I60" s="16"/>
      <c r="M60" s="49"/>
    </row>
    <row r="61" ht="22.5" customHeight="1">
      <c r="C61" s="16"/>
      <c r="F61" s="45"/>
      <c r="I61" s="16"/>
      <c r="M61" s="49"/>
    </row>
    <row r="62" ht="22.5" customHeight="1">
      <c r="C62" s="16"/>
      <c r="F62" s="45"/>
      <c r="I62" s="16"/>
      <c r="M62" s="49"/>
    </row>
    <row r="63" ht="22.5" customHeight="1">
      <c r="C63" s="16"/>
      <c r="F63" s="45"/>
      <c r="I63" s="16"/>
      <c r="M63" s="49"/>
    </row>
    <row r="64" ht="22.5" customHeight="1">
      <c r="C64" s="16"/>
      <c r="F64" s="45"/>
      <c r="I64" s="16"/>
      <c r="M64" s="49"/>
    </row>
    <row r="65" ht="22.5" customHeight="1">
      <c r="C65" s="16"/>
      <c r="F65" s="45"/>
      <c r="I65" s="16"/>
      <c r="M65" s="49"/>
    </row>
    <row r="66" ht="22.5" customHeight="1">
      <c r="C66" s="16"/>
      <c r="F66" s="45"/>
      <c r="I66" s="16"/>
      <c r="M66" s="49"/>
    </row>
    <row r="67" ht="22.5" customHeight="1">
      <c r="C67" s="16"/>
      <c r="F67" s="45"/>
      <c r="I67" s="16"/>
      <c r="M67" s="49"/>
    </row>
    <row r="68" ht="22.5" customHeight="1">
      <c r="C68" s="16"/>
      <c r="F68" s="45"/>
      <c r="I68" s="16"/>
      <c r="M68" s="49"/>
    </row>
    <row r="69" ht="22.5" customHeight="1">
      <c r="C69" s="16"/>
      <c r="F69" s="45"/>
      <c r="I69" s="16"/>
      <c r="M69" s="49"/>
    </row>
    <row r="70" ht="22.5" customHeight="1">
      <c r="C70" s="16"/>
      <c r="F70" s="45"/>
      <c r="I70" s="16"/>
      <c r="M70" s="49"/>
    </row>
    <row r="71" ht="22.5" customHeight="1">
      <c r="C71" s="16"/>
      <c r="F71" s="45"/>
      <c r="I71" s="16"/>
      <c r="M71" s="49"/>
    </row>
    <row r="72" ht="22.5" customHeight="1">
      <c r="C72" s="16"/>
      <c r="F72" s="45"/>
      <c r="I72" s="16"/>
      <c r="M72" s="49"/>
    </row>
    <row r="73" ht="22.5" customHeight="1">
      <c r="C73" s="16"/>
      <c r="F73" s="45"/>
      <c r="I73" s="16"/>
      <c r="M73" s="49"/>
    </row>
    <row r="74" ht="22.5" customHeight="1">
      <c r="C74" s="16"/>
      <c r="F74" s="45"/>
      <c r="I74" s="16"/>
      <c r="M74" s="49"/>
    </row>
    <row r="75" ht="22.5" customHeight="1">
      <c r="C75" s="16"/>
      <c r="F75" s="45"/>
      <c r="I75" s="16"/>
      <c r="M75" s="49"/>
    </row>
    <row r="76" ht="22.5" customHeight="1">
      <c r="C76" s="16"/>
      <c r="F76" s="45"/>
      <c r="I76" s="16"/>
      <c r="M76" s="49"/>
    </row>
    <row r="77" ht="22.5" customHeight="1">
      <c r="C77" s="16"/>
      <c r="F77" s="45"/>
      <c r="I77" s="16"/>
      <c r="M77" s="49"/>
    </row>
    <row r="78" ht="22.5" customHeight="1">
      <c r="C78" s="16"/>
      <c r="F78" s="45"/>
      <c r="I78" s="16"/>
      <c r="M78" s="49"/>
    </row>
    <row r="79" ht="22.5" customHeight="1">
      <c r="C79" s="16"/>
      <c r="F79" s="45"/>
      <c r="I79" s="16"/>
      <c r="M79" s="49"/>
    </row>
    <row r="80" ht="22.5" customHeight="1">
      <c r="C80" s="16"/>
      <c r="F80" s="45"/>
      <c r="I80" s="16"/>
      <c r="M80" s="49"/>
    </row>
    <row r="81" ht="22.5" customHeight="1">
      <c r="C81" s="16"/>
      <c r="F81" s="45"/>
      <c r="I81" s="16"/>
      <c r="M81" s="49"/>
    </row>
    <row r="82" ht="22.5" customHeight="1">
      <c r="C82" s="16"/>
      <c r="F82" s="45"/>
      <c r="I82" s="16"/>
      <c r="M82" s="49"/>
    </row>
    <row r="83" ht="22.5" customHeight="1">
      <c r="C83" s="16"/>
      <c r="F83" s="45"/>
      <c r="I83" s="16"/>
      <c r="M83" s="49"/>
    </row>
    <row r="84" ht="22.5" customHeight="1">
      <c r="C84" s="16"/>
      <c r="F84" s="45"/>
      <c r="I84" s="16"/>
      <c r="M84" s="49"/>
    </row>
    <row r="85" ht="22.5" customHeight="1">
      <c r="C85" s="16"/>
      <c r="F85" s="45"/>
      <c r="I85" s="16"/>
      <c r="M85" s="49"/>
    </row>
    <row r="86" ht="22.5" customHeight="1">
      <c r="C86" s="16"/>
      <c r="F86" s="45"/>
      <c r="I86" s="16"/>
      <c r="M86" s="49"/>
    </row>
    <row r="87" ht="22.5" customHeight="1">
      <c r="C87" s="16"/>
      <c r="F87" s="45"/>
      <c r="I87" s="16"/>
      <c r="M87" s="49"/>
    </row>
    <row r="88" ht="22.5" customHeight="1">
      <c r="C88" s="16"/>
      <c r="F88" s="45"/>
      <c r="I88" s="16"/>
      <c r="M88" s="49"/>
    </row>
    <row r="89" ht="22.5" customHeight="1">
      <c r="C89" s="16"/>
      <c r="F89" s="45"/>
      <c r="I89" s="16"/>
      <c r="M89" s="49"/>
    </row>
    <row r="90" ht="22.5" customHeight="1">
      <c r="C90" s="16"/>
      <c r="F90" s="45"/>
      <c r="I90" s="16"/>
      <c r="M90" s="49"/>
    </row>
    <row r="91" ht="22.5" customHeight="1">
      <c r="C91" s="16"/>
      <c r="F91" s="45"/>
      <c r="I91" s="16"/>
      <c r="M91" s="49"/>
    </row>
    <row r="92" ht="22.5" customHeight="1">
      <c r="C92" s="16"/>
      <c r="F92" s="45"/>
      <c r="I92" s="16"/>
      <c r="M92" s="49"/>
    </row>
    <row r="93" ht="22.5" customHeight="1">
      <c r="C93" s="16"/>
      <c r="F93" s="45"/>
      <c r="I93" s="16"/>
      <c r="M93" s="49"/>
    </row>
    <row r="94" ht="22.5" customHeight="1">
      <c r="C94" s="16"/>
      <c r="F94" s="45"/>
      <c r="I94" s="16"/>
      <c r="M94" s="49"/>
    </row>
    <row r="95" ht="22.5" customHeight="1">
      <c r="C95" s="16"/>
      <c r="F95" s="45"/>
      <c r="I95" s="16"/>
      <c r="M95" s="49"/>
    </row>
    <row r="96" ht="22.5" customHeight="1">
      <c r="C96" s="16"/>
      <c r="F96" s="45"/>
      <c r="I96" s="16"/>
      <c r="M96" s="49"/>
    </row>
    <row r="97" ht="22.5" customHeight="1">
      <c r="C97" s="16"/>
      <c r="F97" s="45"/>
      <c r="I97" s="16"/>
      <c r="M97" s="49"/>
    </row>
    <row r="98" ht="22.5" customHeight="1">
      <c r="C98" s="16"/>
      <c r="F98" s="45"/>
      <c r="I98" s="16"/>
      <c r="M98" s="49"/>
    </row>
    <row r="99" ht="22.5" customHeight="1">
      <c r="C99" s="16"/>
      <c r="F99" s="45"/>
      <c r="I99" s="16"/>
      <c r="M99" s="49"/>
    </row>
    <row r="100" ht="22.5" customHeight="1">
      <c r="C100" s="16"/>
      <c r="F100" s="45"/>
      <c r="I100" s="16"/>
      <c r="M100" s="49"/>
    </row>
    <row r="101" ht="22.5" customHeight="1">
      <c r="C101" s="16"/>
      <c r="F101" s="45"/>
      <c r="I101" s="16"/>
      <c r="M101" s="49"/>
    </row>
    <row r="102" ht="22.5" customHeight="1">
      <c r="C102" s="16"/>
      <c r="F102" s="45"/>
      <c r="I102" s="16"/>
      <c r="M102" s="49"/>
    </row>
    <row r="103" ht="22.5" customHeight="1">
      <c r="C103" s="16"/>
      <c r="F103" s="45"/>
      <c r="I103" s="16"/>
      <c r="M103" s="49"/>
    </row>
    <row r="104" ht="22.5" customHeight="1">
      <c r="C104" s="16"/>
      <c r="F104" s="45"/>
      <c r="I104" s="16"/>
      <c r="M104" s="49"/>
    </row>
    <row r="105" ht="22.5" customHeight="1">
      <c r="C105" s="16"/>
      <c r="F105" s="45"/>
      <c r="I105" s="16"/>
      <c r="M105" s="49"/>
    </row>
    <row r="106" ht="22.5" customHeight="1">
      <c r="C106" s="16"/>
      <c r="F106" s="45"/>
      <c r="I106" s="16"/>
      <c r="M106" s="49"/>
    </row>
    <row r="107" ht="22.5" customHeight="1">
      <c r="C107" s="16"/>
      <c r="F107" s="45"/>
      <c r="I107" s="16"/>
      <c r="M107" s="49"/>
    </row>
    <row r="108" ht="22.5" customHeight="1">
      <c r="C108" s="16"/>
      <c r="F108" s="45"/>
      <c r="I108" s="16"/>
      <c r="M108" s="49"/>
    </row>
    <row r="109" ht="22.5" customHeight="1">
      <c r="C109" s="16"/>
      <c r="F109" s="45"/>
      <c r="I109" s="16"/>
      <c r="M109" s="49"/>
    </row>
    <row r="110" ht="22.5" customHeight="1">
      <c r="C110" s="16"/>
      <c r="F110" s="45"/>
      <c r="I110" s="16"/>
      <c r="M110" s="49"/>
    </row>
    <row r="111" ht="22.5" customHeight="1">
      <c r="C111" s="16"/>
      <c r="F111" s="45"/>
      <c r="I111" s="16"/>
      <c r="M111" s="49"/>
    </row>
    <row r="112" ht="22.5" customHeight="1">
      <c r="C112" s="16"/>
      <c r="F112" s="45"/>
      <c r="I112" s="16"/>
      <c r="M112" s="49"/>
    </row>
    <row r="113" ht="22.5" customHeight="1">
      <c r="C113" s="16"/>
      <c r="F113" s="45"/>
      <c r="I113" s="16"/>
      <c r="M113" s="49"/>
    </row>
    <row r="114" ht="22.5" customHeight="1">
      <c r="C114" s="16"/>
      <c r="F114" s="45"/>
      <c r="I114" s="16"/>
      <c r="M114" s="49"/>
    </row>
    <row r="115" ht="22.5" customHeight="1">
      <c r="C115" s="16"/>
      <c r="F115" s="45"/>
      <c r="I115" s="16"/>
      <c r="M115" s="49"/>
    </row>
    <row r="116" ht="22.5" customHeight="1">
      <c r="C116" s="16"/>
      <c r="F116" s="45"/>
      <c r="I116" s="16"/>
      <c r="M116" s="49"/>
    </row>
    <row r="117" ht="22.5" customHeight="1">
      <c r="C117" s="16"/>
      <c r="F117" s="45"/>
      <c r="I117" s="16"/>
      <c r="M117" s="49"/>
    </row>
    <row r="118" ht="22.5" customHeight="1">
      <c r="C118" s="16"/>
      <c r="F118" s="45"/>
      <c r="I118" s="16"/>
      <c r="M118" s="49"/>
    </row>
    <row r="119" ht="22.5" customHeight="1">
      <c r="C119" s="16"/>
      <c r="F119" s="45"/>
      <c r="I119" s="16"/>
      <c r="M119" s="49"/>
    </row>
    <row r="120" ht="22.5" customHeight="1">
      <c r="C120" s="16"/>
      <c r="F120" s="45"/>
      <c r="I120" s="16"/>
      <c r="M120" s="49"/>
    </row>
    <row r="121" ht="22.5" customHeight="1">
      <c r="C121" s="16"/>
      <c r="F121" s="45"/>
      <c r="I121" s="16"/>
      <c r="M121" s="49"/>
    </row>
    <row r="122" ht="22.5" customHeight="1">
      <c r="C122" s="16"/>
      <c r="F122" s="45"/>
      <c r="I122" s="16"/>
      <c r="M122" s="49"/>
    </row>
    <row r="123" ht="22.5" customHeight="1">
      <c r="C123" s="16"/>
      <c r="F123" s="45"/>
      <c r="I123" s="16"/>
      <c r="M123" s="49"/>
    </row>
    <row r="124" ht="22.5" customHeight="1">
      <c r="C124" s="16"/>
      <c r="F124" s="45"/>
      <c r="I124" s="16"/>
      <c r="M124" s="49"/>
    </row>
    <row r="125" ht="22.5" customHeight="1">
      <c r="C125" s="16"/>
      <c r="F125" s="45"/>
      <c r="I125" s="16"/>
      <c r="M125" s="49"/>
    </row>
    <row r="126" ht="22.5" customHeight="1">
      <c r="C126" s="16"/>
      <c r="F126" s="45"/>
      <c r="I126" s="16"/>
      <c r="M126" s="49"/>
    </row>
    <row r="127" ht="22.5" customHeight="1">
      <c r="C127" s="16"/>
      <c r="F127" s="45"/>
      <c r="I127" s="16"/>
      <c r="M127" s="49"/>
    </row>
    <row r="128" ht="22.5" customHeight="1">
      <c r="C128" s="16"/>
      <c r="F128" s="45"/>
      <c r="I128" s="16"/>
      <c r="M128" s="49"/>
    </row>
    <row r="129" ht="22.5" customHeight="1">
      <c r="C129" s="16"/>
      <c r="F129" s="45"/>
      <c r="I129" s="16"/>
      <c r="M129" s="49"/>
    </row>
    <row r="130" ht="22.5" customHeight="1">
      <c r="C130" s="16"/>
      <c r="F130" s="45"/>
      <c r="I130" s="16"/>
      <c r="M130" s="49"/>
    </row>
    <row r="131" ht="22.5" customHeight="1">
      <c r="C131" s="16"/>
      <c r="F131" s="45"/>
      <c r="I131" s="16"/>
      <c r="M131" s="49"/>
    </row>
    <row r="132" ht="22.5" customHeight="1">
      <c r="C132" s="16"/>
      <c r="F132" s="45"/>
      <c r="I132" s="16"/>
      <c r="M132" s="49"/>
    </row>
    <row r="133" ht="22.5" customHeight="1">
      <c r="C133" s="16"/>
      <c r="F133" s="45"/>
      <c r="I133" s="16"/>
      <c r="M133" s="49"/>
    </row>
    <row r="134" ht="22.5" customHeight="1">
      <c r="C134" s="16"/>
      <c r="F134" s="45"/>
      <c r="I134" s="16"/>
      <c r="M134" s="49"/>
    </row>
    <row r="135" ht="22.5" customHeight="1">
      <c r="C135" s="16"/>
      <c r="F135" s="45"/>
      <c r="I135" s="16"/>
      <c r="M135" s="49"/>
    </row>
    <row r="136" ht="22.5" customHeight="1">
      <c r="C136" s="16"/>
      <c r="F136" s="45"/>
      <c r="I136" s="16"/>
      <c r="M136" s="49"/>
    </row>
    <row r="137" ht="22.5" customHeight="1">
      <c r="C137" s="16"/>
      <c r="F137" s="45"/>
      <c r="I137" s="16"/>
      <c r="M137" s="49"/>
    </row>
    <row r="138" ht="22.5" customHeight="1">
      <c r="C138" s="16"/>
      <c r="F138" s="45"/>
      <c r="I138" s="16"/>
      <c r="M138" s="49"/>
    </row>
    <row r="139" ht="22.5" customHeight="1">
      <c r="C139" s="16"/>
      <c r="F139" s="45"/>
      <c r="I139" s="16"/>
      <c r="M139" s="49"/>
    </row>
    <row r="140" ht="22.5" customHeight="1">
      <c r="C140" s="16"/>
      <c r="F140" s="45"/>
      <c r="I140" s="16"/>
      <c r="M140" s="49"/>
    </row>
    <row r="141" ht="22.5" customHeight="1">
      <c r="C141" s="16"/>
      <c r="F141" s="45"/>
      <c r="I141" s="16"/>
      <c r="M141" s="49"/>
    </row>
    <row r="142" ht="22.5" customHeight="1">
      <c r="C142" s="16"/>
      <c r="F142" s="45"/>
      <c r="I142" s="16"/>
      <c r="M142" s="49"/>
    </row>
    <row r="143" ht="22.5" customHeight="1">
      <c r="C143" s="16"/>
      <c r="F143" s="45"/>
      <c r="I143" s="16"/>
      <c r="M143" s="49"/>
    </row>
    <row r="144" ht="22.5" customHeight="1">
      <c r="C144" s="16"/>
      <c r="F144" s="45"/>
      <c r="I144" s="16"/>
      <c r="M144" s="49"/>
    </row>
    <row r="145" ht="22.5" customHeight="1">
      <c r="C145" s="16"/>
      <c r="F145" s="45"/>
      <c r="I145" s="16"/>
      <c r="M145" s="49"/>
    </row>
    <row r="146" ht="22.5" customHeight="1">
      <c r="C146" s="16"/>
      <c r="F146" s="45"/>
      <c r="I146" s="16"/>
      <c r="M146" s="49"/>
    </row>
    <row r="147" ht="22.5" customHeight="1">
      <c r="C147" s="16"/>
      <c r="F147" s="45"/>
      <c r="I147" s="16"/>
      <c r="M147" s="49"/>
    </row>
    <row r="148" ht="22.5" customHeight="1">
      <c r="C148" s="16"/>
      <c r="F148" s="45"/>
      <c r="I148" s="16"/>
      <c r="M148" s="49"/>
    </row>
    <row r="149" ht="22.5" customHeight="1">
      <c r="C149" s="16"/>
      <c r="F149" s="45"/>
      <c r="I149" s="16"/>
      <c r="M149" s="49"/>
    </row>
    <row r="150" ht="22.5" customHeight="1">
      <c r="C150" s="16"/>
      <c r="F150" s="45"/>
      <c r="I150" s="16"/>
      <c r="M150" s="49"/>
    </row>
    <row r="151" ht="22.5" customHeight="1">
      <c r="C151" s="16"/>
      <c r="F151" s="45"/>
      <c r="I151" s="16"/>
      <c r="M151" s="49"/>
    </row>
    <row r="152" ht="22.5" customHeight="1">
      <c r="C152" s="16"/>
      <c r="F152" s="45"/>
      <c r="I152" s="16"/>
      <c r="M152" s="49"/>
    </row>
    <row r="153" ht="22.5" customHeight="1">
      <c r="C153" s="16"/>
      <c r="F153" s="45"/>
      <c r="I153" s="16"/>
      <c r="M153" s="49"/>
    </row>
    <row r="154" ht="22.5" customHeight="1">
      <c r="C154" s="16"/>
      <c r="F154" s="45"/>
      <c r="I154" s="16"/>
      <c r="M154" s="49"/>
    </row>
    <row r="155" ht="22.5" customHeight="1">
      <c r="C155" s="16"/>
      <c r="F155" s="45"/>
      <c r="I155" s="16"/>
      <c r="M155" s="49"/>
    </row>
    <row r="156" ht="22.5" customHeight="1">
      <c r="C156" s="16"/>
      <c r="F156" s="45"/>
      <c r="I156" s="16"/>
      <c r="M156" s="49"/>
    </row>
    <row r="157" ht="22.5" customHeight="1">
      <c r="C157" s="16"/>
      <c r="F157" s="45"/>
      <c r="I157" s="16"/>
      <c r="M157" s="49"/>
    </row>
    <row r="158" ht="22.5" customHeight="1">
      <c r="C158" s="16"/>
      <c r="F158" s="45"/>
      <c r="I158" s="16"/>
      <c r="M158" s="49"/>
    </row>
    <row r="159" ht="22.5" customHeight="1">
      <c r="C159" s="16"/>
      <c r="F159" s="45"/>
      <c r="I159" s="16"/>
      <c r="M159" s="49"/>
    </row>
    <row r="160" ht="22.5" customHeight="1">
      <c r="C160" s="16"/>
      <c r="F160" s="45"/>
      <c r="I160" s="16"/>
      <c r="M160" s="49"/>
    </row>
    <row r="161" ht="22.5" customHeight="1">
      <c r="C161" s="16"/>
      <c r="F161" s="45"/>
      <c r="I161" s="16"/>
      <c r="M161" s="49"/>
    </row>
    <row r="162" ht="22.5" customHeight="1">
      <c r="C162" s="16"/>
      <c r="F162" s="45"/>
      <c r="I162" s="16"/>
      <c r="M162" s="49"/>
    </row>
    <row r="163" ht="22.5" customHeight="1">
      <c r="C163" s="16"/>
      <c r="F163" s="45"/>
      <c r="I163" s="16"/>
      <c r="M163" s="49"/>
    </row>
    <row r="164" ht="22.5" customHeight="1">
      <c r="C164" s="16"/>
      <c r="F164" s="45"/>
      <c r="I164" s="16"/>
      <c r="M164" s="49"/>
    </row>
    <row r="165" ht="22.5" customHeight="1">
      <c r="C165" s="16"/>
      <c r="F165" s="45"/>
      <c r="I165" s="16"/>
      <c r="M165" s="49"/>
    </row>
    <row r="166" ht="22.5" customHeight="1">
      <c r="C166" s="16"/>
      <c r="F166" s="45"/>
      <c r="I166" s="16"/>
      <c r="M166" s="49"/>
    </row>
    <row r="167" ht="22.5" customHeight="1">
      <c r="C167" s="16"/>
      <c r="F167" s="45"/>
      <c r="I167" s="16"/>
      <c r="M167" s="49"/>
    </row>
    <row r="168" ht="22.5" customHeight="1">
      <c r="C168" s="16"/>
      <c r="F168" s="45"/>
      <c r="I168" s="16"/>
      <c r="M168" s="49"/>
    </row>
    <row r="169" ht="22.5" customHeight="1">
      <c r="C169" s="16"/>
      <c r="F169" s="45"/>
      <c r="I169" s="16"/>
      <c r="M169" s="49"/>
    </row>
    <row r="170" ht="22.5" customHeight="1">
      <c r="C170" s="16"/>
      <c r="F170" s="45"/>
      <c r="I170" s="16"/>
      <c r="M170" s="49"/>
    </row>
    <row r="171" ht="22.5" customHeight="1">
      <c r="C171" s="16"/>
      <c r="F171" s="45"/>
      <c r="I171" s="16"/>
      <c r="M171" s="49"/>
    </row>
    <row r="172" ht="22.5" customHeight="1">
      <c r="C172" s="16"/>
      <c r="F172" s="45"/>
      <c r="I172" s="16"/>
      <c r="M172" s="49"/>
    </row>
    <row r="173" ht="22.5" customHeight="1">
      <c r="C173" s="16"/>
      <c r="F173" s="45"/>
      <c r="I173" s="16"/>
      <c r="M173" s="49"/>
    </row>
    <row r="174" ht="22.5" customHeight="1">
      <c r="C174" s="16"/>
      <c r="F174" s="45"/>
      <c r="I174" s="16"/>
      <c r="M174" s="49"/>
    </row>
    <row r="175" ht="22.5" customHeight="1">
      <c r="C175" s="16"/>
      <c r="F175" s="45"/>
      <c r="I175" s="16"/>
      <c r="M175" s="49"/>
    </row>
    <row r="176" ht="22.5" customHeight="1">
      <c r="C176" s="16"/>
      <c r="F176" s="45"/>
      <c r="I176" s="16"/>
      <c r="M176" s="49"/>
    </row>
    <row r="177" ht="22.5" customHeight="1">
      <c r="C177" s="16"/>
      <c r="F177" s="45"/>
      <c r="I177" s="16"/>
      <c r="M177" s="49"/>
    </row>
    <row r="178" ht="22.5" customHeight="1">
      <c r="C178" s="16"/>
      <c r="F178" s="45"/>
      <c r="I178" s="16"/>
      <c r="M178" s="49"/>
    </row>
    <row r="179" ht="22.5" customHeight="1">
      <c r="C179" s="16"/>
      <c r="F179" s="45"/>
      <c r="I179" s="16"/>
      <c r="M179" s="49"/>
    </row>
    <row r="180" ht="22.5" customHeight="1">
      <c r="C180" s="16"/>
      <c r="F180" s="45"/>
      <c r="I180" s="16"/>
      <c r="M180" s="49"/>
    </row>
    <row r="181" ht="22.5" customHeight="1">
      <c r="C181" s="16"/>
      <c r="F181" s="45"/>
      <c r="I181" s="16"/>
      <c r="M181" s="49"/>
    </row>
    <row r="182" ht="22.5" customHeight="1">
      <c r="C182" s="16"/>
      <c r="F182" s="45"/>
      <c r="I182" s="16"/>
      <c r="M182" s="49"/>
    </row>
    <row r="183" ht="22.5" customHeight="1">
      <c r="C183" s="16"/>
      <c r="F183" s="45"/>
      <c r="I183" s="16"/>
      <c r="M183" s="49"/>
    </row>
    <row r="184" ht="22.5" customHeight="1">
      <c r="C184" s="16"/>
      <c r="F184" s="45"/>
      <c r="I184" s="16"/>
      <c r="M184" s="49"/>
    </row>
    <row r="185" ht="22.5" customHeight="1">
      <c r="C185" s="16"/>
      <c r="F185" s="45"/>
      <c r="I185" s="16"/>
      <c r="M185" s="49"/>
    </row>
    <row r="186" ht="22.5" customHeight="1">
      <c r="C186" s="16"/>
      <c r="F186" s="45"/>
      <c r="I186" s="16"/>
      <c r="M186" s="49"/>
    </row>
    <row r="187" ht="22.5" customHeight="1">
      <c r="C187" s="16"/>
      <c r="F187" s="45"/>
      <c r="I187" s="16"/>
      <c r="M187" s="49"/>
    </row>
    <row r="188" ht="22.5" customHeight="1">
      <c r="C188" s="16"/>
      <c r="F188" s="45"/>
      <c r="I188" s="16"/>
      <c r="M188" s="49"/>
    </row>
    <row r="189" ht="22.5" customHeight="1">
      <c r="C189" s="16"/>
      <c r="F189" s="45"/>
      <c r="I189" s="16"/>
      <c r="M189" s="49"/>
    </row>
    <row r="190" ht="22.5" customHeight="1">
      <c r="C190" s="16"/>
      <c r="F190" s="45"/>
      <c r="I190" s="16"/>
      <c r="M190" s="49"/>
    </row>
    <row r="191" ht="22.5" customHeight="1">
      <c r="C191" s="16"/>
      <c r="F191" s="45"/>
      <c r="I191" s="16"/>
      <c r="M191" s="49"/>
    </row>
    <row r="192" ht="22.5" customHeight="1">
      <c r="C192" s="16"/>
      <c r="F192" s="45"/>
      <c r="I192" s="16"/>
      <c r="M192" s="49"/>
    </row>
    <row r="193" ht="22.5" customHeight="1">
      <c r="C193" s="16"/>
      <c r="F193" s="45"/>
      <c r="I193" s="16"/>
      <c r="M193" s="49"/>
    </row>
    <row r="194" ht="22.5" customHeight="1">
      <c r="C194" s="16"/>
      <c r="F194" s="45"/>
      <c r="I194" s="16"/>
      <c r="M194" s="49"/>
    </row>
    <row r="195" ht="22.5" customHeight="1">
      <c r="C195" s="16"/>
      <c r="F195" s="45"/>
      <c r="I195" s="16"/>
      <c r="M195" s="49"/>
    </row>
    <row r="196" ht="22.5" customHeight="1">
      <c r="C196" s="16"/>
      <c r="F196" s="45"/>
      <c r="I196" s="16"/>
      <c r="M196" s="49"/>
    </row>
    <row r="197" ht="22.5" customHeight="1">
      <c r="C197" s="16"/>
      <c r="F197" s="45"/>
      <c r="I197" s="16"/>
      <c r="M197" s="49"/>
    </row>
    <row r="198" ht="22.5" customHeight="1">
      <c r="C198" s="16"/>
      <c r="F198" s="45"/>
      <c r="I198" s="16"/>
      <c r="M198" s="49"/>
    </row>
    <row r="199" ht="22.5" customHeight="1">
      <c r="C199" s="16"/>
      <c r="F199" s="45"/>
      <c r="I199" s="16"/>
      <c r="M199" s="49"/>
    </row>
    <row r="200" ht="22.5" customHeight="1">
      <c r="C200" s="16"/>
      <c r="F200" s="45"/>
      <c r="I200" s="16"/>
      <c r="M200" s="49"/>
    </row>
    <row r="201" ht="22.5" customHeight="1">
      <c r="C201" s="16"/>
      <c r="F201" s="45"/>
      <c r="I201" s="16"/>
      <c r="M201" s="49"/>
    </row>
    <row r="202" ht="22.5" customHeight="1">
      <c r="C202" s="16"/>
      <c r="F202" s="45"/>
      <c r="I202" s="16"/>
      <c r="M202" s="49"/>
    </row>
    <row r="203" ht="22.5" customHeight="1">
      <c r="C203" s="16"/>
      <c r="F203" s="45"/>
      <c r="I203" s="16"/>
      <c r="M203" s="49"/>
    </row>
    <row r="204" ht="22.5" customHeight="1">
      <c r="C204" s="16"/>
      <c r="F204" s="45"/>
      <c r="I204" s="16"/>
      <c r="M204" s="49"/>
    </row>
    <row r="205" ht="22.5" customHeight="1">
      <c r="C205" s="16"/>
      <c r="F205" s="45"/>
      <c r="I205" s="16"/>
      <c r="M205" s="49"/>
    </row>
    <row r="206" ht="22.5" customHeight="1">
      <c r="C206" s="16"/>
      <c r="F206" s="45"/>
      <c r="I206" s="16"/>
      <c r="M206" s="49"/>
    </row>
    <row r="207" ht="22.5" customHeight="1">
      <c r="C207" s="16"/>
      <c r="F207" s="45"/>
      <c r="I207" s="16"/>
      <c r="M207" s="49"/>
    </row>
    <row r="208" ht="22.5" customHeight="1">
      <c r="C208" s="16"/>
      <c r="F208" s="45"/>
      <c r="I208" s="16"/>
      <c r="M208" s="49"/>
    </row>
    <row r="209" ht="22.5" customHeight="1">
      <c r="C209" s="16"/>
      <c r="F209" s="45"/>
      <c r="I209" s="16"/>
      <c r="M209" s="49"/>
    </row>
    <row r="210" ht="22.5" customHeight="1">
      <c r="C210" s="16"/>
      <c r="F210" s="45"/>
      <c r="I210" s="16"/>
      <c r="M210" s="49"/>
    </row>
    <row r="211" ht="22.5" customHeight="1">
      <c r="C211" s="16"/>
      <c r="F211" s="45"/>
      <c r="I211" s="16"/>
      <c r="M211" s="49"/>
    </row>
    <row r="212" ht="22.5" customHeight="1">
      <c r="C212" s="16"/>
      <c r="F212" s="45"/>
      <c r="I212" s="16"/>
      <c r="M212" s="49"/>
    </row>
    <row r="213" ht="22.5" customHeight="1">
      <c r="C213" s="16"/>
      <c r="F213" s="45"/>
      <c r="I213" s="16"/>
      <c r="M213" s="49"/>
    </row>
    <row r="214" ht="22.5" customHeight="1">
      <c r="C214" s="16"/>
      <c r="F214" s="45"/>
      <c r="I214" s="16"/>
      <c r="M214" s="49"/>
    </row>
    <row r="215" ht="22.5" customHeight="1">
      <c r="C215" s="16"/>
      <c r="F215" s="45"/>
      <c r="I215" s="16"/>
      <c r="M215" s="49"/>
    </row>
    <row r="216" ht="22.5" customHeight="1">
      <c r="C216" s="16"/>
      <c r="F216" s="45"/>
      <c r="I216" s="16"/>
      <c r="M216" s="49"/>
    </row>
    <row r="217" ht="22.5" customHeight="1">
      <c r="C217" s="16"/>
      <c r="F217" s="45"/>
      <c r="I217" s="16"/>
      <c r="M217" s="49"/>
    </row>
    <row r="218" ht="22.5" customHeight="1">
      <c r="C218" s="16"/>
      <c r="F218" s="45"/>
      <c r="I218" s="16"/>
      <c r="M218" s="49"/>
    </row>
    <row r="219" ht="22.5" customHeight="1">
      <c r="C219" s="16"/>
      <c r="F219" s="45"/>
      <c r="I219" s="16"/>
      <c r="M219" s="49"/>
    </row>
    <row r="220" ht="22.5" customHeight="1">
      <c r="C220" s="16"/>
      <c r="F220" s="45"/>
      <c r="I220" s="16"/>
      <c r="M220" s="49"/>
    </row>
    <row r="221" ht="22.5" customHeight="1">
      <c r="C221" s="16"/>
      <c r="F221" s="45"/>
      <c r="I221" s="16"/>
      <c r="M221" s="49"/>
    </row>
    <row r="222" ht="22.5" customHeight="1">
      <c r="C222" s="16"/>
      <c r="F222" s="45"/>
      <c r="I222" s="16"/>
      <c r="M222" s="49"/>
    </row>
    <row r="223" ht="22.5" customHeight="1">
      <c r="C223" s="16"/>
      <c r="F223" s="45"/>
      <c r="I223" s="16"/>
      <c r="M223" s="49"/>
    </row>
    <row r="224" ht="22.5" customHeight="1">
      <c r="C224" s="16"/>
      <c r="F224" s="45"/>
      <c r="I224" s="16"/>
      <c r="M224" s="49"/>
    </row>
    <row r="225" ht="22.5" customHeight="1">
      <c r="C225" s="16"/>
      <c r="F225" s="45"/>
      <c r="I225" s="16"/>
      <c r="M225" s="49"/>
    </row>
    <row r="226" ht="22.5" customHeight="1">
      <c r="C226" s="16"/>
      <c r="F226" s="45"/>
      <c r="I226" s="16"/>
      <c r="M226" s="49"/>
    </row>
    <row r="227" ht="22.5" customHeight="1">
      <c r="C227" s="16"/>
      <c r="F227" s="45"/>
      <c r="I227" s="16"/>
      <c r="M227" s="49"/>
    </row>
    <row r="228" ht="22.5" customHeight="1">
      <c r="C228" s="16"/>
      <c r="F228" s="45"/>
      <c r="I228" s="16"/>
      <c r="M228" s="49"/>
    </row>
    <row r="229" ht="22.5" customHeight="1">
      <c r="C229" s="16"/>
      <c r="F229" s="45"/>
      <c r="I229" s="16"/>
      <c r="M229" s="49"/>
    </row>
    <row r="230" ht="22.5" customHeight="1">
      <c r="C230" s="16"/>
      <c r="F230" s="45"/>
      <c r="I230" s="16"/>
      <c r="M230" s="49"/>
    </row>
    <row r="231" ht="22.5" customHeight="1">
      <c r="C231" s="16"/>
      <c r="F231" s="45"/>
      <c r="I231" s="16"/>
      <c r="M231" s="49"/>
    </row>
    <row r="232" ht="22.5" customHeight="1">
      <c r="C232" s="16"/>
      <c r="F232" s="45"/>
      <c r="I232" s="16"/>
      <c r="M232" s="49"/>
    </row>
    <row r="233" ht="22.5" customHeight="1">
      <c r="C233" s="16"/>
      <c r="F233" s="45"/>
      <c r="I233" s="16"/>
      <c r="M233" s="49"/>
    </row>
    <row r="234" ht="22.5" customHeight="1">
      <c r="C234" s="16"/>
      <c r="F234" s="45"/>
      <c r="I234" s="16"/>
      <c r="M234" s="49"/>
    </row>
    <row r="235" ht="22.5" customHeight="1">
      <c r="C235" s="16"/>
      <c r="F235" s="45"/>
      <c r="I235" s="16"/>
      <c r="M235" s="49"/>
    </row>
    <row r="236" ht="22.5" customHeight="1">
      <c r="C236" s="16"/>
      <c r="F236" s="45"/>
      <c r="I236" s="16"/>
      <c r="M236" s="49"/>
    </row>
    <row r="237" ht="22.5" customHeight="1">
      <c r="C237" s="16"/>
      <c r="F237" s="45"/>
      <c r="I237" s="16"/>
      <c r="M237" s="49"/>
    </row>
    <row r="238" ht="22.5" customHeight="1">
      <c r="C238" s="16"/>
      <c r="F238" s="45"/>
      <c r="I238" s="16"/>
      <c r="M238" s="49"/>
    </row>
    <row r="239" ht="22.5" customHeight="1">
      <c r="C239" s="16"/>
      <c r="F239" s="45"/>
      <c r="I239" s="16"/>
      <c r="M239" s="49"/>
    </row>
    <row r="240" ht="22.5" customHeight="1">
      <c r="C240" s="16"/>
      <c r="F240" s="45"/>
      <c r="I240" s="16"/>
      <c r="M240" s="49"/>
    </row>
    <row r="241" ht="22.5" customHeight="1">
      <c r="C241" s="16"/>
      <c r="F241" s="45"/>
      <c r="I241" s="16"/>
      <c r="M241" s="49"/>
    </row>
    <row r="242" ht="22.5" customHeight="1">
      <c r="C242" s="16"/>
      <c r="F242" s="45"/>
      <c r="I242" s="16"/>
      <c r="M242" s="49"/>
    </row>
    <row r="243" ht="22.5" customHeight="1">
      <c r="C243" s="16"/>
      <c r="F243" s="45"/>
      <c r="I243" s="16"/>
      <c r="M243" s="49"/>
    </row>
    <row r="244" ht="22.5" customHeight="1">
      <c r="C244" s="16"/>
      <c r="F244" s="45"/>
      <c r="I244" s="16"/>
      <c r="M244" s="49"/>
    </row>
    <row r="245" ht="22.5" customHeight="1">
      <c r="C245" s="16"/>
      <c r="F245" s="45"/>
      <c r="I245" s="16"/>
      <c r="M245" s="49"/>
    </row>
    <row r="246" ht="22.5" customHeight="1">
      <c r="C246" s="16"/>
      <c r="F246" s="45"/>
      <c r="I246" s="16"/>
      <c r="M246" s="49"/>
    </row>
    <row r="247" ht="22.5" customHeight="1">
      <c r="C247" s="16"/>
      <c r="F247" s="45"/>
      <c r="I247" s="16"/>
      <c r="M247" s="49"/>
    </row>
    <row r="248" ht="22.5" customHeight="1">
      <c r="C248" s="16"/>
      <c r="F248" s="45"/>
      <c r="I248" s="16"/>
      <c r="M248" s="49"/>
    </row>
    <row r="249" ht="22.5" customHeight="1">
      <c r="C249" s="16"/>
      <c r="F249" s="45"/>
      <c r="I249" s="16"/>
      <c r="M249" s="49"/>
    </row>
    <row r="250" ht="22.5" customHeight="1">
      <c r="C250" s="16"/>
      <c r="F250" s="45"/>
      <c r="I250" s="16"/>
      <c r="M250" s="49"/>
    </row>
    <row r="251" ht="22.5" customHeight="1">
      <c r="C251" s="16"/>
      <c r="F251" s="45"/>
      <c r="I251" s="16"/>
      <c r="M251" s="49"/>
    </row>
    <row r="252" ht="22.5" customHeight="1">
      <c r="C252" s="16"/>
      <c r="F252" s="45"/>
      <c r="I252" s="16"/>
      <c r="M252" s="49"/>
    </row>
    <row r="253" ht="22.5" customHeight="1">
      <c r="C253" s="16"/>
      <c r="F253" s="45"/>
      <c r="I253" s="16"/>
      <c r="M253" s="49"/>
    </row>
    <row r="254" ht="22.5" customHeight="1">
      <c r="C254" s="16"/>
      <c r="F254" s="45"/>
      <c r="I254" s="16"/>
      <c r="M254" s="49"/>
    </row>
    <row r="255" ht="22.5" customHeight="1">
      <c r="C255" s="16"/>
      <c r="F255" s="45"/>
      <c r="I255" s="16"/>
      <c r="M255" s="49"/>
    </row>
    <row r="256" ht="22.5" customHeight="1">
      <c r="C256" s="16"/>
      <c r="F256" s="45"/>
      <c r="I256" s="16"/>
      <c r="M256" s="49"/>
    </row>
    <row r="257" ht="22.5" customHeight="1">
      <c r="C257" s="16"/>
      <c r="F257" s="45"/>
      <c r="I257" s="16"/>
      <c r="M257" s="49"/>
    </row>
    <row r="258" ht="22.5" customHeight="1">
      <c r="C258" s="16"/>
      <c r="F258" s="45"/>
      <c r="I258" s="16"/>
      <c r="M258" s="49"/>
    </row>
    <row r="259" ht="22.5" customHeight="1">
      <c r="C259" s="16"/>
      <c r="F259" s="45"/>
      <c r="I259" s="16"/>
      <c r="M259" s="49"/>
    </row>
    <row r="260" ht="22.5" customHeight="1">
      <c r="C260" s="16"/>
      <c r="F260" s="45"/>
      <c r="I260" s="16"/>
      <c r="M260" s="49"/>
    </row>
    <row r="261" ht="22.5" customHeight="1">
      <c r="C261" s="16"/>
      <c r="F261" s="45"/>
      <c r="I261" s="16"/>
      <c r="M261" s="49"/>
    </row>
    <row r="262" ht="22.5" customHeight="1">
      <c r="C262" s="16"/>
      <c r="F262" s="45"/>
      <c r="I262" s="16"/>
      <c r="M262" s="49"/>
    </row>
    <row r="263" ht="22.5" customHeight="1">
      <c r="C263" s="16"/>
      <c r="F263" s="45"/>
      <c r="I263" s="16"/>
      <c r="M263" s="49"/>
    </row>
    <row r="264" ht="22.5" customHeight="1">
      <c r="C264" s="16"/>
      <c r="F264" s="45"/>
      <c r="I264" s="16"/>
      <c r="M264" s="49"/>
    </row>
    <row r="265" ht="22.5" customHeight="1">
      <c r="C265" s="16"/>
      <c r="F265" s="45"/>
      <c r="I265" s="16"/>
      <c r="M265" s="49"/>
    </row>
    <row r="266" ht="22.5" customHeight="1">
      <c r="C266" s="16"/>
      <c r="F266" s="45"/>
      <c r="I266" s="16"/>
      <c r="M266" s="49"/>
    </row>
    <row r="267" ht="22.5" customHeight="1">
      <c r="C267" s="16"/>
      <c r="F267" s="45"/>
      <c r="I267" s="16"/>
      <c r="M267" s="49"/>
    </row>
    <row r="268" ht="22.5" customHeight="1">
      <c r="C268" s="16"/>
      <c r="F268" s="45"/>
      <c r="I268" s="16"/>
      <c r="M268" s="49"/>
    </row>
    <row r="269" ht="22.5" customHeight="1">
      <c r="C269" s="16"/>
      <c r="F269" s="45"/>
      <c r="I269" s="16"/>
      <c r="M269" s="49"/>
    </row>
    <row r="270" ht="22.5" customHeight="1">
      <c r="C270" s="16"/>
      <c r="F270" s="45"/>
      <c r="I270" s="16"/>
      <c r="M270" s="49"/>
    </row>
    <row r="271" ht="22.5" customHeight="1">
      <c r="C271" s="16"/>
      <c r="F271" s="45"/>
      <c r="I271" s="16"/>
      <c r="M271" s="49"/>
    </row>
    <row r="272" ht="22.5" customHeight="1">
      <c r="C272" s="16"/>
      <c r="F272" s="45"/>
      <c r="I272" s="16"/>
      <c r="M272" s="49"/>
    </row>
    <row r="273" ht="22.5" customHeight="1">
      <c r="C273" s="16"/>
      <c r="F273" s="45"/>
      <c r="I273" s="16"/>
      <c r="M273" s="49"/>
    </row>
    <row r="274" ht="22.5" customHeight="1">
      <c r="C274" s="16"/>
      <c r="F274" s="45"/>
      <c r="I274" s="16"/>
      <c r="M274" s="49"/>
    </row>
    <row r="275" ht="22.5" customHeight="1">
      <c r="C275" s="16"/>
      <c r="F275" s="45"/>
      <c r="I275" s="16"/>
      <c r="M275" s="49"/>
    </row>
    <row r="276" ht="22.5" customHeight="1">
      <c r="C276" s="16"/>
      <c r="F276" s="45"/>
      <c r="I276" s="16"/>
      <c r="M276" s="49"/>
    </row>
    <row r="277" ht="22.5" customHeight="1">
      <c r="C277" s="16"/>
      <c r="F277" s="45"/>
      <c r="I277" s="16"/>
      <c r="M277" s="49"/>
    </row>
    <row r="278" ht="22.5" customHeight="1">
      <c r="C278" s="16"/>
      <c r="F278" s="45"/>
      <c r="I278" s="16"/>
      <c r="M278" s="49"/>
    </row>
    <row r="279" ht="22.5" customHeight="1">
      <c r="C279" s="16"/>
      <c r="F279" s="45"/>
      <c r="I279" s="16"/>
      <c r="M279" s="49"/>
    </row>
    <row r="280" ht="22.5" customHeight="1">
      <c r="C280" s="16"/>
      <c r="F280" s="45"/>
      <c r="I280" s="16"/>
      <c r="M280" s="49"/>
    </row>
    <row r="281" ht="22.5" customHeight="1">
      <c r="C281" s="16"/>
      <c r="F281" s="45"/>
      <c r="I281" s="16"/>
      <c r="M281" s="49"/>
    </row>
    <row r="282" ht="22.5" customHeight="1">
      <c r="C282" s="16"/>
      <c r="F282" s="45"/>
      <c r="I282" s="16"/>
      <c r="M282" s="49"/>
    </row>
    <row r="283" ht="22.5" customHeight="1">
      <c r="C283" s="16"/>
      <c r="F283" s="45"/>
      <c r="I283" s="16"/>
      <c r="M283" s="49"/>
    </row>
    <row r="284" ht="22.5" customHeight="1">
      <c r="C284" s="16"/>
      <c r="F284" s="45"/>
      <c r="I284" s="16"/>
      <c r="M284" s="49"/>
    </row>
    <row r="285" ht="22.5" customHeight="1">
      <c r="C285" s="16"/>
      <c r="F285" s="45"/>
      <c r="I285" s="16"/>
      <c r="M285" s="49"/>
    </row>
    <row r="286" ht="22.5" customHeight="1">
      <c r="C286" s="16"/>
      <c r="F286" s="45"/>
      <c r="I286" s="16"/>
      <c r="M286" s="49"/>
    </row>
    <row r="287" ht="22.5" customHeight="1">
      <c r="C287" s="16"/>
      <c r="F287" s="45"/>
      <c r="I287" s="16"/>
      <c r="M287" s="49"/>
    </row>
    <row r="288" ht="22.5" customHeight="1">
      <c r="C288" s="16"/>
      <c r="F288" s="45"/>
      <c r="I288" s="16"/>
      <c r="M288" s="49"/>
    </row>
    <row r="289" ht="22.5" customHeight="1">
      <c r="C289" s="16"/>
      <c r="F289" s="45"/>
      <c r="I289" s="16"/>
      <c r="M289" s="49"/>
    </row>
    <row r="290" ht="22.5" customHeight="1">
      <c r="C290" s="16"/>
      <c r="F290" s="45"/>
      <c r="I290" s="16"/>
      <c r="M290" s="49"/>
    </row>
    <row r="291" ht="22.5" customHeight="1">
      <c r="C291" s="16"/>
      <c r="F291" s="45"/>
      <c r="I291" s="16"/>
      <c r="M291" s="49"/>
    </row>
    <row r="292" ht="22.5" customHeight="1">
      <c r="C292" s="16"/>
      <c r="F292" s="45"/>
      <c r="I292" s="16"/>
      <c r="M292" s="49"/>
    </row>
    <row r="293" ht="22.5" customHeight="1">
      <c r="C293" s="16"/>
      <c r="F293" s="45"/>
      <c r="I293" s="16"/>
      <c r="M293" s="49"/>
    </row>
    <row r="294" ht="22.5" customHeight="1">
      <c r="C294" s="16"/>
      <c r="F294" s="45"/>
      <c r="I294" s="16"/>
      <c r="M294" s="49"/>
    </row>
    <row r="295" ht="22.5" customHeight="1">
      <c r="C295" s="16"/>
      <c r="F295" s="45"/>
      <c r="I295" s="16"/>
      <c r="M295" s="49"/>
    </row>
    <row r="296" ht="22.5" customHeight="1">
      <c r="C296" s="16"/>
      <c r="F296" s="45"/>
      <c r="I296" s="16"/>
      <c r="M296" s="49"/>
    </row>
    <row r="297" ht="22.5" customHeight="1">
      <c r="C297" s="16"/>
      <c r="F297" s="45"/>
      <c r="I297" s="16"/>
      <c r="M297" s="49"/>
    </row>
    <row r="298" ht="22.5" customHeight="1">
      <c r="C298" s="16"/>
      <c r="F298" s="45"/>
      <c r="I298" s="16"/>
      <c r="M298" s="49"/>
    </row>
    <row r="299" ht="22.5" customHeight="1">
      <c r="C299" s="16"/>
      <c r="F299" s="45"/>
      <c r="I299" s="16"/>
      <c r="M299" s="49"/>
    </row>
    <row r="300" ht="22.5" customHeight="1">
      <c r="C300" s="16"/>
      <c r="F300" s="45"/>
      <c r="I300" s="16"/>
      <c r="M300" s="49"/>
    </row>
    <row r="301" ht="22.5" customHeight="1">
      <c r="C301" s="16"/>
      <c r="F301" s="45"/>
      <c r="I301" s="16"/>
      <c r="M301" s="49"/>
    </row>
    <row r="302" ht="22.5" customHeight="1">
      <c r="C302" s="16"/>
      <c r="F302" s="45"/>
      <c r="I302" s="16"/>
      <c r="M302" s="49"/>
    </row>
    <row r="303" ht="22.5" customHeight="1">
      <c r="C303" s="16"/>
      <c r="F303" s="45"/>
      <c r="I303" s="16"/>
      <c r="M303" s="49"/>
    </row>
    <row r="304" ht="22.5" customHeight="1">
      <c r="C304" s="16"/>
      <c r="F304" s="45"/>
      <c r="I304" s="16"/>
      <c r="M304" s="49"/>
    </row>
    <row r="305" ht="22.5" customHeight="1">
      <c r="C305" s="16"/>
      <c r="F305" s="45"/>
      <c r="I305" s="16"/>
      <c r="M305" s="49"/>
    </row>
    <row r="306" ht="22.5" customHeight="1">
      <c r="C306" s="16"/>
      <c r="F306" s="45"/>
      <c r="I306" s="16"/>
      <c r="M306" s="49"/>
    </row>
    <row r="307" ht="22.5" customHeight="1">
      <c r="C307" s="16"/>
      <c r="F307" s="45"/>
      <c r="I307" s="16"/>
      <c r="M307" s="49"/>
    </row>
    <row r="308" ht="22.5" customHeight="1">
      <c r="C308" s="16"/>
      <c r="F308" s="45"/>
      <c r="I308" s="16"/>
      <c r="M308" s="49"/>
    </row>
    <row r="309" ht="22.5" customHeight="1">
      <c r="C309" s="16"/>
      <c r="F309" s="45"/>
      <c r="I309" s="16"/>
      <c r="M309" s="49"/>
    </row>
    <row r="310" ht="22.5" customHeight="1">
      <c r="C310" s="16"/>
      <c r="F310" s="45"/>
      <c r="I310" s="16"/>
      <c r="M310" s="49"/>
    </row>
    <row r="311" ht="22.5" customHeight="1">
      <c r="C311" s="16"/>
      <c r="F311" s="45"/>
      <c r="I311" s="16"/>
      <c r="M311" s="49"/>
    </row>
    <row r="312" ht="22.5" customHeight="1">
      <c r="C312" s="16"/>
      <c r="F312" s="45"/>
      <c r="I312" s="16"/>
      <c r="M312" s="49"/>
    </row>
    <row r="313" ht="22.5" customHeight="1">
      <c r="C313" s="16"/>
      <c r="F313" s="45"/>
      <c r="I313" s="16"/>
      <c r="M313" s="49"/>
    </row>
    <row r="314" ht="22.5" customHeight="1">
      <c r="C314" s="16"/>
      <c r="F314" s="45"/>
      <c r="I314" s="16"/>
      <c r="M314" s="49"/>
    </row>
    <row r="315" ht="22.5" customHeight="1">
      <c r="C315" s="16"/>
      <c r="F315" s="45"/>
      <c r="I315" s="16"/>
      <c r="M315" s="49"/>
    </row>
    <row r="316" ht="22.5" customHeight="1">
      <c r="C316" s="16"/>
      <c r="F316" s="45"/>
      <c r="I316" s="16"/>
      <c r="M316" s="49"/>
    </row>
    <row r="317" ht="22.5" customHeight="1">
      <c r="C317" s="16"/>
      <c r="F317" s="45"/>
      <c r="I317" s="16"/>
      <c r="M317" s="49"/>
    </row>
    <row r="318" ht="22.5" customHeight="1">
      <c r="C318" s="16"/>
      <c r="F318" s="45"/>
      <c r="I318" s="16"/>
      <c r="M318" s="49"/>
    </row>
    <row r="319" ht="22.5" customHeight="1">
      <c r="C319" s="16"/>
      <c r="F319" s="45"/>
      <c r="I319" s="16"/>
      <c r="M319" s="49"/>
    </row>
    <row r="320" ht="22.5" customHeight="1">
      <c r="C320" s="16"/>
      <c r="F320" s="45"/>
      <c r="I320" s="16"/>
      <c r="M320" s="49"/>
    </row>
    <row r="321" ht="22.5" customHeight="1">
      <c r="C321" s="16"/>
      <c r="F321" s="45"/>
      <c r="I321" s="16"/>
      <c r="M321" s="49"/>
    </row>
    <row r="322" ht="22.5" customHeight="1">
      <c r="C322" s="16"/>
      <c r="F322" s="45"/>
      <c r="I322" s="16"/>
      <c r="M322" s="49"/>
    </row>
    <row r="323" ht="22.5" customHeight="1">
      <c r="C323" s="16"/>
      <c r="F323" s="45"/>
      <c r="I323" s="16"/>
      <c r="M323" s="49"/>
    </row>
    <row r="324" ht="22.5" customHeight="1">
      <c r="C324" s="16"/>
      <c r="F324" s="45"/>
      <c r="I324" s="16"/>
      <c r="M324" s="49"/>
    </row>
    <row r="325" ht="22.5" customHeight="1">
      <c r="C325" s="16"/>
      <c r="F325" s="45"/>
      <c r="I325" s="16"/>
      <c r="M325" s="49"/>
    </row>
    <row r="326" ht="22.5" customHeight="1">
      <c r="C326" s="16"/>
      <c r="F326" s="45"/>
      <c r="I326" s="16"/>
      <c r="M326" s="49"/>
    </row>
    <row r="327" ht="22.5" customHeight="1">
      <c r="C327" s="16"/>
      <c r="F327" s="45"/>
      <c r="I327" s="16"/>
      <c r="M327" s="49"/>
    </row>
    <row r="328" ht="22.5" customHeight="1">
      <c r="C328" s="16"/>
      <c r="F328" s="45"/>
      <c r="I328" s="16"/>
      <c r="M328" s="49"/>
    </row>
    <row r="329" ht="22.5" customHeight="1">
      <c r="C329" s="16"/>
      <c r="F329" s="45"/>
      <c r="I329" s="16"/>
      <c r="M329" s="49"/>
    </row>
    <row r="330" ht="22.5" customHeight="1">
      <c r="C330" s="16"/>
      <c r="F330" s="45"/>
      <c r="I330" s="16"/>
      <c r="M330" s="49"/>
    </row>
    <row r="331" ht="22.5" customHeight="1">
      <c r="C331" s="16"/>
      <c r="F331" s="45"/>
      <c r="I331" s="16"/>
      <c r="M331" s="49"/>
    </row>
    <row r="332" ht="22.5" customHeight="1">
      <c r="C332" s="16"/>
      <c r="F332" s="45"/>
      <c r="I332" s="16"/>
      <c r="M332" s="49"/>
    </row>
    <row r="333" ht="22.5" customHeight="1">
      <c r="C333" s="16"/>
      <c r="F333" s="45"/>
      <c r="I333" s="16"/>
      <c r="M333" s="49"/>
    </row>
    <row r="334" ht="22.5" customHeight="1">
      <c r="C334" s="16"/>
      <c r="F334" s="45"/>
      <c r="I334" s="16"/>
      <c r="M334" s="49"/>
    </row>
    <row r="335" ht="22.5" customHeight="1">
      <c r="C335" s="16"/>
      <c r="F335" s="45"/>
      <c r="I335" s="16"/>
      <c r="M335" s="49"/>
    </row>
    <row r="336" ht="22.5" customHeight="1">
      <c r="C336" s="16"/>
      <c r="F336" s="45"/>
      <c r="I336" s="16"/>
      <c r="M336" s="49"/>
    </row>
    <row r="337" ht="22.5" customHeight="1">
      <c r="C337" s="16"/>
      <c r="F337" s="45"/>
      <c r="I337" s="16"/>
      <c r="M337" s="49"/>
    </row>
    <row r="338" ht="22.5" customHeight="1">
      <c r="C338" s="16"/>
      <c r="F338" s="45"/>
      <c r="I338" s="16"/>
      <c r="M338" s="49"/>
    </row>
    <row r="339" ht="22.5" customHeight="1">
      <c r="C339" s="16"/>
      <c r="F339" s="45"/>
      <c r="I339" s="16"/>
      <c r="M339" s="49"/>
    </row>
    <row r="340" ht="22.5" customHeight="1">
      <c r="C340" s="16"/>
      <c r="F340" s="45"/>
      <c r="I340" s="16"/>
      <c r="M340" s="49"/>
    </row>
    <row r="341" ht="22.5" customHeight="1">
      <c r="C341" s="16"/>
      <c r="F341" s="45"/>
      <c r="I341" s="16"/>
      <c r="M341" s="49"/>
    </row>
    <row r="342" ht="22.5" customHeight="1">
      <c r="C342" s="16"/>
      <c r="F342" s="45"/>
      <c r="I342" s="16"/>
      <c r="M342" s="49"/>
    </row>
    <row r="343" ht="22.5" customHeight="1">
      <c r="C343" s="16"/>
      <c r="F343" s="45"/>
      <c r="I343" s="16"/>
      <c r="M343" s="49"/>
    </row>
    <row r="344" ht="22.5" customHeight="1">
      <c r="C344" s="16"/>
      <c r="F344" s="45"/>
      <c r="I344" s="16"/>
      <c r="M344" s="49"/>
    </row>
    <row r="345" ht="22.5" customHeight="1">
      <c r="C345" s="16"/>
      <c r="F345" s="45"/>
      <c r="I345" s="16"/>
      <c r="M345" s="49"/>
    </row>
    <row r="346" ht="22.5" customHeight="1">
      <c r="C346" s="16"/>
      <c r="F346" s="45"/>
      <c r="I346" s="16"/>
      <c r="M346" s="49"/>
    </row>
    <row r="347" ht="22.5" customHeight="1">
      <c r="C347" s="16"/>
      <c r="F347" s="45"/>
      <c r="I347" s="16"/>
      <c r="M347" s="49"/>
    </row>
    <row r="348" ht="22.5" customHeight="1">
      <c r="C348" s="16"/>
      <c r="F348" s="45"/>
      <c r="I348" s="16"/>
      <c r="M348" s="49"/>
    </row>
    <row r="349" ht="22.5" customHeight="1">
      <c r="C349" s="16"/>
      <c r="F349" s="45"/>
      <c r="I349" s="16"/>
      <c r="M349" s="49"/>
    </row>
    <row r="350" ht="22.5" customHeight="1">
      <c r="C350" s="16"/>
      <c r="F350" s="45"/>
      <c r="I350" s="16"/>
      <c r="M350" s="49"/>
    </row>
    <row r="351" ht="22.5" customHeight="1">
      <c r="C351" s="16"/>
      <c r="F351" s="45"/>
      <c r="I351" s="16"/>
      <c r="M351" s="49"/>
    </row>
    <row r="352" ht="22.5" customHeight="1">
      <c r="C352" s="16"/>
      <c r="F352" s="45"/>
      <c r="I352" s="16"/>
      <c r="M352" s="49"/>
    </row>
    <row r="353" ht="22.5" customHeight="1">
      <c r="C353" s="16"/>
      <c r="F353" s="45"/>
      <c r="I353" s="16"/>
      <c r="M353" s="49"/>
    </row>
    <row r="354" ht="22.5" customHeight="1">
      <c r="C354" s="16"/>
      <c r="F354" s="45"/>
      <c r="I354" s="16"/>
      <c r="M354" s="49"/>
    </row>
    <row r="355" ht="22.5" customHeight="1">
      <c r="C355" s="16"/>
      <c r="F355" s="45"/>
      <c r="I355" s="16"/>
      <c r="M355" s="49"/>
    </row>
    <row r="356" ht="22.5" customHeight="1">
      <c r="C356" s="16"/>
      <c r="F356" s="45"/>
      <c r="I356" s="16"/>
      <c r="M356" s="49"/>
    </row>
    <row r="357" ht="22.5" customHeight="1">
      <c r="C357" s="16"/>
      <c r="F357" s="45"/>
      <c r="I357" s="16"/>
      <c r="M357" s="49"/>
    </row>
    <row r="358" ht="22.5" customHeight="1">
      <c r="C358" s="16"/>
      <c r="F358" s="45"/>
      <c r="I358" s="16"/>
      <c r="M358" s="49"/>
    </row>
    <row r="359" ht="22.5" customHeight="1">
      <c r="C359" s="16"/>
      <c r="F359" s="45"/>
      <c r="I359" s="16"/>
      <c r="M359" s="49"/>
    </row>
    <row r="360" ht="22.5" customHeight="1">
      <c r="C360" s="16"/>
      <c r="F360" s="45"/>
      <c r="I360" s="16"/>
      <c r="M360" s="49"/>
    </row>
    <row r="361" ht="22.5" customHeight="1">
      <c r="C361" s="16"/>
      <c r="F361" s="45"/>
      <c r="I361" s="16"/>
      <c r="M361" s="49"/>
    </row>
    <row r="362" ht="22.5" customHeight="1">
      <c r="C362" s="16"/>
      <c r="F362" s="45"/>
      <c r="I362" s="16"/>
      <c r="M362" s="49"/>
    </row>
    <row r="363" ht="22.5" customHeight="1">
      <c r="C363" s="16"/>
      <c r="F363" s="45"/>
      <c r="I363" s="16"/>
      <c r="M363" s="49"/>
    </row>
    <row r="364" ht="22.5" customHeight="1">
      <c r="C364" s="16"/>
      <c r="F364" s="45"/>
      <c r="I364" s="16"/>
      <c r="M364" s="49"/>
    </row>
    <row r="365" ht="22.5" customHeight="1">
      <c r="C365" s="16"/>
      <c r="F365" s="45"/>
      <c r="I365" s="16"/>
      <c r="M365" s="49"/>
    </row>
    <row r="366" ht="22.5" customHeight="1">
      <c r="C366" s="16"/>
      <c r="F366" s="45"/>
      <c r="I366" s="16"/>
      <c r="M366" s="49"/>
    </row>
    <row r="367" ht="22.5" customHeight="1">
      <c r="C367" s="16"/>
      <c r="F367" s="45"/>
      <c r="I367" s="16"/>
      <c r="M367" s="49"/>
    </row>
    <row r="368" ht="22.5" customHeight="1">
      <c r="C368" s="16"/>
      <c r="F368" s="45"/>
      <c r="I368" s="16"/>
      <c r="M368" s="49"/>
    </row>
    <row r="369" ht="22.5" customHeight="1">
      <c r="C369" s="16"/>
      <c r="F369" s="45"/>
      <c r="I369" s="16"/>
      <c r="M369" s="49"/>
    </row>
    <row r="370" ht="22.5" customHeight="1">
      <c r="C370" s="16"/>
      <c r="F370" s="45"/>
      <c r="I370" s="16"/>
      <c r="M370" s="49"/>
    </row>
    <row r="371" ht="22.5" customHeight="1">
      <c r="C371" s="16"/>
      <c r="F371" s="45"/>
      <c r="I371" s="16"/>
      <c r="M371" s="49"/>
    </row>
    <row r="372" ht="22.5" customHeight="1">
      <c r="C372" s="16"/>
      <c r="F372" s="45"/>
      <c r="I372" s="16"/>
      <c r="M372" s="49"/>
    </row>
    <row r="373" ht="22.5" customHeight="1">
      <c r="C373" s="16"/>
      <c r="F373" s="45"/>
      <c r="I373" s="16"/>
      <c r="M373" s="49"/>
    </row>
    <row r="374" ht="22.5" customHeight="1">
      <c r="C374" s="16"/>
      <c r="F374" s="45"/>
      <c r="I374" s="16"/>
      <c r="M374" s="49"/>
    </row>
    <row r="375" ht="22.5" customHeight="1">
      <c r="C375" s="16"/>
      <c r="F375" s="45"/>
      <c r="I375" s="16"/>
      <c r="M375" s="49"/>
    </row>
    <row r="376" ht="22.5" customHeight="1">
      <c r="C376" s="16"/>
      <c r="F376" s="45"/>
      <c r="I376" s="16"/>
      <c r="M376" s="49"/>
    </row>
    <row r="377" ht="22.5" customHeight="1">
      <c r="C377" s="16"/>
      <c r="F377" s="45"/>
      <c r="I377" s="16"/>
      <c r="M377" s="49"/>
    </row>
    <row r="378" ht="22.5" customHeight="1">
      <c r="C378" s="16"/>
      <c r="F378" s="45"/>
      <c r="I378" s="16"/>
      <c r="M378" s="49"/>
    </row>
    <row r="379" ht="22.5" customHeight="1">
      <c r="C379" s="16"/>
      <c r="F379" s="45"/>
      <c r="I379" s="16"/>
      <c r="M379" s="49"/>
    </row>
    <row r="380" ht="22.5" customHeight="1">
      <c r="C380" s="16"/>
      <c r="F380" s="45"/>
      <c r="I380" s="16"/>
      <c r="M380" s="49"/>
    </row>
    <row r="381" ht="22.5" customHeight="1">
      <c r="C381" s="16"/>
      <c r="F381" s="45"/>
      <c r="I381" s="16"/>
      <c r="M381" s="49"/>
    </row>
    <row r="382" ht="22.5" customHeight="1">
      <c r="C382" s="16"/>
      <c r="F382" s="45"/>
      <c r="I382" s="16"/>
      <c r="M382" s="49"/>
    </row>
    <row r="383" ht="22.5" customHeight="1">
      <c r="C383" s="16"/>
      <c r="F383" s="45"/>
      <c r="I383" s="16"/>
      <c r="M383" s="49"/>
    </row>
    <row r="384" ht="22.5" customHeight="1">
      <c r="C384" s="16"/>
      <c r="F384" s="45"/>
      <c r="I384" s="16"/>
      <c r="M384" s="49"/>
    </row>
    <row r="385" ht="22.5" customHeight="1">
      <c r="C385" s="16"/>
      <c r="F385" s="45"/>
      <c r="I385" s="16"/>
      <c r="M385" s="49"/>
    </row>
    <row r="386" ht="22.5" customHeight="1">
      <c r="C386" s="16"/>
      <c r="F386" s="45"/>
      <c r="I386" s="16"/>
      <c r="M386" s="49"/>
    </row>
    <row r="387" ht="22.5" customHeight="1">
      <c r="C387" s="16"/>
      <c r="F387" s="45"/>
      <c r="I387" s="16"/>
      <c r="M387" s="49"/>
    </row>
    <row r="388" ht="22.5" customHeight="1">
      <c r="C388" s="16"/>
      <c r="F388" s="45"/>
      <c r="I388" s="16"/>
      <c r="M388" s="49"/>
    </row>
    <row r="389" ht="22.5" customHeight="1">
      <c r="C389" s="16"/>
      <c r="F389" s="45"/>
      <c r="I389" s="16"/>
      <c r="M389" s="49"/>
    </row>
    <row r="390" ht="22.5" customHeight="1">
      <c r="C390" s="16"/>
      <c r="F390" s="45"/>
      <c r="I390" s="16"/>
      <c r="M390" s="49"/>
    </row>
    <row r="391" ht="22.5" customHeight="1">
      <c r="C391" s="16"/>
      <c r="F391" s="45"/>
      <c r="I391" s="16"/>
      <c r="M391" s="49"/>
    </row>
    <row r="392" ht="22.5" customHeight="1">
      <c r="C392" s="16"/>
      <c r="F392" s="45"/>
      <c r="I392" s="16"/>
      <c r="M392" s="49"/>
    </row>
    <row r="393" ht="22.5" customHeight="1">
      <c r="C393" s="16"/>
      <c r="F393" s="45"/>
      <c r="I393" s="16"/>
      <c r="M393" s="49"/>
    </row>
    <row r="394" ht="22.5" customHeight="1">
      <c r="C394" s="16"/>
      <c r="F394" s="45"/>
      <c r="I394" s="16"/>
      <c r="M394" s="49"/>
    </row>
    <row r="395" ht="22.5" customHeight="1">
      <c r="C395" s="16"/>
      <c r="F395" s="45"/>
      <c r="I395" s="16"/>
      <c r="M395" s="49"/>
    </row>
    <row r="396" ht="22.5" customHeight="1">
      <c r="C396" s="16"/>
      <c r="F396" s="45"/>
      <c r="I396" s="16"/>
      <c r="M396" s="49"/>
    </row>
    <row r="397" ht="22.5" customHeight="1">
      <c r="C397" s="16"/>
      <c r="F397" s="45"/>
      <c r="I397" s="16"/>
      <c r="M397" s="49"/>
    </row>
    <row r="398" ht="22.5" customHeight="1">
      <c r="C398" s="16"/>
      <c r="F398" s="45"/>
      <c r="I398" s="16"/>
      <c r="M398" s="49"/>
    </row>
    <row r="399" ht="22.5" customHeight="1">
      <c r="C399" s="16"/>
      <c r="F399" s="45"/>
      <c r="I399" s="16"/>
      <c r="M399" s="49"/>
    </row>
    <row r="400" ht="22.5" customHeight="1">
      <c r="C400" s="16"/>
      <c r="F400" s="45"/>
      <c r="I400" s="16"/>
      <c r="M400" s="49"/>
    </row>
    <row r="401" ht="22.5" customHeight="1">
      <c r="C401" s="16"/>
      <c r="F401" s="45"/>
      <c r="I401" s="16"/>
      <c r="M401" s="49"/>
    </row>
    <row r="402" ht="22.5" customHeight="1">
      <c r="C402" s="16"/>
      <c r="F402" s="45"/>
      <c r="I402" s="16"/>
      <c r="M402" s="49"/>
    </row>
    <row r="403" ht="22.5" customHeight="1">
      <c r="C403" s="16"/>
      <c r="F403" s="45"/>
      <c r="I403" s="16"/>
      <c r="M403" s="49"/>
    </row>
    <row r="404" ht="22.5" customHeight="1">
      <c r="C404" s="16"/>
      <c r="F404" s="45"/>
      <c r="I404" s="16"/>
      <c r="M404" s="49"/>
    </row>
    <row r="405" ht="22.5" customHeight="1">
      <c r="C405" s="16"/>
      <c r="F405" s="45"/>
      <c r="I405" s="16"/>
      <c r="M405" s="49"/>
    </row>
    <row r="406" ht="22.5" customHeight="1">
      <c r="C406" s="16"/>
      <c r="F406" s="45"/>
      <c r="I406" s="16"/>
      <c r="M406" s="49"/>
    </row>
    <row r="407" ht="22.5" customHeight="1">
      <c r="C407" s="16"/>
      <c r="F407" s="45"/>
      <c r="I407" s="16"/>
      <c r="M407" s="49"/>
    </row>
    <row r="408" ht="22.5" customHeight="1">
      <c r="C408" s="16"/>
      <c r="F408" s="45"/>
      <c r="I408" s="16"/>
      <c r="M408" s="49"/>
    </row>
    <row r="409" ht="22.5" customHeight="1">
      <c r="C409" s="16"/>
      <c r="F409" s="45"/>
      <c r="I409" s="16"/>
      <c r="M409" s="49"/>
    </row>
    <row r="410" ht="22.5" customHeight="1">
      <c r="C410" s="16"/>
      <c r="F410" s="45"/>
      <c r="I410" s="16"/>
      <c r="M410" s="49"/>
    </row>
    <row r="411" ht="22.5" customHeight="1">
      <c r="C411" s="16"/>
      <c r="F411" s="45"/>
      <c r="I411" s="16"/>
      <c r="M411" s="49"/>
    </row>
    <row r="412" ht="22.5" customHeight="1">
      <c r="C412" s="16"/>
      <c r="F412" s="45"/>
      <c r="I412" s="16"/>
      <c r="M412" s="49"/>
    </row>
    <row r="413" ht="22.5" customHeight="1">
      <c r="C413" s="16"/>
      <c r="F413" s="45"/>
      <c r="I413" s="16"/>
      <c r="M413" s="49"/>
    </row>
    <row r="414" ht="22.5" customHeight="1">
      <c r="C414" s="16"/>
      <c r="F414" s="45"/>
      <c r="I414" s="16"/>
      <c r="M414" s="49"/>
    </row>
    <row r="415" ht="22.5" customHeight="1">
      <c r="C415" s="16"/>
      <c r="F415" s="45"/>
      <c r="I415" s="16"/>
      <c r="M415" s="49"/>
    </row>
    <row r="416" ht="22.5" customHeight="1">
      <c r="C416" s="16"/>
      <c r="F416" s="45"/>
      <c r="I416" s="16"/>
      <c r="M416" s="49"/>
    </row>
    <row r="417" ht="22.5" customHeight="1">
      <c r="C417" s="16"/>
      <c r="F417" s="45"/>
      <c r="I417" s="16"/>
      <c r="M417" s="49"/>
    </row>
    <row r="418" ht="22.5" customHeight="1">
      <c r="C418" s="16"/>
      <c r="F418" s="45"/>
      <c r="I418" s="16"/>
      <c r="M418" s="49"/>
    </row>
    <row r="419" ht="22.5" customHeight="1">
      <c r="C419" s="16"/>
      <c r="F419" s="45"/>
      <c r="I419" s="16"/>
      <c r="M419" s="49"/>
    </row>
    <row r="420" ht="22.5" customHeight="1">
      <c r="C420" s="16"/>
      <c r="F420" s="45"/>
      <c r="I420" s="16"/>
      <c r="M420" s="49"/>
    </row>
    <row r="421" ht="22.5" customHeight="1">
      <c r="C421" s="16"/>
      <c r="F421" s="45"/>
      <c r="I421" s="16"/>
      <c r="M421" s="49"/>
    </row>
    <row r="422" ht="22.5" customHeight="1">
      <c r="C422" s="16"/>
      <c r="F422" s="45"/>
      <c r="I422" s="16"/>
      <c r="M422" s="49"/>
    </row>
    <row r="423" ht="22.5" customHeight="1">
      <c r="C423" s="16"/>
      <c r="F423" s="45"/>
      <c r="I423" s="16"/>
      <c r="M423" s="49"/>
    </row>
    <row r="424" ht="22.5" customHeight="1">
      <c r="C424" s="16"/>
      <c r="F424" s="45"/>
      <c r="I424" s="16"/>
      <c r="M424" s="49"/>
    </row>
    <row r="425" ht="22.5" customHeight="1">
      <c r="C425" s="16"/>
      <c r="F425" s="45"/>
      <c r="I425" s="16"/>
      <c r="M425" s="49"/>
    </row>
    <row r="426" ht="22.5" customHeight="1">
      <c r="C426" s="16"/>
      <c r="F426" s="45"/>
      <c r="I426" s="16"/>
      <c r="M426" s="49"/>
    </row>
    <row r="427" ht="22.5" customHeight="1">
      <c r="C427" s="16"/>
      <c r="F427" s="45"/>
      <c r="I427" s="16"/>
      <c r="M427" s="49"/>
    </row>
    <row r="428" ht="22.5" customHeight="1">
      <c r="C428" s="16"/>
      <c r="F428" s="45"/>
      <c r="I428" s="16"/>
      <c r="M428" s="49"/>
    </row>
    <row r="429" ht="22.5" customHeight="1">
      <c r="C429" s="16"/>
      <c r="F429" s="45"/>
      <c r="I429" s="16"/>
      <c r="M429" s="49"/>
    </row>
    <row r="430" ht="22.5" customHeight="1">
      <c r="C430" s="16"/>
      <c r="F430" s="45"/>
      <c r="I430" s="16"/>
      <c r="M430" s="49"/>
    </row>
    <row r="431" ht="22.5" customHeight="1">
      <c r="C431" s="16"/>
      <c r="F431" s="45"/>
      <c r="I431" s="16"/>
      <c r="M431" s="49"/>
    </row>
    <row r="432" ht="22.5" customHeight="1">
      <c r="C432" s="16"/>
      <c r="F432" s="45"/>
      <c r="I432" s="16"/>
      <c r="M432" s="49"/>
    </row>
    <row r="433" ht="22.5" customHeight="1">
      <c r="C433" s="16"/>
      <c r="F433" s="45"/>
      <c r="I433" s="16"/>
      <c r="M433" s="49"/>
    </row>
    <row r="434" ht="22.5" customHeight="1">
      <c r="C434" s="16"/>
      <c r="F434" s="45"/>
      <c r="I434" s="16"/>
      <c r="M434" s="49"/>
    </row>
    <row r="435" ht="22.5" customHeight="1">
      <c r="C435" s="16"/>
      <c r="F435" s="45"/>
      <c r="I435" s="16"/>
      <c r="M435" s="49"/>
    </row>
    <row r="436" ht="22.5" customHeight="1">
      <c r="C436" s="16"/>
      <c r="F436" s="45"/>
      <c r="I436" s="16"/>
      <c r="M436" s="49"/>
    </row>
    <row r="437" ht="22.5" customHeight="1">
      <c r="C437" s="16"/>
      <c r="F437" s="45"/>
      <c r="I437" s="16"/>
      <c r="M437" s="49"/>
    </row>
    <row r="438" ht="22.5" customHeight="1">
      <c r="C438" s="16"/>
      <c r="F438" s="45"/>
      <c r="I438" s="16"/>
      <c r="M438" s="49"/>
    </row>
    <row r="439" ht="22.5" customHeight="1">
      <c r="C439" s="16"/>
      <c r="F439" s="45"/>
      <c r="I439" s="16"/>
      <c r="M439" s="49"/>
    </row>
    <row r="440" ht="22.5" customHeight="1">
      <c r="C440" s="16"/>
      <c r="F440" s="45"/>
      <c r="I440" s="16"/>
      <c r="M440" s="49"/>
    </row>
    <row r="441" ht="22.5" customHeight="1">
      <c r="C441" s="16"/>
      <c r="F441" s="45"/>
      <c r="I441" s="16"/>
      <c r="M441" s="49"/>
    </row>
    <row r="442" ht="22.5" customHeight="1">
      <c r="C442" s="16"/>
      <c r="F442" s="45"/>
      <c r="I442" s="16"/>
      <c r="M442" s="49"/>
    </row>
    <row r="443" ht="22.5" customHeight="1">
      <c r="C443" s="16"/>
      <c r="F443" s="45"/>
      <c r="I443" s="16"/>
      <c r="M443" s="49"/>
    </row>
    <row r="444" ht="22.5" customHeight="1">
      <c r="C444" s="16"/>
      <c r="F444" s="45"/>
      <c r="I444" s="16"/>
      <c r="M444" s="49"/>
    </row>
    <row r="445" ht="22.5" customHeight="1">
      <c r="C445" s="16"/>
      <c r="F445" s="45"/>
      <c r="I445" s="16"/>
      <c r="M445" s="49"/>
    </row>
    <row r="446" ht="22.5" customHeight="1">
      <c r="C446" s="16"/>
      <c r="F446" s="45"/>
      <c r="I446" s="16"/>
      <c r="M446" s="49"/>
    </row>
    <row r="447" ht="22.5" customHeight="1">
      <c r="C447" s="16"/>
      <c r="F447" s="45"/>
      <c r="I447" s="16"/>
      <c r="M447" s="49"/>
    </row>
    <row r="448" ht="22.5" customHeight="1">
      <c r="C448" s="16"/>
      <c r="F448" s="45"/>
      <c r="I448" s="16"/>
      <c r="M448" s="49"/>
    </row>
    <row r="449" ht="22.5" customHeight="1">
      <c r="C449" s="16"/>
      <c r="F449" s="45"/>
      <c r="I449" s="16"/>
      <c r="M449" s="49"/>
    </row>
    <row r="450" ht="22.5" customHeight="1">
      <c r="C450" s="16"/>
      <c r="F450" s="45"/>
      <c r="I450" s="16"/>
      <c r="M450" s="49"/>
    </row>
    <row r="451" ht="22.5" customHeight="1">
      <c r="C451" s="16"/>
      <c r="F451" s="45"/>
      <c r="I451" s="16"/>
      <c r="M451" s="49"/>
    </row>
    <row r="452" ht="22.5" customHeight="1">
      <c r="C452" s="16"/>
      <c r="F452" s="45"/>
      <c r="I452" s="16"/>
      <c r="M452" s="49"/>
    </row>
    <row r="453" ht="22.5" customHeight="1">
      <c r="C453" s="16"/>
      <c r="F453" s="45"/>
      <c r="I453" s="16"/>
      <c r="M453" s="49"/>
    </row>
    <row r="454" ht="22.5" customHeight="1">
      <c r="C454" s="16"/>
      <c r="F454" s="45"/>
      <c r="I454" s="16"/>
      <c r="M454" s="49"/>
    </row>
    <row r="455" ht="22.5" customHeight="1">
      <c r="C455" s="16"/>
      <c r="F455" s="45"/>
      <c r="I455" s="16"/>
      <c r="M455" s="49"/>
    </row>
    <row r="456" ht="22.5" customHeight="1">
      <c r="C456" s="16"/>
      <c r="F456" s="45"/>
      <c r="I456" s="16"/>
      <c r="M456" s="49"/>
    </row>
    <row r="457" ht="22.5" customHeight="1">
      <c r="C457" s="16"/>
      <c r="F457" s="45"/>
      <c r="I457" s="16"/>
      <c r="M457" s="49"/>
    </row>
    <row r="458" ht="22.5" customHeight="1">
      <c r="C458" s="16"/>
      <c r="F458" s="45"/>
      <c r="I458" s="16"/>
      <c r="M458" s="49"/>
    </row>
    <row r="459" ht="22.5" customHeight="1">
      <c r="C459" s="16"/>
      <c r="F459" s="45"/>
      <c r="I459" s="16"/>
      <c r="M459" s="49"/>
    </row>
    <row r="460" ht="22.5" customHeight="1">
      <c r="C460" s="16"/>
      <c r="F460" s="45"/>
      <c r="I460" s="16"/>
      <c r="M460" s="49"/>
    </row>
    <row r="461" ht="22.5" customHeight="1">
      <c r="C461" s="16"/>
      <c r="F461" s="45"/>
      <c r="I461" s="16"/>
      <c r="M461" s="49"/>
    </row>
    <row r="462" ht="22.5" customHeight="1">
      <c r="C462" s="16"/>
      <c r="F462" s="45"/>
      <c r="I462" s="16"/>
      <c r="M462" s="49"/>
    </row>
    <row r="463" ht="22.5" customHeight="1">
      <c r="C463" s="16"/>
      <c r="F463" s="45"/>
      <c r="I463" s="16"/>
      <c r="M463" s="49"/>
    </row>
    <row r="464" ht="22.5" customHeight="1">
      <c r="C464" s="16"/>
      <c r="F464" s="45"/>
      <c r="I464" s="16"/>
      <c r="M464" s="49"/>
    </row>
    <row r="465" ht="22.5" customHeight="1">
      <c r="C465" s="16"/>
      <c r="F465" s="45"/>
      <c r="I465" s="16"/>
      <c r="M465" s="49"/>
    </row>
    <row r="466" ht="22.5" customHeight="1">
      <c r="C466" s="16"/>
      <c r="F466" s="45"/>
      <c r="I466" s="16"/>
      <c r="M466" s="49"/>
    </row>
    <row r="467" ht="22.5" customHeight="1">
      <c r="C467" s="16"/>
      <c r="F467" s="45"/>
      <c r="I467" s="16"/>
      <c r="M467" s="49"/>
    </row>
    <row r="468" ht="22.5" customHeight="1">
      <c r="C468" s="16"/>
      <c r="F468" s="45"/>
      <c r="I468" s="16"/>
      <c r="M468" s="49"/>
    </row>
    <row r="469" ht="22.5" customHeight="1">
      <c r="C469" s="16"/>
      <c r="F469" s="45"/>
      <c r="I469" s="16"/>
      <c r="M469" s="49"/>
    </row>
    <row r="470" ht="22.5" customHeight="1">
      <c r="C470" s="16"/>
      <c r="F470" s="45"/>
      <c r="I470" s="16"/>
      <c r="M470" s="49"/>
    </row>
    <row r="471" ht="22.5" customHeight="1">
      <c r="C471" s="16"/>
      <c r="F471" s="45"/>
      <c r="I471" s="16"/>
      <c r="M471" s="49"/>
    </row>
    <row r="472" ht="22.5" customHeight="1">
      <c r="C472" s="16"/>
      <c r="F472" s="45"/>
      <c r="I472" s="16"/>
      <c r="M472" s="49"/>
    </row>
    <row r="473" ht="22.5" customHeight="1">
      <c r="C473" s="16"/>
      <c r="F473" s="45"/>
      <c r="I473" s="16"/>
      <c r="M473" s="49"/>
    </row>
    <row r="474" ht="22.5" customHeight="1">
      <c r="C474" s="16"/>
      <c r="F474" s="45"/>
      <c r="I474" s="16"/>
      <c r="M474" s="49"/>
    </row>
    <row r="475" ht="22.5" customHeight="1">
      <c r="C475" s="16"/>
      <c r="F475" s="45"/>
      <c r="I475" s="16"/>
      <c r="M475" s="49"/>
    </row>
    <row r="476" ht="22.5" customHeight="1">
      <c r="C476" s="16"/>
      <c r="F476" s="45"/>
      <c r="I476" s="16"/>
      <c r="M476" s="49"/>
    </row>
    <row r="477" ht="22.5" customHeight="1">
      <c r="C477" s="16"/>
      <c r="F477" s="45"/>
      <c r="I477" s="16"/>
      <c r="M477" s="49"/>
    </row>
    <row r="478" ht="22.5" customHeight="1">
      <c r="C478" s="16"/>
      <c r="F478" s="45"/>
      <c r="I478" s="16"/>
      <c r="M478" s="49"/>
    </row>
    <row r="479" ht="22.5" customHeight="1">
      <c r="C479" s="16"/>
      <c r="F479" s="45"/>
      <c r="I479" s="16"/>
      <c r="M479" s="49"/>
    </row>
    <row r="480" ht="22.5" customHeight="1">
      <c r="C480" s="16"/>
      <c r="F480" s="45"/>
      <c r="I480" s="16"/>
      <c r="M480" s="49"/>
    </row>
    <row r="481" ht="22.5" customHeight="1">
      <c r="C481" s="16"/>
      <c r="F481" s="45"/>
      <c r="I481" s="16"/>
      <c r="M481" s="49"/>
    </row>
    <row r="482" ht="22.5" customHeight="1">
      <c r="C482" s="16"/>
      <c r="F482" s="45"/>
      <c r="I482" s="16"/>
      <c r="M482" s="49"/>
    </row>
    <row r="483" ht="22.5" customHeight="1">
      <c r="C483" s="16"/>
      <c r="F483" s="45"/>
      <c r="I483" s="16"/>
      <c r="M483" s="49"/>
    </row>
    <row r="484" ht="22.5" customHeight="1">
      <c r="C484" s="16"/>
      <c r="F484" s="45"/>
      <c r="I484" s="16"/>
      <c r="M484" s="49"/>
    </row>
    <row r="485" ht="22.5" customHeight="1">
      <c r="C485" s="16"/>
      <c r="F485" s="45"/>
      <c r="I485" s="16"/>
      <c r="M485" s="49"/>
    </row>
    <row r="486" ht="22.5" customHeight="1">
      <c r="C486" s="16"/>
      <c r="F486" s="45"/>
      <c r="I486" s="16"/>
      <c r="M486" s="49"/>
    </row>
    <row r="487" ht="22.5" customHeight="1">
      <c r="C487" s="16"/>
      <c r="F487" s="45"/>
      <c r="I487" s="16"/>
      <c r="M487" s="49"/>
    </row>
    <row r="488" ht="22.5" customHeight="1">
      <c r="C488" s="16"/>
      <c r="F488" s="45"/>
      <c r="I488" s="16"/>
      <c r="M488" s="49"/>
    </row>
    <row r="489" ht="22.5" customHeight="1">
      <c r="C489" s="16"/>
      <c r="F489" s="45"/>
      <c r="I489" s="16"/>
      <c r="M489" s="49"/>
    </row>
    <row r="490" ht="22.5" customHeight="1">
      <c r="C490" s="16"/>
      <c r="F490" s="45"/>
      <c r="I490" s="16"/>
      <c r="M490" s="49"/>
    </row>
    <row r="491" ht="22.5" customHeight="1">
      <c r="C491" s="16"/>
      <c r="F491" s="45"/>
      <c r="I491" s="16"/>
      <c r="M491" s="49"/>
    </row>
    <row r="492" ht="22.5" customHeight="1">
      <c r="C492" s="16"/>
      <c r="F492" s="45"/>
      <c r="I492" s="16"/>
      <c r="M492" s="49"/>
    </row>
    <row r="493" ht="22.5" customHeight="1">
      <c r="C493" s="16"/>
      <c r="F493" s="45"/>
      <c r="I493" s="16"/>
      <c r="M493" s="49"/>
    </row>
    <row r="494" ht="22.5" customHeight="1">
      <c r="C494" s="16"/>
      <c r="F494" s="45"/>
      <c r="I494" s="16"/>
      <c r="M494" s="49"/>
    </row>
    <row r="495" ht="22.5" customHeight="1">
      <c r="C495" s="16"/>
      <c r="F495" s="45"/>
      <c r="I495" s="16"/>
      <c r="M495" s="49"/>
    </row>
    <row r="496" ht="22.5" customHeight="1">
      <c r="C496" s="16"/>
      <c r="F496" s="45"/>
      <c r="I496" s="16"/>
      <c r="M496" s="49"/>
    </row>
    <row r="497" ht="22.5" customHeight="1">
      <c r="C497" s="16"/>
      <c r="F497" s="45"/>
      <c r="I497" s="16"/>
      <c r="M497" s="49"/>
    </row>
    <row r="498" ht="22.5" customHeight="1">
      <c r="C498" s="16"/>
      <c r="F498" s="45"/>
      <c r="I498" s="16"/>
      <c r="M498" s="49"/>
    </row>
    <row r="499" ht="22.5" customHeight="1">
      <c r="C499" s="16"/>
      <c r="F499" s="45"/>
      <c r="I499" s="16"/>
      <c r="M499" s="49"/>
    </row>
    <row r="500" ht="22.5" customHeight="1">
      <c r="C500" s="16"/>
      <c r="F500" s="45"/>
      <c r="I500" s="16"/>
      <c r="M500" s="49"/>
    </row>
    <row r="501" ht="22.5" customHeight="1">
      <c r="C501" s="16"/>
      <c r="F501" s="45"/>
      <c r="I501" s="16"/>
      <c r="M501" s="49"/>
    </row>
    <row r="502" ht="22.5" customHeight="1">
      <c r="C502" s="16"/>
      <c r="F502" s="45"/>
      <c r="I502" s="16"/>
      <c r="M502" s="49"/>
    </row>
    <row r="503" ht="22.5" customHeight="1">
      <c r="C503" s="16"/>
      <c r="F503" s="45"/>
      <c r="I503" s="16"/>
      <c r="M503" s="49"/>
    </row>
    <row r="504" ht="22.5" customHeight="1">
      <c r="C504" s="16"/>
      <c r="F504" s="45"/>
      <c r="I504" s="16"/>
      <c r="M504" s="49"/>
    </row>
    <row r="505" ht="22.5" customHeight="1">
      <c r="C505" s="16"/>
      <c r="F505" s="45"/>
      <c r="I505" s="16"/>
      <c r="M505" s="49"/>
    </row>
    <row r="506" ht="22.5" customHeight="1">
      <c r="C506" s="16"/>
      <c r="F506" s="45"/>
      <c r="I506" s="16"/>
      <c r="M506" s="49"/>
    </row>
    <row r="507" ht="22.5" customHeight="1">
      <c r="C507" s="16"/>
      <c r="F507" s="45"/>
      <c r="I507" s="16"/>
      <c r="M507" s="49"/>
    </row>
    <row r="508" ht="22.5" customHeight="1">
      <c r="C508" s="16"/>
      <c r="F508" s="45"/>
      <c r="I508" s="16"/>
      <c r="M508" s="49"/>
    </row>
    <row r="509" ht="22.5" customHeight="1">
      <c r="C509" s="16"/>
      <c r="F509" s="45"/>
      <c r="I509" s="16"/>
      <c r="M509" s="49"/>
    </row>
    <row r="510" ht="22.5" customHeight="1">
      <c r="C510" s="16"/>
      <c r="F510" s="45"/>
      <c r="I510" s="16"/>
      <c r="M510" s="49"/>
    </row>
    <row r="511" ht="22.5" customHeight="1">
      <c r="C511" s="16"/>
      <c r="F511" s="45"/>
      <c r="I511" s="16"/>
      <c r="M511" s="49"/>
    </row>
    <row r="512" ht="22.5" customHeight="1">
      <c r="C512" s="16"/>
      <c r="F512" s="45"/>
      <c r="I512" s="16"/>
      <c r="M512" s="49"/>
    </row>
    <row r="513" ht="22.5" customHeight="1">
      <c r="C513" s="16"/>
      <c r="F513" s="45"/>
      <c r="I513" s="16"/>
      <c r="M513" s="49"/>
    </row>
    <row r="514" ht="22.5" customHeight="1">
      <c r="C514" s="16"/>
      <c r="F514" s="45"/>
      <c r="I514" s="16"/>
      <c r="M514" s="49"/>
    </row>
    <row r="515" ht="22.5" customHeight="1">
      <c r="C515" s="16"/>
      <c r="F515" s="45"/>
      <c r="I515" s="16"/>
      <c r="M515" s="49"/>
    </row>
    <row r="516" ht="22.5" customHeight="1">
      <c r="C516" s="16"/>
      <c r="F516" s="45"/>
      <c r="I516" s="16"/>
      <c r="M516" s="49"/>
    </row>
    <row r="517" ht="22.5" customHeight="1">
      <c r="C517" s="16"/>
      <c r="F517" s="45"/>
      <c r="I517" s="16"/>
      <c r="M517" s="49"/>
    </row>
    <row r="518" ht="22.5" customHeight="1">
      <c r="C518" s="16"/>
      <c r="F518" s="45"/>
      <c r="I518" s="16"/>
      <c r="M518" s="49"/>
    </row>
    <row r="519" ht="22.5" customHeight="1">
      <c r="C519" s="16"/>
      <c r="F519" s="45"/>
      <c r="I519" s="16"/>
      <c r="M519" s="49"/>
    </row>
    <row r="520" ht="22.5" customHeight="1">
      <c r="C520" s="16"/>
      <c r="F520" s="45"/>
      <c r="I520" s="16"/>
      <c r="M520" s="49"/>
    </row>
    <row r="521" ht="22.5" customHeight="1">
      <c r="C521" s="16"/>
      <c r="F521" s="45"/>
      <c r="I521" s="16"/>
      <c r="M521" s="49"/>
    </row>
    <row r="522" ht="22.5" customHeight="1">
      <c r="C522" s="16"/>
      <c r="F522" s="45"/>
      <c r="I522" s="16"/>
      <c r="M522" s="49"/>
    </row>
    <row r="523" ht="22.5" customHeight="1">
      <c r="C523" s="16"/>
      <c r="F523" s="45"/>
      <c r="I523" s="16"/>
      <c r="M523" s="49"/>
    </row>
    <row r="524" ht="22.5" customHeight="1">
      <c r="C524" s="16"/>
      <c r="F524" s="45"/>
      <c r="I524" s="16"/>
      <c r="M524" s="49"/>
    </row>
    <row r="525" ht="22.5" customHeight="1">
      <c r="C525" s="16"/>
      <c r="F525" s="45"/>
      <c r="I525" s="16"/>
      <c r="M525" s="49"/>
    </row>
    <row r="526" ht="22.5" customHeight="1">
      <c r="C526" s="16"/>
      <c r="F526" s="45"/>
      <c r="I526" s="16"/>
      <c r="M526" s="49"/>
    </row>
    <row r="527" ht="22.5" customHeight="1">
      <c r="C527" s="16"/>
      <c r="F527" s="45"/>
      <c r="I527" s="16"/>
      <c r="M527" s="49"/>
    </row>
    <row r="528" ht="22.5" customHeight="1">
      <c r="C528" s="16"/>
      <c r="F528" s="45"/>
      <c r="I528" s="16"/>
      <c r="M528" s="49"/>
    </row>
    <row r="529" ht="22.5" customHeight="1">
      <c r="C529" s="16"/>
      <c r="F529" s="45"/>
      <c r="I529" s="16"/>
      <c r="M529" s="49"/>
    </row>
    <row r="530" ht="22.5" customHeight="1">
      <c r="C530" s="16"/>
      <c r="F530" s="45"/>
      <c r="I530" s="16"/>
      <c r="M530" s="49"/>
    </row>
    <row r="531" ht="22.5" customHeight="1">
      <c r="C531" s="16"/>
      <c r="F531" s="45"/>
      <c r="I531" s="16"/>
      <c r="M531" s="49"/>
    </row>
    <row r="532" ht="22.5" customHeight="1">
      <c r="C532" s="16"/>
      <c r="F532" s="45"/>
      <c r="I532" s="16"/>
      <c r="M532" s="49"/>
    </row>
    <row r="533" ht="22.5" customHeight="1">
      <c r="C533" s="16"/>
      <c r="F533" s="45"/>
      <c r="I533" s="16"/>
      <c r="M533" s="49"/>
    </row>
    <row r="534" ht="22.5" customHeight="1">
      <c r="C534" s="16"/>
      <c r="F534" s="45"/>
      <c r="I534" s="16"/>
      <c r="M534" s="49"/>
    </row>
    <row r="535" ht="22.5" customHeight="1">
      <c r="C535" s="16"/>
      <c r="F535" s="45"/>
      <c r="I535" s="16"/>
      <c r="M535" s="49"/>
    </row>
    <row r="536" ht="22.5" customHeight="1">
      <c r="C536" s="16"/>
      <c r="F536" s="45"/>
      <c r="I536" s="16"/>
      <c r="M536" s="49"/>
    </row>
    <row r="537" ht="22.5" customHeight="1">
      <c r="C537" s="16"/>
      <c r="F537" s="45"/>
      <c r="I537" s="16"/>
      <c r="M537" s="49"/>
    </row>
    <row r="538" ht="22.5" customHeight="1">
      <c r="C538" s="16"/>
      <c r="F538" s="45"/>
      <c r="I538" s="16"/>
      <c r="M538" s="49"/>
    </row>
    <row r="539" ht="22.5" customHeight="1">
      <c r="C539" s="16"/>
      <c r="F539" s="45"/>
      <c r="I539" s="16"/>
      <c r="M539" s="49"/>
    </row>
    <row r="540" ht="22.5" customHeight="1">
      <c r="C540" s="16"/>
      <c r="F540" s="45"/>
      <c r="I540" s="16"/>
      <c r="M540" s="49"/>
    </row>
    <row r="541" ht="22.5" customHeight="1">
      <c r="C541" s="16"/>
      <c r="F541" s="45"/>
      <c r="I541" s="16"/>
      <c r="M541" s="49"/>
    </row>
    <row r="542" ht="22.5" customHeight="1">
      <c r="C542" s="16"/>
      <c r="F542" s="45"/>
      <c r="I542" s="16"/>
      <c r="M542" s="49"/>
    </row>
    <row r="543" ht="22.5" customHeight="1">
      <c r="C543" s="16"/>
      <c r="F543" s="45"/>
      <c r="I543" s="16"/>
      <c r="M543" s="49"/>
    </row>
    <row r="544" ht="22.5" customHeight="1">
      <c r="C544" s="16"/>
      <c r="F544" s="45"/>
      <c r="I544" s="16"/>
      <c r="M544" s="49"/>
    </row>
    <row r="545" ht="22.5" customHeight="1">
      <c r="C545" s="16"/>
      <c r="F545" s="45"/>
      <c r="I545" s="16"/>
      <c r="M545" s="49"/>
    </row>
    <row r="546" ht="22.5" customHeight="1">
      <c r="C546" s="16"/>
      <c r="F546" s="45"/>
      <c r="I546" s="16"/>
      <c r="M546" s="49"/>
    </row>
    <row r="547" ht="22.5" customHeight="1">
      <c r="C547" s="16"/>
      <c r="F547" s="45"/>
      <c r="I547" s="16"/>
      <c r="M547" s="49"/>
    </row>
    <row r="548" ht="22.5" customHeight="1">
      <c r="C548" s="16"/>
      <c r="F548" s="45"/>
      <c r="I548" s="16"/>
      <c r="M548" s="49"/>
    </row>
    <row r="549" ht="22.5" customHeight="1">
      <c r="C549" s="16"/>
      <c r="F549" s="45"/>
      <c r="I549" s="16"/>
      <c r="M549" s="49"/>
    </row>
    <row r="550" ht="22.5" customHeight="1">
      <c r="C550" s="16"/>
      <c r="F550" s="45"/>
      <c r="I550" s="16"/>
      <c r="M550" s="49"/>
    </row>
    <row r="551" ht="22.5" customHeight="1">
      <c r="C551" s="16"/>
      <c r="F551" s="45"/>
      <c r="I551" s="16"/>
      <c r="M551" s="49"/>
    </row>
    <row r="552" ht="22.5" customHeight="1">
      <c r="C552" s="16"/>
      <c r="F552" s="45"/>
      <c r="I552" s="16"/>
      <c r="M552" s="49"/>
    </row>
    <row r="553" ht="22.5" customHeight="1">
      <c r="C553" s="16"/>
      <c r="F553" s="45"/>
      <c r="I553" s="16"/>
      <c r="M553" s="49"/>
    </row>
    <row r="554" ht="22.5" customHeight="1">
      <c r="C554" s="16"/>
      <c r="F554" s="45"/>
      <c r="I554" s="16"/>
      <c r="M554" s="49"/>
    </row>
    <row r="555" ht="22.5" customHeight="1">
      <c r="C555" s="16"/>
      <c r="F555" s="45"/>
      <c r="I555" s="16"/>
      <c r="M555" s="49"/>
    </row>
    <row r="556" ht="22.5" customHeight="1">
      <c r="C556" s="16"/>
      <c r="F556" s="45"/>
      <c r="I556" s="16"/>
      <c r="M556" s="49"/>
    </row>
    <row r="557" ht="22.5" customHeight="1">
      <c r="C557" s="16"/>
      <c r="F557" s="45"/>
      <c r="I557" s="16"/>
      <c r="M557" s="49"/>
    </row>
    <row r="558" ht="22.5" customHeight="1">
      <c r="C558" s="16"/>
      <c r="F558" s="45"/>
      <c r="I558" s="16"/>
      <c r="M558" s="49"/>
    </row>
    <row r="559" ht="22.5" customHeight="1">
      <c r="C559" s="16"/>
      <c r="F559" s="45"/>
      <c r="I559" s="16"/>
      <c r="M559" s="49"/>
    </row>
    <row r="560" ht="22.5" customHeight="1">
      <c r="C560" s="16"/>
      <c r="F560" s="45"/>
      <c r="I560" s="16"/>
      <c r="M560" s="49"/>
    </row>
    <row r="561" ht="22.5" customHeight="1">
      <c r="C561" s="16"/>
      <c r="F561" s="45"/>
      <c r="I561" s="16"/>
      <c r="M561" s="49"/>
    </row>
    <row r="562" ht="22.5" customHeight="1">
      <c r="C562" s="16"/>
      <c r="F562" s="45"/>
      <c r="I562" s="16"/>
      <c r="M562" s="49"/>
    </row>
    <row r="563" ht="22.5" customHeight="1">
      <c r="C563" s="16"/>
      <c r="F563" s="45"/>
      <c r="I563" s="16"/>
      <c r="M563" s="49"/>
    </row>
    <row r="564" ht="22.5" customHeight="1">
      <c r="C564" s="16"/>
      <c r="F564" s="45"/>
      <c r="I564" s="16"/>
      <c r="M564" s="49"/>
    </row>
    <row r="565" ht="22.5" customHeight="1">
      <c r="C565" s="16"/>
      <c r="F565" s="45"/>
      <c r="I565" s="16"/>
      <c r="M565" s="49"/>
    </row>
    <row r="566" ht="22.5" customHeight="1">
      <c r="C566" s="16"/>
      <c r="F566" s="45"/>
      <c r="I566" s="16"/>
      <c r="M566" s="49"/>
    </row>
    <row r="567" ht="22.5" customHeight="1">
      <c r="C567" s="16"/>
      <c r="F567" s="45"/>
      <c r="I567" s="16"/>
      <c r="M567" s="49"/>
    </row>
    <row r="568" ht="22.5" customHeight="1">
      <c r="C568" s="16"/>
      <c r="F568" s="45"/>
      <c r="I568" s="16"/>
      <c r="M568" s="49"/>
    </row>
    <row r="569" ht="22.5" customHeight="1">
      <c r="C569" s="16"/>
      <c r="F569" s="45"/>
      <c r="I569" s="16"/>
      <c r="M569" s="49"/>
    </row>
    <row r="570" ht="22.5" customHeight="1">
      <c r="C570" s="16"/>
      <c r="F570" s="45"/>
      <c r="I570" s="16"/>
      <c r="M570" s="49"/>
    </row>
    <row r="571" ht="22.5" customHeight="1">
      <c r="C571" s="16"/>
      <c r="F571" s="45"/>
      <c r="I571" s="16"/>
      <c r="M571" s="49"/>
    </row>
    <row r="572" ht="22.5" customHeight="1">
      <c r="C572" s="16"/>
      <c r="F572" s="45"/>
      <c r="I572" s="16"/>
      <c r="M572" s="49"/>
    </row>
    <row r="573" ht="22.5" customHeight="1">
      <c r="C573" s="16"/>
      <c r="F573" s="45"/>
      <c r="I573" s="16"/>
      <c r="M573" s="49"/>
    </row>
    <row r="574" ht="22.5" customHeight="1">
      <c r="C574" s="16"/>
      <c r="F574" s="45"/>
      <c r="I574" s="16"/>
      <c r="M574" s="49"/>
    </row>
    <row r="575" ht="22.5" customHeight="1">
      <c r="C575" s="16"/>
      <c r="F575" s="45"/>
      <c r="I575" s="16"/>
      <c r="M575" s="49"/>
    </row>
    <row r="576" ht="22.5" customHeight="1">
      <c r="C576" s="16"/>
      <c r="F576" s="45"/>
      <c r="I576" s="16"/>
      <c r="M576" s="49"/>
    </row>
    <row r="577" ht="22.5" customHeight="1">
      <c r="C577" s="16"/>
      <c r="F577" s="45"/>
      <c r="I577" s="16"/>
      <c r="M577" s="49"/>
    </row>
    <row r="578" ht="22.5" customHeight="1">
      <c r="C578" s="16"/>
      <c r="F578" s="45"/>
      <c r="I578" s="16"/>
      <c r="M578" s="49"/>
    </row>
    <row r="579" ht="22.5" customHeight="1">
      <c r="C579" s="16"/>
      <c r="F579" s="45"/>
      <c r="I579" s="16"/>
      <c r="M579" s="49"/>
    </row>
    <row r="580" ht="22.5" customHeight="1">
      <c r="C580" s="16"/>
      <c r="F580" s="45"/>
      <c r="I580" s="16"/>
      <c r="M580" s="49"/>
    </row>
    <row r="581" ht="22.5" customHeight="1">
      <c r="C581" s="16"/>
      <c r="F581" s="45"/>
      <c r="I581" s="16"/>
      <c r="M581" s="49"/>
    </row>
    <row r="582" ht="22.5" customHeight="1">
      <c r="C582" s="16"/>
      <c r="F582" s="45"/>
      <c r="I582" s="16"/>
      <c r="M582" s="49"/>
    </row>
    <row r="583" ht="22.5" customHeight="1">
      <c r="C583" s="16"/>
      <c r="F583" s="45"/>
      <c r="I583" s="16"/>
      <c r="M583" s="49"/>
    </row>
    <row r="584" ht="22.5" customHeight="1">
      <c r="C584" s="16"/>
      <c r="F584" s="45"/>
      <c r="I584" s="16"/>
      <c r="M584" s="49"/>
    </row>
    <row r="585" ht="22.5" customHeight="1">
      <c r="C585" s="16"/>
      <c r="F585" s="45"/>
      <c r="I585" s="16"/>
      <c r="M585" s="49"/>
    </row>
    <row r="586" ht="22.5" customHeight="1">
      <c r="C586" s="16"/>
      <c r="F586" s="45"/>
      <c r="I586" s="16"/>
      <c r="M586" s="49"/>
    </row>
    <row r="587" ht="22.5" customHeight="1">
      <c r="C587" s="16"/>
      <c r="F587" s="45"/>
      <c r="I587" s="16"/>
      <c r="M587" s="49"/>
    </row>
    <row r="588" ht="22.5" customHeight="1">
      <c r="C588" s="16"/>
      <c r="F588" s="45"/>
      <c r="I588" s="16"/>
      <c r="M588" s="49"/>
    </row>
    <row r="589" ht="22.5" customHeight="1">
      <c r="C589" s="16"/>
      <c r="F589" s="45"/>
      <c r="I589" s="16"/>
      <c r="M589" s="49"/>
    </row>
    <row r="590" ht="22.5" customHeight="1">
      <c r="C590" s="16"/>
      <c r="F590" s="45"/>
      <c r="I590" s="16"/>
      <c r="M590" s="49"/>
    </row>
    <row r="591" ht="22.5" customHeight="1">
      <c r="C591" s="16"/>
      <c r="F591" s="45"/>
      <c r="I591" s="16"/>
      <c r="M591" s="49"/>
    </row>
    <row r="592" ht="22.5" customHeight="1">
      <c r="C592" s="16"/>
      <c r="F592" s="45"/>
      <c r="I592" s="16"/>
      <c r="M592" s="49"/>
    </row>
    <row r="593" ht="22.5" customHeight="1">
      <c r="C593" s="16"/>
      <c r="F593" s="45"/>
      <c r="I593" s="16"/>
      <c r="M593" s="49"/>
    </row>
    <row r="594" ht="22.5" customHeight="1">
      <c r="C594" s="16"/>
      <c r="F594" s="45"/>
      <c r="I594" s="16"/>
      <c r="M594" s="49"/>
    </row>
    <row r="595" ht="22.5" customHeight="1">
      <c r="C595" s="16"/>
      <c r="F595" s="45"/>
      <c r="I595" s="16"/>
      <c r="M595" s="49"/>
    </row>
    <row r="596" ht="22.5" customHeight="1">
      <c r="C596" s="16"/>
      <c r="F596" s="45"/>
      <c r="I596" s="16"/>
      <c r="M596" s="49"/>
    </row>
    <row r="597" ht="22.5" customHeight="1">
      <c r="C597" s="16"/>
      <c r="F597" s="45"/>
      <c r="I597" s="16"/>
      <c r="M597" s="49"/>
    </row>
    <row r="598" ht="22.5" customHeight="1">
      <c r="C598" s="16"/>
      <c r="F598" s="45"/>
      <c r="I598" s="16"/>
      <c r="M598" s="49"/>
    </row>
    <row r="599" ht="22.5" customHeight="1">
      <c r="C599" s="16"/>
      <c r="F599" s="45"/>
      <c r="I599" s="16"/>
      <c r="M599" s="49"/>
    </row>
    <row r="600" ht="22.5" customHeight="1">
      <c r="C600" s="16"/>
      <c r="F600" s="45"/>
      <c r="I600" s="16"/>
      <c r="M600" s="49"/>
    </row>
    <row r="601" ht="22.5" customHeight="1">
      <c r="C601" s="16"/>
      <c r="F601" s="45"/>
      <c r="I601" s="16"/>
      <c r="M601" s="49"/>
    </row>
    <row r="602" ht="22.5" customHeight="1">
      <c r="C602" s="16"/>
      <c r="F602" s="45"/>
      <c r="I602" s="16"/>
      <c r="M602" s="49"/>
    </row>
    <row r="603" ht="22.5" customHeight="1">
      <c r="C603" s="16"/>
      <c r="F603" s="45"/>
      <c r="I603" s="16"/>
      <c r="M603" s="49"/>
    </row>
    <row r="604" ht="22.5" customHeight="1">
      <c r="C604" s="16"/>
      <c r="F604" s="45"/>
      <c r="I604" s="16"/>
      <c r="M604" s="49"/>
    </row>
    <row r="605" ht="22.5" customHeight="1">
      <c r="C605" s="16"/>
      <c r="F605" s="45"/>
      <c r="I605" s="16"/>
      <c r="M605" s="49"/>
    </row>
    <row r="606" ht="22.5" customHeight="1">
      <c r="C606" s="16"/>
      <c r="F606" s="45"/>
      <c r="I606" s="16"/>
      <c r="M606" s="49"/>
    </row>
    <row r="607" ht="22.5" customHeight="1">
      <c r="C607" s="16"/>
      <c r="F607" s="45"/>
      <c r="I607" s="16"/>
      <c r="M607" s="49"/>
    </row>
    <row r="608" ht="22.5" customHeight="1">
      <c r="C608" s="16"/>
      <c r="F608" s="45"/>
      <c r="I608" s="16"/>
      <c r="M608" s="49"/>
    </row>
    <row r="609" ht="22.5" customHeight="1">
      <c r="C609" s="16"/>
      <c r="F609" s="45"/>
      <c r="I609" s="16"/>
      <c r="M609" s="49"/>
    </row>
    <row r="610" ht="22.5" customHeight="1">
      <c r="C610" s="16"/>
      <c r="F610" s="45"/>
      <c r="I610" s="16"/>
      <c r="M610" s="49"/>
    </row>
    <row r="611" ht="22.5" customHeight="1">
      <c r="C611" s="16"/>
      <c r="F611" s="45"/>
      <c r="I611" s="16"/>
      <c r="M611" s="49"/>
    </row>
    <row r="612" ht="22.5" customHeight="1">
      <c r="C612" s="16"/>
      <c r="F612" s="45"/>
      <c r="I612" s="16"/>
      <c r="M612" s="49"/>
    </row>
    <row r="613" ht="22.5" customHeight="1">
      <c r="C613" s="16"/>
      <c r="F613" s="45"/>
      <c r="I613" s="16"/>
      <c r="M613" s="49"/>
    </row>
    <row r="614" ht="22.5" customHeight="1">
      <c r="C614" s="16"/>
      <c r="F614" s="45"/>
      <c r="I614" s="16"/>
      <c r="M614" s="49"/>
    </row>
    <row r="615" ht="22.5" customHeight="1">
      <c r="C615" s="16"/>
      <c r="F615" s="45"/>
      <c r="I615" s="16"/>
      <c r="M615" s="49"/>
    </row>
    <row r="616" ht="22.5" customHeight="1">
      <c r="C616" s="16"/>
      <c r="F616" s="45"/>
      <c r="I616" s="16"/>
      <c r="M616" s="49"/>
    </row>
    <row r="617" ht="22.5" customHeight="1">
      <c r="C617" s="16"/>
      <c r="F617" s="45"/>
      <c r="I617" s="16"/>
      <c r="M617" s="49"/>
    </row>
    <row r="618" ht="22.5" customHeight="1">
      <c r="C618" s="16"/>
      <c r="F618" s="45"/>
      <c r="I618" s="16"/>
      <c r="M618" s="49"/>
    </row>
    <row r="619" ht="22.5" customHeight="1">
      <c r="C619" s="16"/>
      <c r="F619" s="45"/>
      <c r="I619" s="16"/>
      <c r="M619" s="49"/>
    </row>
    <row r="620" ht="22.5" customHeight="1">
      <c r="C620" s="16"/>
      <c r="F620" s="45"/>
      <c r="I620" s="16"/>
      <c r="M620" s="49"/>
    </row>
    <row r="621" ht="22.5" customHeight="1">
      <c r="C621" s="16"/>
      <c r="F621" s="45"/>
      <c r="I621" s="16"/>
      <c r="M621" s="49"/>
    </row>
    <row r="622" ht="22.5" customHeight="1">
      <c r="C622" s="16"/>
      <c r="F622" s="45"/>
      <c r="I622" s="16"/>
      <c r="M622" s="49"/>
    </row>
    <row r="623" ht="22.5" customHeight="1">
      <c r="C623" s="16"/>
      <c r="F623" s="45"/>
      <c r="I623" s="16"/>
      <c r="M623" s="49"/>
    </row>
    <row r="624" ht="22.5" customHeight="1">
      <c r="C624" s="16"/>
      <c r="F624" s="45"/>
      <c r="I624" s="16"/>
      <c r="M624" s="49"/>
    </row>
    <row r="625" ht="22.5" customHeight="1">
      <c r="C625" s="16"/>
      <c r="F625" s="45"/>
      <c r="I625" s="16"/>
      <c r="M625" s="49"/>
    </row>
    <row r="626" ht="22.5" customHeight="1">
      <c r="C626" s="16"/>
      <c r="F626" s="45"/>
      <c r="I626" s="16"/>
      <c r="M626" s="49"/>
    </row>
    <row r="627" ht="22.5" customHeight="1">
      <c r="C627" s="16"/>
      <c r="F627" s="45"/>
      <c r="I627" s="16"/>
      <c r="M627" s="49"/>
    </row>
    <row r="628" ht="22.5" customHeight="1">
      <c r="C628" s="16"/>
      <c r="F628" s="45"/>
      <c r="I628" s="16"/>
      <c r="M628" s="49"/>
    </row>
    <row r="629" ht="22.5" customHeight="1">
      <c r="C629" s="16"/>
      <c r="F629" s="45"/>
      <c r="I629" s="16"/>
      <c r="M629" s="49"/>
    </row>
    <row r="630" ht="22.5" customHeight="1">
      <c r="C630" s="16"/>
      <c r="F630" s="45"/>
      <c r="I630" s="16"/>
      <c r="M630" s="49"/>
    </row>
    <row r="631" ht="22.5" customHeight="1">
      <c r="C631" s="16"/>
      <c r="F631" s="45"/>
      <c r="I631" s="16"/>
      <c r="M631" s="49"/>
    </row>
    <row r="632" ht="22.5" customHeight="1">
      <c r="C632" s="16"/>
      <c r="F632" s="45"/>
      <c r="I632" s="16"/>
      <c r="M632" s="49"/>
    </row>
    <row r="633" ht="22.5" customHeight="1">
      <c r="C633" s="16"/>
      <c r="F633" s="45"/>
      <c r="I633" s="16"/>
      <c r="M633" s="49"/>
    </row>
    <row r="634" ht="22.5" customHeight="1">
      <c r="C634" s="16"/>
      <c r="F634" s="45"/>
      <c r="I634" s="16"/>
      <c r="M634" s="49"/>
    </row>
    <row r="635" ht="22.5" customHeight="1">
      <c r="C635" s="16"/>
      <c r="F635" s="45"/>
      <c r="I635" s="16"/>
      <c r="M635" s="49"/>
    </row>
    <row r="636" ht="22.5" customHeight="1">
      <c r="C636" s="16"/>
      <c r="F636" s="45"/>
      <c r="I636" s="16"/>
      <c r="M636" s="49"/>
    </row>
    <row r="637" ht="22.5" customHeight="1">
      <c r="C637" s="16"/>
      <c r="F637" s="45"/>
      <c r="I637" s="16"/>
      <c r="M637" s="49"/>
    </row>
    <row r="638" ht="22.5" customHeight="1">
      <c r="C638" s="16"/>
      <c r="F638" s="45"/>
      <c r="I638" s="16"/>
      <c r="M638" s="49"/>
    </row>
    <row r="639" ht="22.5" customHeight="1">
      <c r="C639" s="16"/>
      <c r="F639" s="45"/>
      <c r="I639" s="16"/>
      <c r="M639" s="49"/>
    </row>
    <row r="640" ht="22.5" customHeight="1">
      <c r="C640" s="16"/>
      <c r="F640" s="45"/>
      <c r="I640" s="16"/>
      <c r="M640" s="49"/>
    </row>
    <row r="641" ht="22.5" customHeight="1">
      <c r="C641" s="16"/>
      <c r="F641" s="45"/>
      <c r="I641" s="16"/>
      <c r="M641" s="49"/>
    </row>
    <row r="642" ht="22.5" customHeight="1">
      <c r="C642" s="16"/>
      <c r="F642" s="45"/>
      <c r="I642" s="16"/>
      <c r="M642" s="49"/>
    </row>
    <row r="643" ht="22.5" customHeight="1">
      <c r="C643" s="16"/>
      <c r="F643" s="45"/>
      <c r="I643" s="16"/>
      <c r="M643" s="49"/>
    </row>
    <row r="644" ht="22.5" customHeight="1">
      <c r="C644" s="16"/>
      <c r="F644" s="45"/>
      <c r="I644" s="16"/>
      <c r="M644" s="49"/>
    </row>
    <row r="645" ht="22.5" customHeight="1">
      <c r="C645" s="16"/>
      <c r="F645" s="45"/>
      <c r="I645" s="16"/>
      <c r="M645" s="49"/>
    </row>
    <row r="646" ht="22.5" customHeight="1">
      <c r="C646" s="16"/>
      <c r="F646" s="45"/>
      <c r="I646" s="16"/>
      <c r="M646" s="49"/>
    </row>
    <row r="647" ht="22.5" customHeight="1">
      <c r="C647" s="16"/>
      <c r="F647" s="45"/>
      <c r="I647" s="16"/>
      <c r="M647" s="49"/>
    </row>
    <row r="648" ht="22.5" customHeight="1">
      <c r="C648" s="16"/>
      <c r="F648" s="45"/>
      <c r="I648" s="16"/>
      <c r="M648" s="49"/>
    </row>
    <row r="649" ht="22.5" customHeight="1">
      <c r="C649" s="16"/>
      <c r="F649" s="45"/>
      <c r="I649" s="16"/>
      <c r="M649" s="49"/>
    </row>
    <row r="650" ht="22.5" customHeight="1">
      <c r="C650" s="16"/>
      <c r="F650" s="45"/>
      <c r="I650" s="16"/>
      <c r="M650" s="49"/>
    </row>
    <row r="651" ht="22.5" customHeight="1">
      <c r="C651" s="16"/>
      <c r="F651" s="45"/>
      <c r="I651" s="16"/>
      <c r="M651" s="49"/>
    </row>
    <row r="652" ht="22.5" customHeight="1">
      <c r="C652" s="16"/>
      <c r="F652" s="45"/>
      <c r="I652" s="16"/>
      <c r="M652" s="49"/>
    </row>
    <row r="653" ht="22.5" customHeight="1">
      <c r="C653" s="16"/>
      <c r="F653" s="45"/>
      <c r="I653" s="16"/>
      <c r="M653" s="49"/>
    </row>
    <row r="654" ht="22.5" customHeight="1">
      <c r="C654" s="16"/>
      <c r="F654" s="45"/>
      <c r="I654" s="16"/>
      <c r="M654" s="49"/>
    </row>
    <row r="655" ht="22.5" customHeight="1">
      <c r="C655" s="16"/>
      <c r="F655" s="45"/>
      <c r="I655" s="16"/>
      <c r="M655" s="49"/>
    </row>
    <row r="656" ht="22.5" customHeight="1">
      <c r="C656" s="16"/>
      <c r="F656" s="45"/>
      <c r="I656" s="16"/>
      <c r="M656" s="49"/>
    </row>
    <row r="657" ht="22.5" customHeight="1">
      <c r="C657" s="16"/>
      <c r="F657" s="45"/>
      <c r="I657" s="16"/>
      <c r="M657" s="49"/>
    </row>
    <row r="658" ht="22.5" customHeight="1">
      <c r="C658" s="16"/>
      <c r="F658" s="45"/>
      <c r="I658" s="16"/>
      <c r="M658" s="49"/>
    </row>
    <row r="659" ht="22.5" customHeight="1">
      <c r="C659" s="16"/>
      <c r="F659" s="45"/>
      <c r="I659" s="16"/>
      <c r="M659" s="49"/>
    </row>
    <row r="660" ht="22.5" customHeight="1">
      <c r="C660" s="16"/>
      <c r="F660" s="45"/>
      <c r="I660" s="16"/>
      <c r="M660" s="49"/>
    </row>
    <row r="661" ht="22.5" customHeight="1">
      <c r="C661" s="16"/>
      <c r="F661" s="45"/>
      <c r="I661" s="16"/>
      <c r="M661" s="49"/>
    </row>
    <row r="662" ht="22.5" customHeight="1">
      <c r="C662" s="16"/>
      <c r="F662" s="45"/>
      <c r="I662" s="16"/>
      <c r="M662" s="49"/>
    </row>
    <row r="663" ht="22.5" customHeight="1">
      <c r="C663" s="16"/>
      <c r="F663" s="45"/>
      <c r="I663" s="16"/>
      <c r="M663" s="49"/>
    </row>
    <row r="664" ht="22.5" customHeight="1">
      <c r="C664" s="16"/>
      <c r="F664" s="45"/>
      <c r="I664" s="16"/>
      <c r="M664" s="49"/>
    </row>
    <row r="665" ht="22.5" customHeight="1">
      <c r="C665" s="16"/>
      <c r="F665" s="45"/>
      <c r="I665" s="16"/>
      <c r="M665" s="49"/>
    </row>
    <row r="666" ht="22.5" customHeight="1">
      <c r="C666" s="16"/>
      <c r="F666" s="45"/>
      <c r="I666" s="16"/>
      <c r="M666" s="49"/>
    </row>
    <row r="667" ht="22.5" customHeight="1">
      <c r="C667" s="16"/>
      <c r="F667" s="45"/>
      <c r="I667" s="16"/>
      <c r="M667" s="49"/>
    </row>
    <row r="668" ht="22.5" customHeight="1">
      <c r="C668" s="16"/>
      <c r="F668" s="45"/>
      <c r="I668" s="16"/>
      <c r="M668" s="49"/>
    </row>
    <row r="669" ht="22.5" customHeight="1">
      <c r="C669" s="16"/>
      <c r="F669" s="45"/>
      <c r="I669" s="16"/>
      <c r="M669" s="49"/>
    </row>
    <row r="670" ht="22.5" customHeight="1">
      <c r="C670" s="16"/>
      <c r="F670" s="45"/>
      <c r="I670" s="16"/>
      <c r="M670" s="49"/>
    </row>
    <row r="671" ht="22.5" customHeight="1">
      <c r="C671" s="16"/>
      <c r="F671" s="45"/>
      <c r="I671" s="16"/>
      <c r="M671" s="49"/>
    </row>
    <row r="672" ht="22.5" customHeight="1">
      <c r="C672" s="16"/>
      <c r="F672" s="45"/>
      <c r="I672" s="16"/>
      <c r="M672" s="49"/>
    </row>
    <row r="673" ht="22.5" customHeight="1">
      <c r="C673" s="16"/>
      <c r="F673" s="45"/>
      <c r="I673" s="16"/>
      <c r="M673" s="49"/>
    </row>
    <row r="674" ht="22.5" customHeight="1">
      <c r="C674" s="16"/>
      <c r="F674" s="45"/>
      <c r="I674" s="16"/>
      <c r="M674" s="49"/>
    </row>
    <row r="675" ht="22.5" customHeight="1">
      <c r="C675" s="16"/>
      <c r="F675" s="45"/>
      <c r="I675" s="16"/>
      <c r="M675" s="49"/>
    </row>
    <row r="676" ht="22.5" customHeight="1">
      <c r="C676" s="16"/>
      <c r="F676" s="45"/>
      <c r="I676" s="16"/>
      <c r="M676" s="49"/>
    </row>
    <row r="677" ht="22.5" customHeight="1">
      <c r="C677" s="16"/>
      <c r="F677" s="45"/>
      <c r="I677" s="16"/>
      <c r="M677" s="49"/>
    </row>
    <row r="678" ht="22.5" customHeight="1">
      <c r="C678" s="16"/>
      <c r="F678" s="45"/>
      <c r="I678" s="16"/>
      <c r="M678" s="49"/>
    </row>
    <row r="679" ht="22.5" customHeight="1">
      <c r="C679" s="16"/>
      <c r="F679" s="45"/>
      <c r="I679" s="16"/>
      <c r="M679" s="49"/>
    </row>
    <row r="680" ht="22.5" customHeight="1">
      <c r="C680" s="16"/>
      <c r="F680" s="45"/>
      <c r="I680" s="16"/>
      <c r="M680" s="49"/>
    </row>
    <row r="681" ht="22.5" customHeight="1">
      <c r="C681" s="16"/>
      <c r="F681" s="45"/>
      <c r="I681" s="16"/>
      <c r="M681" s="49"/>
    </row>
    <row r="682" ht="22.5" customHeight="1">
      <c r="C682" s="16"/>
      <c r="F682" s="45"/>
      <c r="I682" s="16"/>
      <c r="M682" s="49"/>
    </row>
    <row r="683" ht="22.5" customHeight="1">
      <c r="C683" s="16"/>
      <c r="F683" s="45"/>
      <c r="I683" s="16"/>
      <c r="M683" s="49"/>
    </row>
    <row r="684" ht="22.5" customHeight="1">
      <c r="C684" s="16"/>
      <c r="F684" s="45"/>
      <c r="I684" s="16"/>
      <c r="M684" s="49"/>
    </row>
    <row r="685" ht="22.5" customHeight="1">
      <c r="C685" s="16"/>
      <c r="F685" s="45"/>
      <c r="I685" s="16"/>
      <c r="M685" s="49"/>
    </row>
    <row r="686" ht="22.5" customHeight="1">
      <c r="C686" s="16"/>
      <c r="F686" s="45"/>
      <c r="I686" s="16"/>
      <c r="M686" s="49"/>
    </row>
    <row r="687" ht="22.5" customHeight="1">
      <c r="C687" s="16"/>
      <c r="F687" s="45"/>
      <c r="I687" s="16"/>
      <c r="M687" s="49"/>
    </row>
    <row r="688" ht="22.5" customHeight="1">
      <c r="C688" s="16"/>
      <c r="F688" s="45"/>
      <c r="I688" s="16"/>
      <c r="M688" s="49"/>
    </row>
    <row r="689" ht="22.5" customHeight="1">
      <c r="C689" s="16"/>
      <c r="F689" s="45"/>
      <c r="I689" s="16"/>
      <c r="M689" s="49"/>
    </row>
    <row r="690" ht="22.5" customHeight="1">
      <c r="C690" s="16"/>
      <c r="F690" s="45"/>
      <c r="I690" s="16"/>
      <c r="M690" s="49"/>
    </row>
    <row r="691" ht="22.5" customHeight="1">
      <c r="C691" s="16"/>
      <c r="F691" s="45"/>
      <c r="I691" s="16"/>
      <c r="M691" s="49"/>
    </row>
    <row r="692" ht="22.5" customHeight="1">
      <c r="C692" s="16"/>
      <c r="F692" s="45"/>
      <c r="I692" s="16"/>
      <c r="M692" s="49"/>
    </row>
    <row r="693" ht="22.5" customHeight="1">
      <c r="C693" s="16"/>
      <c r="F693" s="45"/>
      <c r="I693" s="16"/>
      <c r="M693" s="49"/>
    </row>
    <row r="694" ht="22.5" customHeight="1">
      <c r="C694" s="16"/>
      <c r="F694" s="45"/>
      <c r="I694" s="16"/>
      <c r="M694" s="49"/>
    </row>
    <row r="695" ht="22.5" customHeight="1">
      <c r="C695" s="16"/>
      <c r="F695" s="45"/>
      <c r="I695" s="16"/>
      <c r="M695" s="49"/>
    </row>
    <row r="696" ht="22.5" customHeight="1">
      <c r="C696" s="16"/>
      <c r="F696" s="45"/>
      <c r="I696" s="16"/>
      <c r="M696" s="49"/>
    </row>
    <row r="697" ht="22.5" customHeight="1">
      <c r="C697" s="16"/>
      <c r="F697" s="45"/>
      <c r="I697" s="16"/>
      <c r="M697" s="49"/>
    </row>
    <row r="698" ht="22.5" customHeight="1">
      <c r="C698" s="16"/>
      <c r="F698" s="45"/>
      <c r="I698" s="16"/>
      <c r="M698" s="49"/>
    </row>
    <row r="699" ht="22.5" customHeight="1">
      <c r="C699" s="16"/>
      <c r="F699" s="45"/>
      <c r="I699" s="16"/>
      <c r="M699" s="49"/>
    </row>
    <row r="700" ht="22.5" customHeight="1">
      <c r="C700" s="16"/>
      <c r="F700" s="45"/>
      <c r="I700" s="16"/>
      <c r="M700" s="49"/>
    </row>
    <row r="701" ht="22.5" customHeight="1">
      <c r="C701" s="16"/>
      <c r="F701" s="45"/>
      <c r="I701" s="16"/>
      <c r="M701" s="49"/>
    </row>
    <row r="702" ht="22.5" customHeight="1">
      <c r="C702" s="16"/>
      <c r="F702" s="45"/>
      <c r="I702" s="16"/>
      <c r="M702" s="49"/>
    </row>
    <row r="703" ht="22.5" customHeight="1">
      <c r="C703" s="16"/>
      <c r="F703" s="45"/>
      <c r="I703" s="16"/>
      <c r="M703" s="49"/>
    </row>
    <row r="704" ht="22.5" customHeight="1">
      <c r="C704" s="16"/>
      <c r="F704" s="45"/>
      <c r="I704" s="16"/>
      <c r="M704" s="49"/>
    </row>
    <row r="705" ht="22.5" customHeight="1">
      <c r="C705" s="16"/>
      <c r="F705" s="45"/>
      <c r="I705" s="16"/>
      <c r="M705" s="49"/>
    </row>
    <row r="706" ht="22.5" customHeight="1">
      <c r="C706" s="16"/>
      <c r="F706" s="45"/>
      <c r="I706" s="16"/>
      <c r="M706" s="49"/>
    </row>
    <row r="707" ht="22.5" customHeight="1">
      <c r="C707" s="16"/>
      <c r="F707" s="45"/>
      <c r="I707" s="16"/>
      <c r="M707" s="49"/>
    </row>
    <row r="708" ht="22.5" customHeight="1">
      <c r="C708" s="16"/>
      <c r="F708" s="45"/>
      <c r="I708" s="16"/>
      <c r="M708" s="49"/>
    </row>
    <row r="709" ht="22.5" customHeight="1">
      <c r="C709" s="16"/>
      <c r="F709" s="45"/>
      <c r="I709" s="16"/>
      <c r="M709" s="49"/>
    </row>
    <row r="710" ht="22.5" customHeight="1">
      <c r="C710" s="16"/>
      <c r="F710" s="45"/>
      <c r="I710" s="16"/>
      <c r="M710" s="49"/>
    </row>
    <row r="711" ht="22.5" customHeight="1">
      <c r="C711" s="16"/>
      <c r="F711" s="45"/>
      <c r="I711" s="16"/>
      <c r="M711" s="49"/>
    </row>
    <row r="712" ht="22.5" customHeight="1">
      <c r="C712" s="16"/>
      <c r="F712" s="45"/>
      <c r="I712" s="16"/>
      <c r="M712" s="49"/>
    </row>
    <row r="713" ht="22.5" customHeight="1">
      <c r="C713" s="16"/>
      <c r="F713" s="45"/>
      <c r="I713" s="16"/>
      <c r="M713" s="49"/>
    </row>
    <row r="714" ht="22.5" customHeight="1">
      <c r="C714" s="16"/>
      <c r="F714" s="45"/>
      <c r="I714" s="16"/>
      <c r="M714" s="49"/>
    </row>
    <row r="715" ht="22.5" customHeight="1">
      <c r="C715" s="16"/>
      <c r="F715" s="45"/>
      <c r="I715" s="16"/>
      <c r="M715" s="49"/>
    </row>
    <row r="716" ht="22.5" customHeight="1">
      <c r="C716" s="16"/>
      <c r="F716" s="45"/>
      <c r="I716" s="16"/>
      <c r="M716" s="49"/>
    </row>
    <row r="717" ht="22.5" customHeight="1">
      <c r="C717" s="16"/>
      <c r="F717" s="45"/>
      <c r="I717" s="16"/>
      <c r="M717" s="49"/>
    </row>
    <row r="718" ht="22.5" customHeight="1">
      <c r="C718" s="16"/>
      <c r="F718" s="45"/>
      <c r="I718" s="16"/>
      <c r="M718" s="49"/>
    </row>
    <row r="719" ht="22.5" customHeight="1">
      <c r="C719" s="16"/>
      <c r="F719" s="45"/>
      <c r="I719" s="16"/>
      <c r="M719" s="49"/>
    </row>
    <row r="720" ht="22.5" customHeight="1">
      <c r="C720" s="16"/>
      <c r="F720" s="45"/>
      <c r="I720" s="16"/>
      <c r="M720" s="49"/>
    </row>
    <row r="721" ht="22.5" customHeight="1">
      <c r="C721" s="16"/>
      <c r="F721" s="45"/>
      <c r="I721" s="16"/>
      <c r="M721" s="49"/>
    </row>
    <row r="722" ht="22.5" customHeight="1">
      <c r="C722" s="16"/>
      <c r="F722" s="45"/>
      <c r="I722" s="16"/>
      <c r="M722" s="49"/>
    </row>
    <row r="723" ht="22.5" customHeight="1">
      <c r="C723" s="16"/>
      <c r="F723" s="45"/>
      <c r="I723" s="16"/>
      <c r="M723" s="49"/>
    </row>
    <row r="724" ht="22.5" customHeight="1">
      <c r="C724" s="16"/>
      <c r="F724" s="45"/>
      <c r="I724" s="16"/>
      <c r="M724" s="49"/>
    </row>
    <row r="725" ht="22.5" customHeight="1">
      <c r="C725" s="16"/>
      <c r="F725" s="45"/>
      <c r="I725" s="16"/>
      <c r="M725" s="49"/>
    </row>
    <row r="726" ht="22.5" customHeight="1">
      <c r="C726" s="16"/>
      <c r="F726" s="45"/>
      <c r="I726" s="16"/>
      <c r="M726" s="49"/>
    </row>
    <row r="727" ht="22.5" customHeight="1">
      <c r="C727" s="16"/>
      <c r="F727" s="45"/>
      <c r="I727" s="16"/>
      <c r="M727" s="49"/>
    </row>
    <row r="728" ht="22.5" customHeight="1">
      <c r="C728" s="16"/>
      <c r="F728" s="45"/>
      <c r="I728" s="16"/>
      <c r="M728" s="49"/>
    </row>
    <row r="729" ht="22.5" customHeight="1">
      <c r="C729" s="16"/>
      <c r="F729" s="45"/>
      <c r="I729" s="16"/>
      <c r="M729" s="49"/>
    </row>
    <row r="730" ht="22.5" customHeight="1">
      <c r="C730" s="16"/>
      <c r="F730" s="45"/>
      <c r="I730" s="16"/>
      <c r="M730" s="49"/>
    </row>
    <row r="731" ht="22.5" customHeight="1">
      <c r="C731" s="16"/>
      <c r="F731" s="45"/>
      <c r="I731" s="16"/>
      <c r="M731" s="49"/>
    </row>
    <row r="732" ht="22.5" customHeight="1">
      <c r="C732" s="16"/>
      <c r="F732" s="45"/>
      <c r="I732" s="16"/>
      <c r="M732" s="49"/>
    </row>
    <row r="733" ht="22.5" customHeight="1">
      <c r="C733" s="16"/>
      <c r="F733" s="45"/>
      <c r="I733" s="16"/>
      <c r="M733" s="49"/>
    </row>
    <row r="734" ht="22.5" customHeight="1">
      <c r="C734" s="16"/>
      <c r="F734" s="45"/>
      <c r="I734" s="16"/>
      <c r="M734" s="49"/>
    </row>
    <row r="735" ht="22.5" customHeight="1">
      <c r="C735" s="16"/>
      <c r="F735" s="45"/>
      <c r="I735" s="16"/>
      <c r="M735" s="49"/>
    </row>
    <row r="736" ht="22.5" customHeight="1">
      <c r="C736" s="16"/>
      <c r="F736" s="45"/>
      <c r="I736" s="16"/>
      <c r="M736" s="49"/>
    </row>
    <row r="737" ht="22.5" customHeight="1">
      <c r="C737" s="16"/>
      <c r="F737" s="45"/>
      <c r="I737" s="16"/>
      <c r="M737" s="49"/>
    </row>
    <row r="738" ht="22.5" customHeight="1">
      <c r="C738" s="16"/>
      <c r="F738" s="45"/>
      <c r="I738" s="16"/>
      <c r="M738" s="49"/>
    </row>
    <row r="739" ht="22.5" customHeight="1">
      <c r="C739" s="16"/>
      <c r="F739" s="45"/>
      <c r="I739" s="16"/>
      <c r="M739" s="49"/>
    </row>
    <row r="740" ht="22.5" customHeight="1">
      <c r="C740" s="16"/>
      <c r="F740" s="45"/>
      <c r="I740" s="16"/>
      <c r="M740" s="49"/>
    </row>
    <row r="741" ht="22.5" customHeight="1">
      <c r="C741" s="16"/>
      <c r="F741" s="45"/>
      <c r="I741" s="16"/>
      <c r="M741" s="49"/>
    </row>
    <row r="742" ht="22.5" customHeight="1">
      <c r="C742" s="16"/>
      <c r="F742" s="45"/>
      <c r="I742" s="16"/>
      <c r="M742" s="49"/>
    </row>
    <row r="743" ht="22.5" customHeight="1">
      <c r="C743" s="16"/>
      <c r="F743" s="45"/>
      <c r="I743" s="16"/>
      <c r="M743" s="49"/>
    </row>
    <row r="744" ht="22.5" customHeight="1">
      <c r="C744" s="16"/>
      <c r="F744" s="45"/>
      <c r="I744" s="16"/>
      <c r="M744" s="49"/>
    </row>
    <row r="745" ht="22.5" customHeight="1">
      <c r="C745" s="16"/>
      <c r="F745" s="45"/>
      <c r="I745" s="16"/>
      <c r="M745" s="49"/>
    </row>
    <row r="746" ht="22.5" customHeight="1">
      <c r="C746" s="16"/>
      <c r="F746" s="45"/>
      <c r="I746" s="16"/>
      <c r="M746" s="49"/>
    </row>
    <row r="747" ht="22.5" customHeight="1">
      <c r="C747" s="16"/>
      <c r="F747" s="45"/>
      <c r="I747" s="16"/>
      <c r="M747" s="49"/>
    </row>
    <row r="748" ht="22.5" customHeight="1">
      <c r="C748" s="16"/>
      <c r="F748" s="45"/>
      <c r="I748" s="16"/>
      <c r="M748" s="49"/>
    </row>
    <row r="749" ht="22.5" customHeight="1">
      <c r="C749" s="16"/>
      <c r="F749" s="45"/>
      <c r="I749" s="16"/>
      <c r="M749" s="49"/>
    </row>
    <row r="750" ht="22.5" customHeight="1">
      <c r="C750" s="16"/>
      <c r="F750" s="45"/>
      <c r="I750" s="16"/>
      <c r="M750" s="49"/>
    </row>
    <row r="751" ht="22.5" customHeight="1">
      <c r="C751" s="16"/>
      <c r="F751" s="45"/>
      <c r="I751" s="16"/>
      <c r="M751" s="49"/>
    </row>
    <row r="752" ht="22.5" customHeight="1">
      <c r="C752" s="16"/>
      <c r="F752" s="45"/>
      <c r="I752" s="16"/>
      <c r="M752" s="49"/>
    </row>
    <row r="753" ht="22.5" customHeight="1">
      <c r="C753" s="16"/>
      <c r="F753" s="45"/>
      <c r="I753" s="16"/>
      <c r="M753" s="49"/>
    </row>
    <row r="754" ht="22.5" customHeight="1">
      <c r="C754" s="16"/>
      <c r="F754" s="45"/>
      <c r="I754" s="16"/>
      <c r="M754" s="49"/>
    </row>
    <row r="755" ht="22.5" customHeight="1">
      <c r="C755" s="16"/>
      <c r="F755" s="45"/>
      <c r="I755" s="16"/>
      <c r="M755" s="49"/>
    </row>
    <row r="756" ht="22.5" customHeight="1">
      <c r="C756" s="16"/>
      <c r="F756" s="45"/>
      <c r="I756" s="16"/>
      <c r="M756" s="49"/>
    </row>
    <row r="757" ht="22.5" customHeight="1">
      <c r="C757" s="16"/>
      <c r="F757" s="45"/>
      <c r="I757" s="16"/>
      <c r="M757" s="49"/>
    </row>
    <row r="758" ht="22.5" customHeight="1">
      <c r="C758" s="16"/>
      <c r="F758" s="45"/>
      <c r="I758" s="16"/>
      <c r="M758" s="49"/>
    </row>
    <row r="759" ht="22.5" customHeight="1">
      <c r="C759" s="16"/>
      <c r="F759" s="45"/>
      <c r="I759" s="16"/>
      <c r="M759" s="49"/>
    </row>
    <row r="760" ht="22.5" customHeight="1">
      <c r="C760" s="16"/>
      <c r="F760" s="45"/>
      <c r="I760" s="16"/>
      <c r="M760" s="49"/>
    </row>
    <row r="761" ht="22.5" customHeight="1">
      <c r="C761" s="16"/>
      <c r="F761" s="45"/>
      <c r="I761" s="16"/>
      <c r="M761" s="49"/>
    </row>
    <row r="762" ht="22.5" customHeight="1">
      <c r="C762" s="16"/>
      <c r="F762" s="45"/>
      <c r="I762" s="16"/>
      <c r="M762" s="49"/>
    </row>
    <row r="763" ht="22.5" customHeight="1">
      <c r="C763" s="16"/>
      <c r="F763" s="45"/>
      <c r="I763" s="16"/>
      <c r="M763" s="49"/>
    </row>
    <row r="764" ht="22.5" customHeight="1">
      <c r="C764" s="16"/>
      <c r="F764" s="45"/>
      <c r="I764" s="16"/>
      <c r="M764" s="49"/>
    </row>
    <row r="765" ht="22.5" customHeight="1">
      <c r="C765" s="16"/>
      <c r="F765" s="45"/>
      <c r="I765" s="16"/>
      <c r="M765" s="49"/>
    </row>
    <row r="766" ht="22.5" customHeight="1">
      <c r="C766" s="16"/>
      <c r="F766" s="45"/>
      <c r="I766" s="16"/>
      <c r="M766" s="49"/>
    </row>
    <row r="767" ht="22.5" customHeight="1">
      <c r="C767" s="16"/>
      <c r="F767" s="45"/>
      <c r="I767" s="16"/>
      <c r="M767" s="49"/>
    </row>
    <row r="768" ht="22.5" customHeight="1">
      <c r="C768" s="16"/>
      <c r="F768" s="45"/>
      <c r="I768" s="16"/>
      <c r="M768" s="49"/>
    </row>
    <row r="769" ht="22.5" customHeight="1">
      <c r="C769" s="16"/>
      <c r="F769" s="45"/>
      <c r="I769" s="16"/>
      <c r="M769" s="49"/>
    </row>
    <row r="770" ht="22.5" customHeight="1">
      <c r="C770" s="16"/>
      <c r="F770" s="45"/>
      <c r="I770" s="16"/>
      <c r="M770" s="49"/>
    </row>
    <row r="771" ht="22.5" customHeight="1">
      <c r="C771" s="16"/>
      <c r="F771" s="45"/>
      <c r="I771" s="16"/>
      <c r="M771" s="49"/>
    </row>
    <row r="772" ht="22.5" customHeight="1">
      <c r="C772" s="16"/>
      <c r="F772" s="45"/>
      <c r="I772" s="16"/>
      <c r="M772" s="49"/>
    </row>
    <row r="773" ht="22.5" customHeight="1">
      <c r="C773" s="16"/>
      <c r="F773" s="45"/>
      <c r="I773" s="16"/>
      <c r="M773" s="49"/>
    </row>
    <row r="774" ht="22.5" customHeight="1">
      <c r="C774" s="16"/>
      <c r="F774" s="45"/>
      <c r="I774" s="16"/>
      <c r="M774" s="49"/>
    </row>
    <row r="775" ht="22.5" customHeight="1">
      <c r="C775" s="16"/>
      <c r="F775" s="45"/>
      <c r="I775" s="16"/>
      <c r="M775" s="49"/>
    </row>
    <row r="776" ht="22.5" customHeight="1">
      <c r="C776" s="16"/>
      <c r="F776" s="45"/>
      <c r="I776" s="16"/>
      <c r="M776" s="49"/>
    </row>
    <row r="777" ht="22.5" customHeight="1">
      <c r="C777" s="16"/>
      <c r="F777" s="45"/>
      <c r="I777" s="16"/>
      <c r="M777" s="49"/>
    </row>
    <row r="778" ht="22.5" customHeight="1">
      <c r="C778" s="16"/>
      <c r="F778" s="45"/>
      <c r="I778" s="16"/>
      <c r="M778" s="49"/>
    </row>
    <row r="779" ht="22.5" customHeight="1">
      <c r="C779" s="16"/>
      <c r="F779" s="45"/>
      <c r="I779" s="16"/>
      <c r="M779" s="49"/>
    </row>
    <row r="780" ht="22.5" customHeight="1">
      <c r="C780" s="16"/>
      <c r="F780" s="45"/>
      <c r="I780" s="16"/>
      <c r="M780" s="49"/>
    </row>
    <row r="781" ht="22.5" customHeight="1">
      <c r="C781" s="16"/>
      <c r="F781" s="45"/>
      <c r="I781" s="16"/>
      <c r="M781" s="49"/>
    </row>
    <row r="782" ht="22.5" customHeight="1">
      <c r="C782" s="16"/>
      <c r="F782" s="45"/>
      <c r="I782" s="16"/>
      <c r="M782" s="49"/>
    </row>
    <row r="783" ht="22.5" customHeight="1">
      <c r="C783" s="16"/>
      <c r="F783" s="45"/>
      <c r="I783" s="16"/>
      <c r="M783" s="49"/>
    </row>
    <row r="784" ht="22.5" customHeight="1">
      <c r="C784" s="16"/>
      <c r="F784" s="45"/>
      <c r="I784" s="16"/>
      <c r="M784" s="49"/>
    </row>
    <row r="785" ht="22.5" customHeight="1">
      <c r="C785" s="16"/>
      <c r="F785" s="45"/>
      <c r="I785" s="16"/>
      <c r="M785" s="49"/>
    </row>
    <row r="786" ht="22.5" customHeight="1">
      <c r="C786" s="16"/>
      <c r="F786" s="45"/>
      <c r="I786" s="16"/>
      <c r="M786" s="49"/>
    </row>
    <row r="787" ht="22.5" customHeight="1">
      <c r="C787" s="16"/>
      <c r="F787" s="45"/>
      <c r="I787" s="16"/>
      <c r="M787" s="49"/>
    </row>
    <row r="788" ht="22.5" customHeight="1">
      <c r="C788" s="16"/>
      <c r="F788" s="45"/>
      <c r="I788" s="16"/>
      <c r="M788" s="49"/>
    </row>
    <row r="789" ht="22.5" customHeight="1">
      <c r="C789" s="16"/>
      <c r="F789" s="45"/>
      <c r="I789" s="16"/>
      <c r="M789" s="49"/>
    </row>
    <row r="790" ht="22.5" customHeight="1">
      <c r="C790" s="16"/>
      <c r="F790" s="45"/>
      <c r="I790" s="16"/>
      <c r="M790" s="49"/>
    </row>
    <row r="791" ht="22.5" customHeight="1">
      <c r="C791" s="16"/>
      <c r="F791" s="45"/>
      <c r="I791" s="16"/>
      <c r="M791" s="49"/>
    </row>
    <row r="792" ht="22.5" customHeight="1">
      <c r="C792" s="16"/>
      <c r="F792" s="45"/>
      <c r="I792" s="16"/>
      <c r="M792" s="49"/>
    </row>
    <row r="793" ht="22.5" customHeight="1">
      <c r="C793" s="16"/>
      <c r="F793" s="45"/>
      <c r="I793" s="16"/>
      <c r="M793" s="49"/>
    </row>
    <row r="794" ht="22.5" customHeight="1">
      <c r="C794" s="16"/>
      <c r="F794" s="45"/>
      <c r="I794" s="16"/>
      <c r="M794" s="49"/>
    </row>
    <row r="795" ht="22.5" customHeight="1">
      <c r="C795" s="16"/>
      <c r="F795" s="45"/>
      <c r="I795" s="16"/>
      <c r="M795" s="49"/>
    </row>
    <row r="796" ht="22.5" customHeight="1">
      <c r="C796" s="16"/>
      <c r="F796" s="45"/>
      <c r="I796" s="16"/>
      <c r="M796" s="49"/>
    </row>
    <row r="797" ht="22.5" customHeight="1">
      <c r="C797" s="16"/>
      <c r="F797" s="45"/>
      <c r="I797" s="16"/>
      <c r="M797" s="49"/>
    </row>
    <row r="798" ht="22.5" customHeight="1">
      <c r="C798" s="16"/>
      <c r="F798" s="45"/>
      <c r="I798" s="16"/>
      <c r="M798" s="49"/>
    </row>
    <row r="799" ht="22.5" customHeight="1">
      <c r="C799" s="16"/>
      <c r="F799" s="45"/>
      <c r="I799" s="16"/>
      <c r="M799" s="49"/>
    </row>
    <row r="800" ht="22.5" customHeight="1">
      <c r="C800" s="16"/>
      <c r="F800" s="45"/>
      <c r="I800" s="16"/>
      <c r="M800" s="49"/>
    </row>
    <row r="801" ht="22.5" customHeight="1">
      <c r="C801" s="16"/>
      <c r="F801" s="45"/>
      <c r="I801" s="16"/>
      <c r="M801" s="49"/>
    </row>
    <row r="802" ht="22.5" customHeight="1">
      <c r="C802" s="16"/>
      <c r="F802" s="45"/>
      <c r="I802" s="16"/>
      <c r="M802" s="49"/>
    </row>
    <row r="803" ht="22.5" customHeight="1">
      <c r="C803" s="16"/>
      <c r="F803" s="45"/>
      <c r="I803" s="16"/>
      <c r="M803" s="49"/>
    </row>
    <row r="804" ht="22.5" customHeight="1">
      <c r="C804" s="16"/>
      <c r="F804" s="45"/>
      <c r="I804" s="16"/>
      <c r="M804" s="49"/>
    </row>
    <row r="805" ht="22.5" customHeight="1">
      <c r="C805" s="16"/>
      <c r="F805" s="45"/>
      <c r="I805" s="16"/>
      <c r="M805" s="49"/>
    </row>
    <row r="806" ht="22.5" customHeight="1">
      <c r="C806" s="16"/>
      <c r="F806" s="45"/>
      <c r="I806" s="16"/>
      <c r="M806" s="49"/>
    </row>
    <row r="807" ht="22.5" customHeight="1">
      <c r="C807" s="16"/>
      <c r="F807" s="45"/>
      <c r="I807" s="16"/>
      <c r="M807" s="49"/>
    </row>
    <row r="808" ht="22.5" customHeight="1">
      <c r="C808" s="16"/>
      <c r="F808" s="45"/>
      <c r="I808" s="16"/>
      <c r="M808" s="49"/>
    </row>
    <row r="809" ht="22.5" customHeight="1">
      <c r="C809" s="16"/>
      <c r="F809" s="45"/>
      <c r="I809" s="16"/>
      <c r="M809" s="49"/>
    </row>
    <row r="810" ht="22.5" customHeight="1">
      <c r="C810" s="16"/>
      <c r="F810" s="45"/>
      <c r="I810" s="16"/>
      <c r="M810" s="49"/>
    </row>
    <row r="811" ht="22.5" customHeight="1">
      <c r="C811" s="16"/>
      <c r="F811" s="45"/>
      <c r="I811" s="16"/>
      <c r="M811" s="49"/>
    </row>
    <row r="812" ht="22.5" customHeight="1">
      <c r="C812" s="16"/>
      <c r="F812" s="45"/>
      <c r="I812" s="16"/>
      <c r="M812" s="49"/>
    </row>
    <row r="813" ht="22.5" customHeight="1">
      <c r="C813" s="16"/>
      <c r="F813" s="45"/>
      <c r="I813" s="16"/>
      <c r="M813" s="49"/>
    </row>
    <row r="814" ht="22.5" customHeight="1">
      <c r="C814" s="16"/>
      <c r="F814" s="45"/>
      <c r="I814" s="16"/>
      <c r="M814" s="49"/>
    </row>
    <row r="815" ht="22.5" customHeight="1">
      <c r="C815" s="16"/>
      <c r="F815" s="45"/>
      <c r="I815" s="16"/>
      <c r="M815" s="49"/>
    </row>
    <row r="816" ht="22.5" customHeight="1">
      <c r="C816" s="16"/>
      <c r="F816" s="45"/>
      <c r="I816" s="16"/>
      <c r="M816" s="49"/>
    </row>
    <row r="817" ht="22.5" customHeight="1">
      <c r="C817" s="16"/>
      <c r="F817" s="45"/>
      <c r="I817" s="16"/>
      <c r="M817" s="49"/>
    </row>
    <row r="818" ht="22.5" customHeight="1">
      <c r="C818" s="16"/>
      <c r="F818" s="45"/>
      <c r="I818" s="16"/>
      <c r="M818" s="49"/>
    </row>
    <row r="819" ht="22.5" customHeight="1">
      <c r="C819" s="16"/>
      <c r="F819" s="45"/>
      <c r="I819" s="16"/>
      <c r="M819" s="49"/>
    </row>
    <row r="820" ht="22.5" customHeight="1">
      <c r="C820" s="16"/>
      <c r="F820" s="45"/>
      <c r="I820" s="16"/>
      <c r="M820" s="49"/>
    </row>
    <row r="821" ht="22.5" customHeight="1">
      <c r="C821" s="16"/>
      <c r="F821" s="45"/>
      <c r="I821" s="16"/>
      <c r="M821" s="49"/>
    </row>
    <row r="822" ht="22.5" customHeight="1">
      <c r="C822" s="16"/>
      <c r="F822" s="45"/>
      <c r="I822" s="16"/>
      <c r="M822" s="49"/>
    </row>
    <row r="823" ht="22.5" customHeight="1">
      <c r="C823" s="16"/>
      <c r="F823" s="45"/>
      <c r="I823" s="16"/>
      <c r="M823" s="49"/>
    </row>
    <row r="824" ht="22.5" customHeight="1">
      <c r="C824" s="16"/>
      <c r="F824" s="45"/>
      <c r="I824" s="16"/>
      <c r="M824" s="49"/>
    </row>
    <row r="825" ht="22.5" customHeight="1">
      <c r="C825" s="16"/>
      <c r="F825" s="45"/>
      <c r="I825" s="16"/>
      <c r="M825" s="49"/>
    </row>
    <row r="826" ht="22.5" customHeight="1">
      <c r="C826" s="16"/>
      <c r="F826" s="45"/>
      <c r="I826" s="16"/>
      <c r="M826" s="49"/>
    </row>
    <row r="827" ht="22.5" customHeight="1">
      <c r="C827" s="16"/>
      <c r="F827" s="45"/>
      <c r="I827" s="16"/>
      <c r="M827" s="49"/>
    </row>
    <row r="828" ht="22.5" customHeight="1">
      <c r="C828" s="16"/>
      <c r="F828" s="45"/>
      <c r="I828" s="16"/>
      <c r="M828" s="49"/>
    </row>
    <row r="829" ht="22.5" customHeight="1">
      <c r="C829" s="16"/>
      <c r="F829" s="45"/>
      <c r="I829" s="16"/>
      <c r="M829" s="49"/>
    </row>
    <row r="830" ht="22.5" customHeight="1">
      <c r="C830" s="16"/>
      <c r="F830" s="45"/>
      <c r="I830" s="16"/>
      <c r="M830" s="49"/>
    </row>
    <row r="831" ht="22.5" customHeight="1">
      <c r="C831" s="16"/>
      <c r="F831" s="45"/>
      <c r="I831" s="16"/>
      <c r="M831" s="49"/>
    </row>
    <row r="832" ht="22.5" customHeight="1">
      <c r="C832" s="16"/>
      <c r="F832" s="45"/>
      <c r="I832" s="16"/>
      <c r="M832" s="49"/>
    </row>
    <row r="833" ht="22.5" customHeight="1">
      <c r="C833" s="16"/>
      <c r="F833" s="45"/>
      <c r="I833" s="16"/>
      <c r="M833" s="49"/>
    </row>
    <row r="834" ht="22.5" customHeight="1">
      <c r="C834" s="16"/>
      <c r="F834" s="45"/>
      <c r="I834" s="16"/>
      <c r="M834" s="49"/>
    </row>
    <row r="835" ht="22.5" customHeight="1">
      <c r="C835" s="16"/>
      <c r="F835" s="45"/>
      <c r="I835" s="16"/>
      <c r="M835" s="49"/>
    </row>
    <row r="836" ht="22.5" customHeight="1">
      <c r="C836" s="16"/>
      <c r="F836" s="45"/>
      <c r="I836" s="16"/>
      <c r="M836" s="49"/>
    </row>
    <row r="837" ht="22.5" customHeight="1">
      <c r="C837" s="16"/>
      <c r="F837" s="45"/>
      <c r="I837" s="16"/>
      <c r="M837" s="49"/>
    </row>
    <row r="838" ht="22.5" customHeight="1">
      <c r="C838" s="16"/>
      <c r="F838" s="45"/>
      <c r="I838" s="16"/>
      <c r="M838" s="49"/>
    </row>
    <row r="839" ht="22.5" customHeight="1">
      <c r="C839" s="16"/>
      <c r="F839" s="45"/>
      <c r="I839" s="16"/>
      <c r="M839" s="49"/>
    </row>
    <row r="840" ht="22.5" customHeight="1">
      <c r="C840" s="16"/>
      <c r="F840" s="45"/>
      <c r="I840" s="16"/>
      <c r="M840" s="49"/>
    </row>
    <row r="841" ht="22.5" customHeight="1">
      <c r="C841" s="16"/>
      <c r="F841" s="45"/>
      <c r="I841" s="16"/>
      <c r="M841" s="49"/>
    </row>
    <row r="842" ht="22.5" customHeight="1">
      <c r="C842" s="16"/>
      <c r="F842" s="45"/>
      <c r="I842" s="16"/>
      <c r="M842" s="49"/>
    </row>
    <row r="843" ht="22.5" customHeight="1">
      <c r="C843" s="16"/>
      <c r="F843" s="45"/>
      <c r="I843" s="16"/>
      <c r="M843" s="49"/>
    </row>
    <row r="844" ht="22.5" customHeight="1">
      <c r="C844" s="16"/>
      <c r="F844" s="45"/>
      <c r="I844" s="16"/>
      <c r="M844" s="49"/>
    </row>
    <row r="845" ht="22.5" customHeight="1">
      <c r="C845" s="16"/>
      <c r="F845" s="45"/>
      <c r="I845" s="16"/>
      <c r="M845" s="49"/>
    </row>
    <row r="846" ht="22.5" customHeight="1">
      <c r="C846" s="16"/>
      <c r="F846" s="45"/>
      <c r="I846" s="16"/>
      <c r="M846" s="49"/>
    </row>
    <row r="847" ht="22.5" customHeight="1">
      <c r="C847" s="16"/>
      <c r="F847" s="45"/>
      <c r="I847" s="16"/>
      <c r="M847" s="49"/>
    </row>
    <row r="848" ht="22.5" customHeight="1">
      <c r="C848" s="16"/>
      <c r="F848" s="45"/>
      <c r="I848" s="16"/>
      <c r="M848" s="49"/>
    </row>
    <row r="849" ht="22.5" customHeight="1">
      <c r="C849" s="16"/>
      <c r="F849" s="45"/>
      <c r="I849" s="16"/>
      <c r="M849" s="49"/>
    </row>
    <row r="850" ht="22.5" customHeight="1">
      <c r="C850" s="16"/>
      <c r="F850" s="45"/>
      <c r="I850" s="16"/>
      <c r="M850" s="49"/>
    </row>
    <row r="851" ht="22.5" customHeight="1">
      <c r="C851" s="16"/>
      <c r="F851" s="45"/>
      <c r="I851" s="16"/>
      <c r="M851" s="49"/>
    </row>
    <row r="852" ht="22.5" customHeight="1">
      <c r="C852" s="16"/>
      <c r="F852" s="45"/>
      <c r="I852" s="16"/>
      <c r="M852" s="49"/>
    </row>
    <row r="853" ht="22.5" customHeight="1">
      <c r="C853" s="16"/>
      <c r="F853" s="45"/>
      <c r="I853" s="16"/>
      <c r="M853" s="49"/>
    </row>
    <row r="854" ht="22.5" customHeight="1">
      <c r="C854" s="16"/>
      <c r="F854" s="45"/>
      <c r="I854" s="16"/>
      <c r="M854" s="49"/>
    </row>
    <row r="855" ht="22.5" customHeight="1">
      <c r="C855" s="16"/>
      <c r="F855" s="45"/>
      <c r="I855" s="16"/>
      <c r="M855" s="49"/>
    </row>
    <row r="856" ht="22.5" customHeight="1">
      <c r="C856" s="16"/>
      <c r="F856" s="45"/>
      <c r="I856" s="16"/>
      <c r="M856" s="49"/>
    </row>
    <row r="857" ht="22.5" customHeight="1">
      <c r="C857" s="16"/>
      <c r="F857" s="45"/>
      <c r="I857" s="16"/>
      <c r="M857" s="49"/>
    </row>
    <row r="858" ht="22.5" customHeight="1">
      <c r="C858" s="16"/>
      <c r="F858" s="45"/>
      <c r="I858" s="16"/>
      <c r="M858" s="49"/>
    </row>
    <row r="859" ht="22.5" customHeight="1">
      <c r="C859" s="16"/>
      <c r="F859" s="45"/>
      <c r="I859" s="16"/>
      <c r="M859" s="49"/>
    </row>
    <row r="860" ht="22.5" customHeight="1">
      <c r="C860" s="16"/>
      <c r="F860" s="45"/>
      <c r="I860" s="16"/>
      <c r="M860" s="49"/>
    </row>
    <row r="861" ht="22.5" customHeight="1">
      <c r="C861" s="16"/>
      <c r="F861" s="45"/>
      <c r="I861" s="16"/>
      <c r="M861" s="49"/>
    </row>
    <row r="862" ht="22.5" customHeight="1">
      <c r="C862" s="16"/>
      <c r="F862" s="45"/>
      <c r="I862" s="16"/>
      <c r="M862" s="49"/>
    </row>
    <row r="863" ht="22.5" customHeight="1">
      <c r="C863" s="16"/>
      <c r="F863" s="45"/>
      <c r="I863" s="16"/>
      <c r="M863" s="49"/>
    </row>
    <row r="864" ht="22.5" customHeight="1">
      <c r="C864" s="16"/>
      <c r="F864" s="45"/>
      <c r="I864" s="16"/>
      <c r="M864" s="49"/>
    </row>
    <row r="865" ht="22.5" customHeight="1">
      <c r="C865" s="16"/>
      <c r="F865" s="45"/>
      <c r="I865" s="16"/>
      <c r="M865" s="49"/>
    </row>
    <row r="866" ht="22.5" customHeight="1">
      <c r="C866" s="16"/>
      <c r="F866" s="45"/>
      <c r="I866" s="16"/>
      <c r="M866" s="49"/>
    </row>
    <row r="867" ht="22.5" customHeight="1">
      <c r="C867" s="16"/>
      <c r="F867" s="45"/>
      <c r="I867" s="16"/>
      <c r="M867" s="49"/>
    </row>
    <row r="868" ht="22.5" customHeight="1">
      <c r="C868" s="16"/>
      <c r="F868" s="45"/>
      <c r="I868" s="16"/>
      <c r="M868" s="49"/>
    </row>
    <row r="869" ht="22.5" customHeight="1">
      <c r="C869" s="16"/>
      <c r="F869" s="45"/>
      <c r="I869" s="16"/>
      <c r="M869" s="49"/>
    </row>
    <row r="870" ht="22.5" customHeight="1">
      <c r="C870" s="16"/>
      <c r="F870" s="45"/>
      <c r="I870" s="16"/>
      <c r="M870" s="49"/>
    </row>
    <row r="871" ht="22.5" customHeight="1">
      <c r="C871" s="16"/>
      <c r="F871" s="45"/>
      <c r="I871" s="16"/>
      <c r="M871" s="49"/>
    </row>
    <row r="872" ht="22.5" customHeight="1">
      <c r="C872" s="16"/>
      <c r="F872" s="45"/>
      <c r="I872" s="16"/>
      <c r="M872" s="49"/>
    </row>
    <row r="873" ht="22.5" customHeight="1">
      <c r="C873" s="16"/>
      <c r="F873" s="45"/>
      <c r="I873" s="16"/>
      <c r="M873" s="49"/>
    </row>
    <row r="874" ht="22.5" customHeight="1">
      <c r="C874" s="16"/>
      <c r="F874" s="45"/>
      <c r="I874" s="16"/>
      <c r="M874" s="49"/>
    </row>
    <row r="875" ht="22.5" customHeight="1">
      <c r="C875" s="16"/>
      <c r="F875" s="45"/>
      <c r="I875" s="16"/>
      <c r="M875" s="49"/>
    </row>
    <row r="876" ht="22.5" customHeight="1">
      <c r="C876" s="16"/>
      <c r="F876" s="45"/>
      <c r="I876" s="16"/>
      <c r="M876" s="49"/>
    </row>
    <row r="877" ht="22.5" customHeight="1">
      <c r="C877" s="16"/>
      <c r="F877" s="45"/>
      <c r="I877" s="16"/>
      <c r="M877" s="49"/>
    </row>
    <row r="878" ht="22.5" customHeight="1">
      <c r="C878" s="16"/>
      <c r="F878" s="45"/>
      <c r="I878" s="16"/>
      <c r="M878" s="49"/>
    </row>
    <row r="879" ht="22.5" customHeight="1">
      <c r="C879" s="16"/>
      <c r="F879" s="45"/>
      <c r="I879" s="16"/>
      <c r="M879" s="49"/>
    </row>
    <row r="880" ht="22.5" customHeight="1">
      <c r="C880" s="16"/>
      <c r="F880" s="45"/>
      <c r="I880" s="16"/>
      <c r="M880" s="49"/>
    </row>
    <row r="881" ht="22.5" customHeight="1">
      <c r="C881" s="16"/>
      <c r="F881" s="45"/>
      <c r="I881" s="16"/>
      <c r="M881" s="49"/>
    </row>
    <row r="882" ht="22.5" customHeight="1">
      <c r="C882" s="16"/>
      <c r="F882" s="45"/>
      <c r="I882" s="16"/>
      <c r="M882" s="49"/>
    </row>
    <row r="883" ht="22.5" customHeight="1">
      <c r="C883" s="16"/>
      <c r="F883" s="45"/>
      <c r="I883" s="16"/>
      <c r="M883" s="49"/>
    </row>
    <row r="884" ht="22.5" customHeight="1">
      <c r="C884" s="16"/>
      <c r="F884" s="45"/>
      <c r="I884" s="16"/>
      <c r="M884" s="49"/>
    </row>
    <row r="885" ht="22.5" customHeight="1">
      <c r="C885" s="16"/>
      <c r="F885" s="45"/>
      <c r="I885" s="16"/>
      <c r="M885" s="49"/>
    </row>
    <row r="886" ht="22.5" customHeight="1">
      <c r="C886" s="16"/>
      <c r="F886" s="45"/>
      <c r="I886" s="16"/>
      <c r="M886" s="49"/>
    </row>
    <row r="887" ht="22.5" customHeight="1">
      <c r="C887" s="16"/>
      <c r="F887" s="45"/>
      <c r="I887" s="16"/>
      <c r="M887" s="49"/>
    </row>
    <row r="888" ht="22.5" customHeight="1">
      <c r="C888" s="16"/>
      <c r="F888" s="45"/>
      <c r="I888" s="16"/>
      <c r="M888" s="49"/>
    </row>
    <row r="889" ht="22.5" customHeight="1">
      <c r="C889" s="16"/>
      <c r="F889" s="45"/>
      <c r="I889" s="16"/>
      <c r="M889" s="49"/>
    </row>
    <row r="890" ht="22.5" customHeight="1">
      <c r="C890" s="16"/>
      <c r="F890" s="45"/>
      <c r="I890" s="16"/>
      <c r="M890" s="49"/>
    </row>
    <row r="891" ht="22.5" customHeight="1">
      <c r="C891" s="16"/>
      <c r="F891" s="45"/>
      <c r="I891" s="16"/>
      <c r="M891" s="49"/>
    </row>
    <row r="892" ht="22.5" customHeight="1">
      <c r="C892" s="16"/>
      <c r="F892" s="45"/>
      <c r="I892" s="16"/>
      <c r="M892" s="49"/>
    </row>
    <row r="893" ht="22.5" customHeight="1">
      <c r="C893" s="16"/>
      <c r="F893" s="45"/>
      <c r="I893" s="16"/>
      <c r="M893" s="49"/>
    </row>
    <row r="894" ht="22.5" customHeight="1">
      <c r="C894" s="16"/>
      <c r="F894" s="45"/>
      <c r="I894" s="16"/>
      <c r="M894" s="49"/>
    </row>
    <row r="895" ht="22.5" customHeight="1">
      <c r="C895" s="16"/>
      <c r="F895" s="45"/>
      <c r="I895" s="16"/>
      <c r="M895" s="49"/>
    </row>
    <row r="896" ht="22.5" customHeight="1">
      <c r="C896" s="16"/>
      <c r="F896" s="45"/>
      <c r="I896" s="16"/>
      <c r="M896" s="49"/>
    </row>
    <row r="897" ht="22.5" customHeight="1">
      <c r="C897" s="16"/>
      <c r="F897" s="45"/>
      <c r="I897" s="16"/>
      <c r="M897" s="49"/>
    </row>
    <row r="898" ht="22.5" customHeight="1">
      <c r="C898" s="16"/>
      <c r="F898" s="45"/>
      <c r="I898" s="16"/>
      <c r="M898" s="49"/>
    </row>
    <row r="899" ht="22.5" customHeight="1">
      <c r="C899" s="16"/>
      <c r="F899" s="45"/>
      <c r="I899" s="16"/>
      <c r="M899" s="49"/>
    </row>
    <row r="900" ht="22.5" customHeight="1">
      <c r="C900" s="16"/>
      <c r="F900" s="45"/>
      <c r="I900" s="16"/>
      <c r="M900" s="49"/>
    </row>
    <row r="901" ht="22.5" customHeight="1">
      <c r="C901" s="16"/>
      <c r="F901" s="45"/>
      <c r="I901" s="16"/>
      <c r="M901" s="49"/>
    </row>
    <row r="902" ht="22.5" customHeight="1">
      <c r="C902" s="16"/>
      <c r="F902" s="45"/>
      <c r="I902" s="16"/>
      <c r="M902" s="49"/>
    </row>
    <row r="903" ht="22.5" customHeight="1">
      <c r="C903" s="16"/>
      <c r="F903" s="45"/>
      <c r="I903" s="16"/>
      <c r="M903" s="49"/>
    </row>
    <row r="904" ht="22.5" customHeight="1">
      <c r="C904" s="16"/>
      <c r="F904" s="45"/>
      <c r="I904" s="16"/>
      <c r="M904" s="49"/>
    </row>
    <row r="905" ht="22.5" customHeight="1">
      <c r="C905" s="16"/>
      <c r="F905" s="45"/>
      <c r="I905" s="16"/>
      <c r="M905" s="49"/>
    </row>
    <row r="906" ht="22.5" customHeight="1">
      <c r="C906" s="16"/>
      <c r="F906" s="45"/>
      <c r="I906" s="16"/>
      <c r="M906" s="49"/>
    </row>
    <row r="907" ht="22.5" customHeight="1">
      <c r="C907" s="16"/>
      <c r="F907" s="45"/>
      <c r="I907" s="16"/>
      <c r="M907" s="49"/>
    </row>
    <row r="908" ht="22.5" customHeight="1">
      <c r="C908" s="16"/>
      <c r="F908" s="45"/>
      <c r="I908" s="16"/>
      <c r="M908" s="49"/>
    </row>
    <row r="909" ht="22.5" customHeight="1">
      <c r="C909" s="16"/>
      <c r="F909" s="45"/>
      <c r="I909" s="16"/>
      <c r="M909" s="49"/>
    </row>
    <row r="910" ht="22.5" customHeight="1">
      <c r="C910" s="16"/>
      <c r="F910" s="45"/>
      <c r="I910" s="16"/>
      <c r="M910" s="49"/>
    </row>
    <row r="911" ht="22.5" customHeight="1">
      <c r="C911" s="16"/>
      <c r="F911" s="45"/>
      <c r="I911" s="16"/>
      <c r="M911" s="49"/>
    </row>
    <row r="912" ht="22.5" customHeight="1">
      <c r="C912" s="16"/>
      <c r="F912" s="45"/>
      <c r="I912" s="16"/>
      <c r="M912" s="49"/>
    </row>
    <row r="913" ht="22.5" customHeight="1">
      <c r="C913" s="16"/>
      <c r="F913" s="45"/>
      <c r="I913" s="16"/>
      <c r="M913" s="49"/>
    </row>
    <row r="914" ht="22.5" customHeight="1">
      <c r="C914" s="16"/>
      <c r="F914" s="45"/>
      <c r="I914" s="16"/>
      <c r="M914" s="49"/>
    </row>
    <row r="915" ht="22.5" customHeight="1">
      <c r="C915" s="16"/>
      <c r="F915" s="45"/>
      <c r="I915" s="16"/>
      <c r="M915" s="49"/>
    </row>
    <row r="916" ht="22.5" customHeight="1">
      <c r="C916" s="16"/>
      <c r="F916" s="45"/>
      <c r="I916" s="16"/>
      <c r="M916" s="49"/>
    </row>
    <row r="917" ht="22.5" customHeight="1">
      <c r="C917" s="16"/>
      <c r="F917" s="45"/>
      <c r="I917" s="16"/>
      <c r="M917" s="49"/>
    </row>
    <row r="918" ht="22.5" customHeight="1">
      <c r="C918" s="16"/>
      <c r="F918" s="45"/>
      <c r="I918" s="16"/>
      <c r="M918" s="49"/>
    </row>
    <row r="919" ht="22.5" customHeight="1">
      <c r="C919" s="16"/>
      <c r="F919" s="45"/>
      <c r="I919" s="16"/>
      <c r="M919" s="49"/>
    </row>
    <row r="920" ht="22.5" customHeight="1">
      <c r="C920" s="16"/>
      <c r="F920" s="45"/>
      <c r="I920" s="16"/>
      <c r="M920" s="49"/>
    </row>
    <row r="921" ht="22.5" customHeight="1">
      <c r="C921" s="16"/>
      <c r="F921" s="45"/>
      <c r="I921" s="16"/>
      <c r="M921" s="49"/>
    </row>
    <row r="922" ht="22.5" customHeight="1">
      <c r="C922" s="16"/>
      <c r="F922" s="45"/>
      <c r="I922" s="16"/>
      <c r="M922" s="49"/>
    </row>
    <row r="923" ht="22.5" customHeight="1">
      <c r="C923" s="16"/>
      <c r="F923" s="45"/>
      <c r="I923" s="16"/>
      <c r="M923" s="49"/>
    </row>
    <row r="924" ht="22.5" customHeight="1">
      <c r="C924" s="16"/>
      <c r="F924" s="45"/>
      <c r="I924" s="16"/>
      <c r="M924" s="49"/>
    </row>
    <row r="925" ht="22.5" customHeight="1">
      <c r="C925" s="16"/>
      <c r="F925" s="45"/>
      <c r="I925" s="16"/>
      <c r="M925" s="49"/>
    </row>
    <row r="926" ht="22.5" customHeight="1">
      <c r="C926" s="16"/>
      <c r="F926" s="45"/>
      <c r="I926" s="16"/>
      <c r="M926" s="49"/>
    </row>
    <row r="927" ht="22.5" customHeight="1">
      <c r="C927" s="16"/>
      <c r="F927" s="45"/>
      <c r="I927" s="16"/>
      <c r="M927" s="49"/>
    </row>
    <row r="928" ht="22.5" customHeight="1">
      <c r="C928" s="16"/>
      <c r="F928" s="45"/>
      <c r="I928" s="16"/>
      <c r="M928" s="49"/>
    </row>
    <row r="929" ht="22.5" customHeight="1">
      <c r="C929" s="16"/>
      <c r="F929" s="45"/>
      <c r="I929" s="16"/>
      <c r="M929" s="49"/>
    </row>
    <row r="930" ht="22.5" customHeight="1">
      <c r="C930" s="16"/>
      <c r="F930" s="45"/>
      <c r="I930" s="16"/>
      <c r="M930" s="49"/>
    </row>
    <row r="931" ht="22.5" customHeight="1">
      <c r="C931" s="16"/>
      <c r="F931" s="45"/>
      <c r="I931" s="16"/>
      <c r="M931" s="49"/>
    </row>
    <row r="932" ht="22.5" customHeight="1">
      <c r="C932" s="16"/>
      <c r="F932" s="45"/>
      <c r="I932" s="16"/>
      <c r="M932" s="49"/>
    </row>
    <row r="933" ht="22.5" customHeight="1">
      <c r="C933" s="16"/>
      <c r="F933" s="45"/>
      <c r="I933" s="16"/>
      <c r="M933" s="49"/>
    </row>
    <row r="934" ht="22.5" customHeight="1">
      <c r="C934" s="16"/>
      <c r="F934" s="45"/>
      <c r="I934" s="16"/>
      <c r="M934" s="49"/>
    </row>
    <row r="935" ht="22.5" customHeight="1">
      <c r="C935" s="16"/>
      <c r="F935" s="45"/>
      <c r="I935" s="16"/>
      <c r="M935" s="49"/>
    </row>
    <row r="936" ht="22.5" customHeight="1">
      <c r="C936" s="16"/>
      <c r="F936" s="45"/>
      <c r="I936" s="16"/>
      <c r="M936" s="49"/>
    </row>
    <row r="937" ht="22.5" customHeight="1">
      <c r="C937" s="16"/>
      <c r="F937" s="45"/>
      <c r="I937" s="16"/>
      <c r="M937" s="49"/>
    </row>
    <row r="938" ht="22.5" customHeight="1">
      <c r="C938" s="16"/>
      <c r="F938" s="45"/>
      <c r="I938" s="16"/>
      <c r="M938" s="49"/>
    </row>
    <row r="939" ht="22.5" customHeight="1">
      <c r="C939" s="16"/>
      <c r="F939" s="45"/>
      <c r="I939" s="16"/>
      <c r="M939" s="49"/>
    </row>
    <row r="940" ht="22.5" customHeight="1">
      <c r="C940" s="16"/>
      <c r="F940" s="45"/>
      <c r="I940" s="16"/>
      <c r="M940" s="49"/>
    </row>
    <row r="941" ht="22.5" customHeight="1">
      <c r="C941" s="16"/>
      <c r="F941" s="45"/>
      <c r="I941" s="16"/>
      <c r="M941" s="49"/>
    </row>
    <row r="942" ht="22.5" customHeight="1">
      <c r="C942" s="16"/>
      <c r="F942" s="45"/>
      <c r="I942" s="16"/>
      <c r="M942" s="49"/>
    </row>
    <row r="943" ht="22.5" customHeight="1">
      <c r="C943" s="16"/>
      <c r="F943" s="45"/>
      <c r="I943" s="16"/>
      <c r="M943" s="49"/>
    </row>
    <row r="944" ht="22.5" customHeight="1">
      <c r="C944" s="16"/>
      <c r="F944" s="45"/>
      <c r="I944" s="16"/>
      <c r="M944" s="49"/>
    </row>
    <row r="945" ht="22.5" customHeight="1">
      <c r="C945" s="16"/>
      <c r="F945" s="45"/>
      <c r="I945" s="16"/>
      <c r="M945" s="49"/>
    </row>
    <row r="946" ht="22.5" customHeight="1">
      <c r="C946" s="16"/>
      <c r="F946" s="45"/>
      <c r="I946" s="16"/>
      <c r="M946" s="49"/>
    </row>
    <row r="947" ht="22.5" customHeight="1">
      <c r="C947" s="16"/>
      <c r="F947" s="45"/>
      <c r="I947" s="16"/>
      <c r="M947" s="49"/>
    </row>
    <row r="948" ht="22.5" customHeight="1">
      <c r="C948" s="16"/>
      <c r="F948" s="45"/>
      <c r="I948" s="16"/>
      <c r="M948" s="49"/>
    </row>
    <row r="949" ht="22.5" customHeight="1">
      <c r="C949" s="16"/>
      <c r="F949" s="45"/>
      <c r="I949" s="16"/>
      <c r="M949" s="49"/>
    </row>
    <row r="950" ht="22.5" customHeight="1">
      <c r="C950" s="16"/>
      <c r="F950" s="45"/>
      <c r="I950" s="16"/>
      <c r="M950" s="49"/>
    </row>
    <row r="951" ht="22.5" customHeight="1">
      <c r="C951" s="16"/>
      <c r="F951" s="45"/>
      <c r="I951" s="16"/>
      <c r="M951" s="49"/>
    </row>
    <row r="952" ht="22.5" customHeight="1">
      <c r="C952" s="16"/>
      <c r="F952" s="45"/>
      <c r="I952" s="16"/>
      <c r="M952" s="49"/>
    </row>
    <row r="953" ht="22.5" customHeight="1">
      <c r="C953" s="16"/>
      <c r="F953" s="45"/>
      <c r="I953" s="16"/>
      <c r="M953" s="49"/>
    </row>
    <row r="954" ht="22.5" customHeight="1">
      <c r="C954" s="16"/>
      <c r="F954" s="45"/>
      <c r="I954" s="16"/>
      <c r="M954" s="49"/>
    </row>
    <row r="955" ht="22.5" customHeight="1">
      <c r="C955" s="16"/>
      <c r="F955" s="45"/>
      <c r="I955" s="16"/>
      <c r="M955" s="49"/>
    </row>
    <row r="956" ht="22.5" customHeight="1">
      <c r="C956" s="16"/>
      <c r="F956" s="45"/>
      <c r="I956" s="16"/>
      <c r="M956" s="49"/>
    </row>
    <row r="957" ht="22.5" customHeight="1">
      <c r="C957" s="16"/>
      <c r="F957" s="45"/>
      <c r="I957" s="16"/>
      <c r="M957" s="49"/>
    </row>
    <row r="958" ht="22.5" customHeight="1">
      <c r="C958" s="16"/>
      <c r="F958" s="45"/>
      <c r="I958" s="16"/>
      <c r="M958" s="49"/>
    </row>
    <row r="959" ht="22.5" customHeight="1">
      <c r="C959" s="16"/>
      <c r="F959" s="45"/>
      <c r="I959" s="16"/>
      <c r="M959" s="49"/>
    </row>
    <row r="960" ht="22.5" customHeight="1">
      <c r="C960" s="16"/>
      <c r="F960" s="45"/>
      <c r="I960" s="16"/>
      <c r="M960" s="49"/>
    </row>
    <row r="961" ht="22.5" customHeight="1">
      <c r="C961" s="16"/>
      <c r="F961" s="45"/>
      <c r="I961" s="16"/>
      <c r="M961" s="49"/>
    </row>
    <row r="962" ht="22.5" customHeight="1">
      <c r="C962" s="16"/>
      <c r="F962" s="45"/>
      <c r="I962" s="16"/>
      <c r="M962" s="49"/>
    </row>
    <row r="963" ht="22.5" customHeight="1">
      <c r="C963" s="16"/>
      <c r="F963" s="45"/>
      <c r="I963" s="16"/>
      <c r="M963" s="49"/>
    </row>
    <row r="964" ht="22.5" customHeight="1">
      <c r="C964" s="16"/>
      <c r="F964" s="45"/>
      <c r="I964" s="16"/>
      <c r="M964" s="49"/>
    </row>
    <row r="965" ht="22.5" customHeight="1">
      <c r="C965" s="16"/>
      <c r="F965" s="45"/>
      <c r="I965" s="16"/>
      <c r="M965" s="49"/>
    </row>
    <row r="966" ht="22.5" customHeight="1">
      <c r="C966" s="16"/>
      <c r="F966" s="45"/>
      <c r="I966" s="16"/>
      <c r="M966" s="49"/>
    </row>
    <row r="967" ht="22.5" customHeight="1">
      <c r="C967" s="16"/>
      <c r="F967" s="45"/>
      <c r="I967" s="16"/>
      <c r="M967" s="49"/>
    </row>
    <row r="968" ht="22.5" customHeight="1">
      <c r="C968" s="16"/>
      <c r="F968" s="45"/>
      <c r="I968" s="16"/>
      <c r="M968" s="49"/>
    </row>
    <row r="969" ht="22.5" customHeight="1">
      <c r="C969" s="16"/>
      <c r="F969" s="45"/>
      <c r="I969" s="16"/>
      <c r="M969" s="49"/>
    </row>
    <row r="970" ht="22.5" customHeight="1">
      <c r="C970" s="16"/>
      <c r="F970" s="45"/>
      <c r="I970" s="16"/>
      <c r="M970" s="49"/>
    </row>
    <row r="971" ht="22.5" customHeight="1">
      <c r="C971" s="16"/>
      <c r="F971" s="45"/>
      <c r="I971" s="16"/>
      <c r="M971" s="49"/>
    </row>
    <row r="972" ht="22.5" customHeight="1">
      <c r="C972" s="16"/>
      <c r="F972" s="45"/>
      <c r="I972" s="16"/>
      <c r="M972" s="49"/>
    </row>
    <row r="973" ht="22.5" customHeight="1">
      <c r="C973" s="16"/>
      <c r="F973" s="45"/>
      <c r="I973" s="16"/>
      <c r="M973" s="49"/>
    </row>
    <row r="974" ht="22.5" customHeight="1">
      <c r="C974" s="16"/>
      <c r="F974" s="45"/>
      <c r="I974" s="16"/>
      <c r="M974" s="49"/>
    </row>
    <row r="975" ht="22.5" customHeight="1">
      <c r="C975" s="16"/>
      <c r="F975" s="45"/>
      <c r="I975" s="16"/>
      <c r="M975" s="49"/>
    </row>
    <row r="976" ht="22.5" customHeight="1">
      <c r="C976" s="16"/>
      <c r="F976" s="45"/>
      <c r="I976" s="16"/>
      <c r="M976" s="49"/>
    </row>
    <row r="977" ht="22.5" customHeight="1">
      <c r="C977" s="16"/>
      <c r="F977" s="45"/>
      <c r="I977" s="16"/>
      <c r="M977" s="49"/>
    </row>
    <row r="978" ht="22.5" customHeight="1">
      <c r="C978" s="16"/>
      <c r="F978" s="45"/>
      <c r="I978" s="16"/>
      <c r="M978" s="49"/>
    </row>
    <row r="979" ht="22.5" customHeight="1">
      <c r="C979" s="16"/>
      <c r="F979" s="45"/>
      <c r="I979" s="16"/>
      <c r="M979" s="49"/>
    </row>
    <row r="980" ht="22.5" customHeight="1">
      <c r="C980" s="16"/>
      <c r="F980" s="45"/>
      <c r="I980" s="16"/>
      <c r="M980" s="49"/>
    </row>
    <row r="981" ht="22.5" customHeight="1">
      <c r="C981" s="16"/>
      <c r="F981" s="45"/>
      <c r="I981" s="16"/>
      <c r="M981" s="49"/>
    </row>
    <row r="982" ht="22.5" customHeight="1">
      <c r="C982" s="16"/>
      <c r="F982" s="45"/>
      <c r="I982" s="16"/>
      <c r="M982" s="49"/>
    </row>
    <row r="983" ht="22.5" customHeight="1">
      <c r="C983" s="16"/>
      <c r="F983" s="45"/>
      <c r="I983" s="16"/>
      <c r="M983" s="49"/>
    </row>
    <row r="984" ht="22.5" customHeight="1">
      <c r="C984" s="16"/>
      <c r="F984" s="45"/>
      <c r="I984" s="16"/>
      <c r="M984" s="49"/>
    </row>
    <row r="985" ht="22.5" customHeight="1">
      <c r="C985" s="16"/>
      <c r="F985" s="45"/>
      <c r="I985" s="16"/>
      <c r="M985" s="49"/>
    </row>
    <row r="986" ht="22.5" customHeight="1">
      <c r="C986" s="16"/>
      <c r="F986" s="45"/>
      <c r="I986" s="16"/>
      <c r="M986" s="49"/>
    </row>
    <row r="987" ht="22.5" customHeight="1">
      <c r="C987" s="16"/>
      <c r="F987" s="45"/>
      <c r="I987" s="16"/>
      <c r="M987" s="49"/>
    </row>
    <row r="988" ht="22.5" customHeight="1">
      <c r="C988" s="16"/>
      <c r="F988" s="45"/>
      <c r="I988" s="16"/>
      <c r="M988" s="49"/>
    </row>
  </sheetData>
  <dataValidations>
    <dataValidation type="list" allowBlank="1" showErrorMessage="1" sqref="I2:I988">
      <formula1>"YES,NO"</formula1>
    </dataValidation>
    <dataValidation type="list" allowBlank="1" showErrorMessage="1" sqref="C2:C988">
      <formula1>"Exploring a Potential Partnership for E-Learning Services,Exploring a Potential Partnership for AI Solutions,Exploring a Potential Partnership for Publishing Services,Exploring a Potential Partnership for Technology Services,Exploring a Potential Partners"&amp;"hip for Localization Services,Exploring a Potential Partnership with {{Introduction}},Follow Up 1,Follow Up 2,Follow Up 3,Follow Up 4,Follow Up 5,Follow Up 6,Follow Up 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0" t="s">
        <v>0</v>
      </c>
      <c r="B1" s="7" t="s">
        <v>1697</v>
      </c>
      <c r="C1" s="7" t="s">
        <v>8</v>
      </c>
      <c r="D1" s="7" t="s">
        <v>1700</v>
      </c>
      <c r="E1" s="7" t="s">
        <v>2</v>
      </c>
      <c r="F1" s="7" t="s">
        <v>1702</v>
      </c>
      <c r="G1" s="7" t="s">
        <v>1703</v>
      </c>
      <c r="H1" s="7" t="s">
        <v>1704</v>
      </c>
      <c r="I1" s="7" t="s">
        <v>1705</v>
      </c>
      <c r="J1" s="7" t="s">
        <v>1706</v>
      </c>
      <c r="K1" s="7" t="s">
        <v>1707</v>
      </c>
      <c r="L1" s="51"/>
      <c r="M1" s="51"/>
      <c r="N1" s="51"/>
      <c r="O1" s="51"/>
      <c r="P1" s="51"/>
      <c r="Q1" s="51"/>
      <c r="R1" s="51"/>
      <c r="S1" s="51"/>
      <c r="T1" s="51"/>
      <c r="U1" s="51"/>
      <c r="V1" s="51"/>
      <c r="W1" s="51"/>
      <c r="X1" s="51"/>
      <c r="Y1" s="51"/>
      <c r="Z1" s="51"/>
      <c r="AA1" s="51"/>
    </row>
    <row r="2">
      <c r="A2" s="14">
        <f t="array" ref="A2:A1000">IF(C2:C1000&lt;&gt;"",IF(A2:A1000="",TODAY(),A2:A1000),"")</f>
        <v>46232</v>
      </c>
      <c r="B2" s="19" t="str">
        <f t="array" ref="B2:B1000">IF(C2:C1000&lt;&gt;"","MM-"&amp;TEXT(ROW(C2:C1000)-1,"000"),)</f>
        <v>MM-001</v>
      </c>
      <c r="C2" s="19" t="s">
        <v>38</v>
      </c>
      <c r="D2" s="52">
        <v>0.4166666666666667</v>
      </c>
      <c r="E2" s="19" t="s">
        <v>1750</v>
      </c>
      <c r="F2" s="21"/>
      <c r="G2" s="19" t="s">
        <v>1758</v>
      </c>
      <c r="H2" s="19" t="s">
        <v>1759</v>
      </c>
      <c r="I2" s="19" t="s">
        <v>1760</v>
      </c>
      <c r="J2" s="19" t="s">
        <v>1761</v>
      </c>
      <c r="K2" s="21"/>
    </row>
    <row r="3">
      <c r="A3" s="14">
        <v>46232.0</v>
      </c>
      <c r="B3" s="16" t="s">
        <v>1763</v>
      </c>
      <c r="C3" s="19" t="s">
        <v>1764</v>
      </c>
      <c r="D3" s="52">
        <v>0.5833333333333334</v>
      </c>
      <c r="E3" s="19" t="s">
        <v>1765</v>
      </c>
      <c r="F3" s="21"/>
      <c r="G3" s="19" t="s">
        <v>1768</v>
      </c>
      <c r="H3" s="19" t="s">
        <v>1770</v>
      </c>
      <c r="I3" s="19" t="s">
        <v>1771</v>
      </c>
      <c r="J3" s="19" t="s">
        <v>1772</v>
      </c>
      <c r="K3" s="21"/>
    </row>
    <row r="4">
      <c r="A4" s="14" t="s">
        <v>174</v>
      </c>
      <c r="B4" s="16"/>
      <c r="D4" s="52"/>
      <c r="F4" s="21"/>
      <c r="K4" s="21"/>
    </row>
    <row r="5">
      <c r="A5" s="28" t="s">
        <v>174</v>
      </c>
      <c r="B5" s="16"/>
      <c r="F5" s="21"/>
      <c r="K5" s="21"/>
    </row>
    <row r="6">
      <c r="A6" s="28" t="s">
        <v>174</v>
      </c>
      <c r="B6" s="16"/>
      <c r="F6" s="21"/>
      <c r="K6" s="21"/>
    </row>
    <row r="7">
      <c r="A7" s="28" t="s">
        <v>174</v>
      </c>
      <c r="B7" s="16"/>
      <c r="F7" s="21"/>
      <c r="K7" s="21"/>
    </row>
    <row r="8">
      <c r="A8" s="28" t="s">
        <v>174</v>
      </c>
      <c r="B8" s="16"/>
      <c r="F8" s="21"/>
      <c r="K8" s="21"/>
    </row>
    <row r="9">
      <c r="A9" s="28" t="s">
        <v>174</v>
      </c>
      <c r="B9" s="16"/>
      <c r="F9" s="21"/>
      <c r="K9" s="21"/>
    </row>
    <row r="10">
      <c r="A10" s="28" t="s">
        <v>174</v>
      </c>
      <c r="B10" s="16"/>
      <c r="F10" s="21"/>
      <c r="K10" s="21"/>
    </row>
    <row r="11">
      <c r="A11" s="28" t="s">
        <v>174</v>
      </c>
      <c r="B11" s="16"/>
      <c r="F11" s="21"/>
      <c r="K11" s="21"/>
    </row>
    <row r="12">
      <c r="A12" s="28" t="s">
        <v>174</v>
      </c>
      <c r="B12" s="16"/>
      <c r="F12" s="21"/>
      <c r="K12" s="21"/>
    </row>
    <row r="13">
      <c r="A13" s="28" t="s">
        <v>174</v>
      </c>
      <c r="B13" s="16"/>
      <c r="F13" s="21"/>
      <c r="K13" s="21"/>
    </row>
    <row r="14">
      <c r="A14" s="28" t="s">
        <v>174</v>
      </c>
      <c r="B14" s="16"/>
      <c r="F14" s="21"/>
      <c r="K14" s="21"/>
    </row>
    <row r="15">
      <c r="A15" s="28" t="s">
        <v>174</v>
      </c>
      <c r="B15" s="16"/>
      <c r="F15" s="21"/>
      <c r="K15" s="21"/>
    </row>
    <row r="16">
      <c r="A16" s="28" t="s">
        <v>174</v>
      </c>
      <c r="B16" s="16"/>
      <c r="F16" s="21"/>
      <c r="K16" s="21"/>
    </row>
    <row r="17">
      <c r="A17" s="28" t="s">
        <v>174</v>
      </c>
      <c r="B17" s="16"/>
      <c r="F17" s="21"/>
      <c r="K17" s="21"/>
    </row>
    <row r="18">
      <c r="A18" s="28" t="s">
        <v>174</v>
      </c>
      <c r="B18" s="16"/>
      <c r="F18" s="21"/>
      <c r="K18" s="21"/>
    </row>
    <row r="19">
      <c r="A19" s="28" t="s">
        <v>174</v>
      </c>
      <c r="B19" s="16"/>
      <c r="F19" s="21"/>
      <c r="K19" s="21"/>
    </row>
    <row r="20">
      <c r="A20" s="28" t="s">
        <v>174</v>
      </c>
      <c r="B20" s="16"/>
      <c r="F20" s="21"/>
      <c r="K20" s="21"/>
    </row>
    <row r="21">
      <c r="A21" s="28" t="s">
        <v>174</v>
      </c>
      <c r="B21" s="16"/>
      <c r="F21" s="21"/>
      <c r="K21" s="21"/>
    </row>
    <row r="22">
      <c r="A22" s="28" t="s">
        <v>174</v>
      </c>
      <c r="B22" s="16"/>
      <c r="F22" s="21"/>
      <c r="K22" s="21"/>
    </row>
    <row r="23">
      <c r="A23" s="28" t="s">
        <v>174</v>
      </c>
      <c r="B23" s="16"/>
      <c r="F23" s="21"/>
      <c r="K23" s="21"/>
    </row>
    <row r="24">
      <c r="A24" s="28" t="s">
        <v>174</v>
      </c>
      <c r="B24" s="16"/>
      <c r="F24" s="21"/>
      <c r="K24" s="21"/>
    </row>
    <row r="25">
      <c r="A25" s="28" t="s">
        <v>174</v>
      </c>
      <c r="B25" s="16"/>
      <c r="F25" s="21"/>
      <c r="K25" s="21"/>
    </row>
    <row r="26">
      <c r="A26" s="28" t="s">
        <v>174</v>
      </c>
      <c r="B26" s="16"/>
      <c r="F26" s="21"/>
      <c r="K26" s="21"/>
    </row>
    <row r="27">
      <c r="A27" s="28" t="s">
        <v>174</v>
      </c>
      <c r="B27" s="16"/>
      <c r="F27" s="21"/>
      <c r="K27" s="21"/>
    </row>
    <row r="28">
      <c r="A28" s="28" t="s">
        <v>174</v>
      </c>
      <c r="B28" s="16"/>
      <c r="F28" s="21"/>
      <c r="K28" s="21"/>
    </row>
    <row r="29">
      <c r="A29" s="28" t="s">
        <v>174</v>
      </c>
      <c r="B29" s="16"/>
      <c r="F29" s="21"/>
      <c r="K29" s="21"/>
    </row>
    <row r="30">
      <c r="A30" s="28" t="s">
        <v>174</v>
      </c>
      <c r="B30" s="16"/>
      <c r="F30" s="21"/>
      <c r="K30" s="21"/>
    </row>
    <row r="31">
      <c r="A31" s="28" t="s">
        <v>174</v>
      </c>
      <c r="B31" s="16"/>
      <c r="F31" s="21"/>
      <c r="K31" s="21"/>
    </row>
    <row r="32">
      <c r="A32" s="28" t="s">
        <v>174</v>
      </c>
      <c r="B32" s="16"/>
      <c r="F32" s="21"/>
      <c r="K32" s="21"/>
    </row>
    <row r="33">
      <c r="A33" s="28" t="s">
        <v>174</v>
      </c>
      <c r="B33" s="16"/>
      <c r="F33" s="21"/>
      <c r="K33" s="21"/>
    </row>
    <row r="34">
      <c r="A34" s="28" t="s">
        <v>174</v>
      </c>
      <c r="B34" s="16"/>
      <c r="F34" s="21"/>
      <c r="K34" s="21"/>
    </row>
    <row r="35">
      <c r="A35" s="28" t="s">
        <v>174</v>
      </c>
      <c r="B35" s="16"/>
      <c r="F35" s="21"/>
      <c r="K35" s="21"/>
    </row>
    <row r="36">
      <c r="A36" s="28" t="s">
        <v>174</v>
      </c>
      <c r="B36" s="16"/>
      <c r="F36" s="21"/>
      <c r="K36" s="21"/>
    </row>
    <row r="37">
      <c r="A37" s="28" t="s">
        <v>174</v>
      </c>
      <c r="B37" s="16"/>
      <c r="F37" s="21"/>
      <c r="K37" s="21"/>
    </row>
    <row r="38">
      <c r="A38" s="28" t="s">
        <v>174</v>
      </c>
      <c r="B38" s="16"/>
      <c r="F38" s="21"/>
      <c r="K38" s="21"/>
    </row>
    <row r="39">
      <c r="A39" s="28" t="s">
        <v>174</v>
      </c>
      <c r="B39" s="16"/>
      <c r="F39" s="21"/>
      <c r="K39" s="21"/>
    </row>
    <row r="40">
      <c r="A40" s="28" t="s">
        <v>174</v>
      </c>
      <c r="B40" s="16"/>
      <c r="F40" s="21"/>
      <c r="K40" s="21"/>
    </row>
    <row r="41">
      <c r="A41" s="28" t="s">
        <v>174</v>
      </c>
      <c r="B41" s="16"/>
      <c r="F41" s="21"/>
      <c r="K41" s="21"/>
    </row>
    <row r="42">
      <c r="A42" s="28" t="s">
        <v>174</v>
      </c>
      <c r="B42" s="16"/>
      <c r="F42" s="21"/>
      <c r="K42" s="21"/>
    </row>
    <row r="43">
      <c r="A43" s="28" t="s">
        <v>174</v>
      </c>
      <c r="B43" s="16"/>
      <c r="F43" s="21"/>
      <c r="K43" s="21"/>
    </row>
    <row r="44">
      <c r="A44" s="28" t="s">
        <v>174</v>
      </c>
      <c r="B44" s="16"/>
      <c r="F44" s="21"/>
      <c r="K44" s="21"/>
    </row>
    <row r="45">
      <c r="A45" s="28" t="s">
        <v>174</v>
      </c>
      <c r="B45" s="16"/>
      <c r="F45" s="21"/>
      <c r="K45" s="21"/>
    </row>
    <row r="46">
      <c r="A46" s="28" t="s">
        <v>174</v>
      </c>
      <c r="B46" s="16"/>
      <c r="F46" s="21"/>
      <c r="K46" s="21"/>
    </row>
    <row r="47">
      <c r="A47" s="28" t="s">
        <v>174</v>
      </c>
      <c r="B47" s="16"/>
      <c r="F47" s="21"/>
      <c r="K47" s="21"/>
    </row>
    <row r="48">
      <c r="A48" s="28" t="s">
        <v>174</v>
      </c>
      <c r="B48" s="16"/>
      <c r="F48" s="21"/>
      <c r="K48" s="21"/>
    </row>
    <row r="49">
      <c r="A49" s="28" t="s">
        <v>174</v>
      </c>
      <c r="B49" s="16"/>
      <c r="F49" s="21"/>
      <c r="K49" s="21"/>
    </row>
    <row r="50">
      <c r="A50" s="28" t="s">
        <v>174</v>
      </c>
      <c r="B50" s="16"/>
      <c r="F50" s="21"/>
      <c r="K50" s="21"/>
    </row>
    <row r="51">
      <c r="A51" s="28" t="s">
        <v>174</v>
      </c>
      <c r="B51" s="16"/>
      <c r="F51" s="21"/>
      <c r="K51" s="21"/>
    </row>
    <row r="52">
      <c r="A52" s="28" t="s">
        <v>174</v>
      </c>
      <c r="B52" s="16"/>
      <c r="F52" s="21"/>
      <c r="K52" s="21"/>
    </row>
    <row r="53">
      <c r="A53" s="28" t="s">
        <v>174</v>
      </c>
      <c r="B53" s="16"/>
      <c r="F53" s="21"/>
      <c r="K53" s="21"/>
    </row>
    <row r="54">
      <c r="A54" s="28" t="s">
        <v>174</v>
      </c>
      <c r="B54" s="16"/>
      <c r="F54" s="21"/>
      <c r="K54" s="21"/>
    </row>
    <row r="55">
      <c r="A55" s="28" t="s">
        <v>174</v>
      </c>
      <c r="B55" s="16"/>
      <c r="F55" s="21"/>
      <c r="K55" s="21"/>
    </row>
    <row r="56">
      <c r="A56" s="28" t="s">
        <v>174</v>
      </c>
      <c r="B56" s="16"/>
      <c r="F56" s="21"/>
      <c r="K56" s="21"/>
    </row>
    <row r="57">
      <c r="A57" s="28" t="s">
        <v>174</v>
      </c>
      <c r="B57" s="16"/>
      <c r="F57" s="21"/>
      <c r="K57" s="21"/>
    </row>
    <row r="58">
      <c r="A58" s="28" t="s">
        <v>174</v>
      </c>
      <c r="B58" s="16"/>
      <c r="F58" s="21"/>
      <c r="K58" s="21"/>
    </row>
    <row r="59">
      <c r="A59" s="28" t="s">
        <v>174</v>
      </c>
      <c r="B59" s="16"/>
      <c r="F59" s="21"/>
      <c r="K59" s="21"/>
    </row>
    <row r="60">
      <c r="A60" s="28" t="s">
        <v>174</v>
      </c>
      <c r="B60" s="16"/>
      <c r="F60" s="21"/>
      <c r="K60" s="21"/>
    </row>
    <row r="61">
      <c r="A61" s="28" t="s">
        <v>174</v>
      </c>
      <c r="B61" s="16"/>
      <c r="F61" s="21"/>
      <c r="K61" s="21"/>
    </row>
    <row r="62">
      <c r="A62" s="28" t="s">
        <v>174</v>
      </c>
      <c r="B62" s="16"/>
      <c r="F62" s="21"/>
      <c r="K62" s="21"/>
    </row>
    <row r="63">
      <c r="A63" s="28" t="s">
        <v>174</v>
      </c>
      <c r="B63" s="16"/>
      <c r="F63" s="21"/>
      <c r="K63" s="21"/>
    </row>
    <row r="64">
      <c r="A64" s="28" t="s">
        <v>174</v>
      </c>
      <c r="B64" s="16"/>
      <c r="F64" s="21"/>
      <c r="K64" s="21"/>
    </row>
    <row r="65">
      <c r="A65" s="28" t="s">
        <v>174</v>
      </c>
      <c r="B65" s="16"/>
      <c r="F65" s="21"/>
      <c r="K65" s="21"/>
    </row>
    <row r="66">
      <c r="A66" s="28" t="s">
        <v>174</v>
      </c>
      <c r="B66" s="16"/>
      <c r="F66" s="21"/>
      <c r="K66" s="21"/>
    </row>
    <row r="67">
      <c r="A67" s="28" t="s">
        <v>174</v>
      </c>
      <c r="B67" s="16"/>
      <c r="F67" s="21"/>
      <c r="K67" s="21"/>
    </row>
    <row r="68">
      <c r="A68" s="28" t="s">
        <v>174</v>
      </c>
      <c r="B68" s="16"/>
      <c r="F68" s="21"/>
      <c r="K68" s="21"/>
    </row>
    <row r="69">
      <c r="A69" s="28" t="s">
        <v>174</v>
      </c>
      <c r="B69" s="16"/>
      <c r="F69" s="21"/>
      <c r="K69" s="21"/>
    </row>
    <row r="70">
      <c r="A70" s="28" t="s">
        <v>174</v>
      </c>
      <c r="B70" s="16"/>
      <c r="F70" s="21"/>
      <c r="K70" s="21"/>
    </row>
    <row r="71">
      <c r="A71" s="28" t="s">
        <v>174</v>
      </c>
      <c r="B71" s="16"/>
      <c r="F71" s="21"/>
      <c r="K71" s="21"/>
    </row>
    <row r="72">
      <c r="A72" s="28" t="s">
        <v>174</v>
      </c>
      <c r="B72" s="16"/>
      <c r="F72" s="21"/>
      <c r="K72" s="21"/>
    </row>
    <row r="73">
      <c r="A73" s="28" t="s">
        <v>174</v>
      </c>
      <c r="B73" s="16"/>
      <c r="F73" s="21"/>
      <c r="K73" s="21"/>
    </row>
    <row r="74">
      <c r="A74" s="28" t="s">
        <v>174</v>
      </c>
      <c r="B74" s="16"/>
      <c r="F74" s="21"/>
      <c r="K74" s="21"/>
    </row>
    <row r="75">
      <c r="A75" s="28" t="s">
        <v>174</v>
      </c>
      <c r="B75" s="16"/>
      <c r="F75" s="21"/>
      <c r="K75" s="21"/>
    </row>
    <row r="76">
      <c r="A76" s="28" t="s">
        <v>174</v>
      </c>
      <c r="B76" s="16"/>
      <c r="F76" s="21"/>
      <c r="K76" s="21"/>
    </row>
    <row r="77">
      <c r="A77" s="28" t="s">
        <v>174</v>
      </c>
      <c r="B77" s="16"/>
      <c r="F77" s="21"/>
      <c r="K77" s="21"/>
    </row>
    <row r="78">
      <c r="A78" s="28" t="s">
        <v>174</v>
      </c>
      <c r="B78" s="16"/>
      <c r="F78" s="21"/>
      <c r="K78" s="21"/>
    </row>
    <row r="79">
      <c r="A79" s="28" t="s">
        <v>174</v>
      </c>
      <c r="B79" s="16"/>
      <c r="F79" s="21"/>
      <c r="K79" s="21"/>
    </row>
    <row r="80">
      <c r="A80" s="28" t="s">
        <v>174</v>
      </c>
      <c r="B80" s="16"/>
      <c r="F80" s="21"/>
      <c r="K80" s="21"/>
    </row>
    <row r="81">
      <c r="A81" s="28" t="s">
        <v>174</v>
      </c>
      <c r="B81" s="16"/>
      <c r="F81" s="21"/>
      <c r="K81" s="21"/>
    </row>
    <row r="82">
      <c r="A82" s="28" t="s">
        <v>174</v>
      </c>
      <c r="B82" s="16"/>
      <c r="F82" s="21"/>
      <c r="K82" s="21"/>
    </row>
    <row r="83">
      <c r="A83" s="28" t="s">
        <v>174</v>
      </c>
      <c r="B83" s="16"/>
      <c r="F83" s="21"/>
      <c r="K83" s="21"/>
    </row>
    <row r="84">
      <c r="A84" s="28" t="s">
        <v>174</v>
      </c>
      <c r="B84" s="16"/>
      <c r="F84" s="21"/>
      <c r="K84" s="21"/>
    </row>
    <row r="85">
      <c r="A85" s="28" t="s">
        <v>174</v>
      </c>
      <c r="B85" s="16"/>
      <c r="F85" s="21"/>
      <c r="K85" s="21"/>
    </row>
    <row r="86">
      <c r="A86" s="28" t="s">
        <v>174</v>
      </c>
      <c r="B86" s="16"/>
      <c r="F86" s="21"/>
      <c r="K86" s="21"/>
    </row>
    <row r="87">
      <c r="A87" s="28" t="s">
        <v>174</v>
      </c>
      <c r="B87" s="16"/>
      <c r="F87" s="21"/>
      <c r="K87" s="21"/>
    </row>
    <row r="88">
      <c r="A88" s="28" t="s">
        <v>174</v>
      </c>
      <c r="B88" s="16"/>
      <c r="F88" s="21"/>
      <c r="K88" s="21"/>
    </row>
    <row r="89">
      <c r="A89" s="28" t="s">
        <v>174</v>
      </c>
      <c r="B89" s="16"/>
      <c r="F89" s="21"/>
      <c r="K89" s="21"/>
    </row>
    <row r="90">
      <c r="A90" s="28" t="s">
        <v>174</v>
      </c>
      <c r="B90" s="16"/>
      <c r="F90" s="21"/>
      <c r="K90" s="21"/>
    </row>
    <row r="91">
      <c r="A91" s="28" t="s">
        <v>174</v>
      </c>
      <c r="B91" s="16"/>
      <c r="F91" s="21"/>
      <c r="K91" s="21"/>
    </row>
    <row r="92">
      <c r="A92" s="28" t="s">
        <v>174</v>
      </c>
      <c r="B92" s="16"/>
      <c r="F92" s="21"/>
      <c r="K92" s="21"/>
    </row>
    <row r="93">
      <c r="A93" s="28" t="s">
        <v>174</v>
      </c>
      <c r="B93" s="16"/>
      <c r="F93" s="21"/>
      <c r="K93" s="21"/>
    </row>
    <row r="94">
      <c r="A94" s="28" t="s">
        <v>174</v>
      </c>
      <c r="B94" s="16"/>
      <c r="F94" s="21"/>
      <c r="K94" s="21"/>
    </row>
    <row r="95">
      <c r="A95" s="28" t="s">
        <v>174</v>
      </c>
      <c r="B95" s="16"/>
      <c r="F95" s="21"/>
      <c r="K95" s="21"/>
    </row>
    <row r="96">
      <c r="A96" s="28" t="s">
        <v>174</v>
      </c>
      <c r="B96" s="16"/>
      <c r="F96" s="21"/>
      <c r="K96" s="21"/>
    </row>
    <row r="97">
      <c r="A97" s="28" t="s">
        <v>174</v>
      </c>
      <c r="B97" s="16"/>
      <c r="F97" s="21"/>
      <c r="K97" s="21"/>
    </row>
    <row r="98">
      <c r="A98" s="28" t="s">
        <v>174</v>
      </c>
      <c r="B98" s="16"/>
      <c r="F98" s="21"/>
      <c r="K98" s="21"/>
    </row>
    <row r="99">
      <c r="A99" s="28" t="s">
        <v>174</v>
      </c>
      <c r="B99" s="16"/>
      <c r="F99" s="21"/>
      <c r="K99" s="21"/>
    </row>
    <row r="100">
      <c r="A100" s="28" t="s">
        <v>174</v>
      </c>
      <c r="B100" s="16"/>
      <c r="F100" s="21"/>
      <c r="K100" s="21"/>
    </row>
    <row r="101">
      <c r="A101" s="28" t="s">
        <v>174</v>
      </c>
      <c r="B101" s="16"/>
      <c r="F101" s="21"/>
      <c r="K101" s="21"/>
    </row>
    <row r="102">
      <c r="A102" s="28" t="s">
        <v>174</v>
      </c>
      <c r="B102" s="16"/>
      <c r="F102" s="21"/>
      <c r="K102" s="21"/>
    </row>
    <row r="103">
      <c r="A103" s="28" t="s">
        <v>174</v>
      </c>
      <c r="B103" s="16"/>
      <c r="F103" s="21"/>
      <c r="K103" s="21"/>
    </row>
    <row r="104">
      <c r="A104" s="28" t="s">
        <v>174</v>
      </c>
      <c r="B104" s="16"/>
      <c r="F104" s="21"/>
      <c r="K104" s="21"/>
    </row>
    <row r="105">
      <c r="A105" s="28" t="s">
        <v>174</v>
      </c>
      <c r="B105" s="16"/>
      <c r="F105" s="21"/>
      <c r="K105" s="21"/>
    </row>
    <row r="106">
      <c r="A106" s="28" t="s">
        <v>174</v>
      </c>
      <c r="B106" s="16"/>
      <c r="F106" s="21"/>
      <c r="K106" s="21"/>
    </row>
    <row r="107">
      <c r="A107" s="28" t="s">
        <v>174</v>
      </c>
      <c r="B107" s="16"/>
      <c r="F107" s="21"/>
      <c r="K107" s="21"/>
    </row>
    <row r="108">
      <c r="A108" s="28" t="s">
        <v>174</v>
      </c>
      <c r="B108" s="16"/>
      <c r="F108" s="21"/>
      <c r="K108" s="21"/>
    </row>
    <row r="109">
      <c r="A109" s="28" t="s">
        <v>174</v>
      </c>
      <c r="B109" s="16"/>
      <c r="F109" s="21"/>
      <c r="K109" s="21"/>
    </row>
    <row r="110">
      <c r="A110" s="28" t="s">
        <v>174</v>
      </c>
      <c r="B110" s="16"/>
      <c r="F110" s="21"/>
      <c r="K110" s="21"/>
    </row>
    <row r="111">
      <c r="A111" s="28" t="s">
        <v>174</v>
      </c>
      <c r="B111" s="16"/>
      <c r="F111" s="21"/>
      <c r="K111" s="21"/>
    </row>
    <row r="112">
      <c r="A112" s="28" t="s">
        <v>174</v>
      </c>
      <c r="B112" s="16"/>
      <c r="F112" s="21"/>
      <c r="K112" s="21"/>
    </row>
    <row r="113">
      <c r="A113" s="28" t="s">
        <v>174</v>
      </c>
      <c r="B113" s="16"/>
      <c r="F113" s="21"/>
      <c r="K113" s="21"/>
    </row>
    <row r="114">
      <c r="A114" s="28" t="s">
        <v>174</v>
      </c>
      <c r="B114" s="16"/>
      <c r="F114" s="21"/>
      <c r="K114" s="21"/>
    </row>
    <row r="115">
      <c r="A115" s="28" t="s">
        <v>174</v>
      </c>
      <c r="B115" s="16"/>
      <c r="F115" s="21"/>
      <c r="K115" s="21"/>
    </row>
    <row r="116">
      <c r="A116" s="28" t="s">
        <v>174</v>
      </c>
      <c r="B116" s="16"/>
      <c r="F116" s="21"/>
      <c r="K116" s="21"/>
    </row>
    <row r="117">
      <c r="A117" s="28" t="s">
        <v>174</v>
      </c>
      <c r="B117" s="16"/>
      <c r="F117" s="21"/>
      <c r="K117" s="21"/>
    </row>
    <row r="118">
      <c r="A118" s="28" t="s">
        <v>174</v>
      </c>
      <c r="B118" s="16"/>
      <c r="F118" s="21"/>
      <c r="K118" s="21"/>
    </row>
    <row r="119">
      <c r="A119" s="28" t="s">
        <v>174</v>
      </c>
      <c r="B119" s="16"/>
      <c r="F119" s="21"/>
      <c r="K119" s="21"/>
    </row>
    <row r="120">
      <c r="A120" s="28" t="s">
        <v>174</v>
      </c>
      <c r="B120" s="16"/>
      <c r="F120" s="21"/>
      <c r="K120" s="21"/>
    </row>
    <row r="121">
      <c r="A121" s="28" t="s">
        <v>174</v>
      </c>
      <c r="B121" s="16"/>
      <c r="F121" s="21"/>
      <c r="K121" s="21"/>
    </row>
    <row r="122">
      <c r="A122" s="28" t="s">
        <v>174</v>
      </c>
      <c r="B122" s="16"/>
      <c r="F122" s="21"/>
      <c r="K122" s="21"/>
    </row>
    <row r="123">
      <c r="A123" s="28" t="s">
        <v>174</v>
      </c>
      <c r="B123" s="16"/>
      <c r="F123" s="21"/>
      <c r="K123" s="21"/>
    </row>
    <row r="124">
      <c r="A124" s="28" t="s">
        <v>174</v>
      </c>
      <c r="B124" s="16"/>
      <c r="F124" s="21"/>
      <c r="K124" s="21"/>
    </row>
    <row r="125">
      <c r="A125" s="28" t="s">
        <v>174</v>
      </c>
      <c r="B125" s="16"/>
      <c r="F125" s="21"/>
      <c r="K125" s="21"/>
    </row>
    <row r="126">
      <c r="A126" s="28" t="s">
        <v>174</v>
      </c>
      <c r="B126" s="16"/>
      <c r="F126" s="21"/>
      <c r="K126" s="21"/>
    </row>
    <row r="127">
      <c r="A127" s="28" t="s">
        <v>174</v>
      </c>
      <c r="B127" s="16"/>
      <c r="F127" s="21"/>
      <c r="K127" s="21"/>
    </row>
    <row r="128">
      <c r="A128" s="28" t="s">
        <v>174</v>
      </c>
      <c r="B128" s="16"/>
      <c r="F128" s="21"/>
      <c r="K128" s="21"/>
    </row>
    <row r="129">
      <c r="A129" s="28" t="s">
        <v>174</v>
      </c>
      <c r="B129" s="16"/>
      <c r="F129" s="21"/>
      <c r="K129" s="21"/>
    </row>
    <row r="130">
      <c r="A130" s="28" t="s">
        <v>174</v>
      </c>
      <c r="B130" s="16"/>
      <c r="F130" s="21"/>
      <c r="K130" s="21"/>
    </row>
    <row r="131">
      <c r="A131" s="28" t="s">
        <v>174</v>
      </c>
      <c r="B131" s="16"/>
      <c r="F131" s="21"/>
      <c r="K131" s="21"/>
    </row>
    <row r="132">
      <c r="A132" s="28" t="s">
        <v>174</v>
      </c>
      <c r="B132" s="16"/>
      <c r="F132" s="21"/>
      <c r="K132" s="21"/>
    </row>
    <row r="133">
      <c r="A133" s="28" t="s">
        <v>174</v>
      </c>
      <c r="B133" s="16"/>
      <c r="F133" s="21"/>
      <c r="K133" s="21"/>
    </row>
    <row r="134">
      <c r="A134" s="28" t="s">
        <v>174</v>
      </c>
      <c r="B134" s="16"/>
      <c r="F134" s="21"/>
      <c r="K134" s="21"/>
    </row>
    <row r="135">
      <c r="A135" s="28" t="s">
        <v>174</v>
      </c>
      <c r="B135" s="16"/>
      <c r="F135" s="21"/>
      <c r="K135" s="21"/>
    </row>
    <row r="136">
      <c r="A136" s="28" t="s">
        <v>174</v>
      </c>
      <c r="B136" s="16"/>
      <c r="F136" s="21"/>
      <c r="K136" s="21"/>
    </row>
    <row r="137">
      <c r="A137" s="28" t="s">
        <v>174</v>
      </c>
      <c r="B137" s="16"/>
      <c r="F137" s="21"/>
      <c r="K137" s="21"/>
    </row>
    <row r="138">
      <c r="A138" s="28" t="s">
        <v>174</v>
      </c>
      <c r="B138" s="16"/>
      <c r="F138" s="21"/>
      <c r="K138" s="21"/>
    </row>
    <row r="139">
      <c r="A139" s="28" t="s">
        <v>174</v>
      </c>
      <c r="B139" s="16"/>
      <c r="F139" s="21"/>
      <c r="K139" s="21"/>
    </row>
    <row r="140">
      <c r="A140" s="28" t="s">
        <v>174</v>
      </c>
      <c r="B140" s="16"/>
      <c r="F140" s="21"/>
      <c r="K140" s="21"/>
    </row>
    <row r="141">
      <c r="A141" s="28" t="s">
        <v>174</v>
      </c>
      <c r="B141" s="16"/>
      <c r="F141" s="21"/>
      <c r="K141" s="21"/>
    </row>
    <row r="142">
      <c r="A142" s="28" t="s">
        <v>174</v>
      </c>
      <c r="B142" s="16"/>
      <c r="F142" s="21"/>
      <c r="K142" s="21"/>
    </row>
    <row r="143">
      <c r="A143" s="28" t="s">
        <v>174</v>
      </c>
      <c r="B143" s="16"/>
      <c r="F143" s="21"/>
      <c r="K143" s="21"/>
    </row>
    <row r="144">
      <c r="A144" s="28" t="s">
        <v>174</v>
      </c>
      <c r="B144" s="16"/>
      <c r="F144" s="21"/>
      <c r="K144" s="21"/>
    </row>
    <row r="145">
      <c r="A145" s="28" t="s">
        <v>174</v>
      </c>
      <c r="B145" s="16"/>
      <c r="F145" s="21"/>
      <c r="K145" s="21"/>
    </row>
    <row r="146">
      <c r="A146" s="28" t="s">
        <v>174</v>
      </c>
      <c r="B146" s="16"/>
      <c r="F146" s="21"/>
      <c r="K146" s="21"/>
    </row>
    <row r="147">
      <c r="A147" s="28" t="s">
        <v>174</v>
      </c>
      <c r="B147" s="16"/>
      <c r="F147" s="21"/>
      <c r="K147" s="21"/>
    </row>
    <row r="148">
      <c r="A148" s="28" t="s">
        <v>174</v>
      </c>
      <c r="B148" s="16"/>
      <c r="F148" s="21"/>
      <c r="K148" s="21"/>
    </row>
    <row r="149">
      <c r="A149" s="28" t="s">
        <v>174</v>
      </c>
      <c r="B149" s="16"/>
      <c r="F149" s="21"/>
      <c r="K149" s="21"/>
    </row>
    <row r="150">
      <c r="A150" s="28" t="s">
        <v>174</v>
      </c>
      <c r="B150" s="16"/>
      <c r="F150" s="21"/>
      <c r="K150" s="21"/>
    </row>
    <row r="151">
      <c r="A151" s="28" t="s">
        <v>174</v>
      </c>
      <c r="B151" s="16"/>
      <c r="F151" s="21"/>
      <c r="K151" s="21"/>
    </row>
    <row r="152">
      <c r="A152" s="28" t="s">
        <v>174</v>
      </c>
      <c r="B152" s="16"/>
      <c r="F152" s="21"/>
      <c r="K152" s="21"/>
    </row>
    <row r="153">
      <c r="A153" s="28" t="s">
        <v>174</v>
      </c>
      <c r="B153" s="16"/>
      <c r="F153" s="21"/>
      <c r="K153" s="21"/>
    </row>
    <row r="154">
      <c r="A154" s="28" t="s">
        <v>174</v>
      </c>
      <c r="B154" s="16"/>
      <c r="F154" s="21"/>
      <c r="K154" s="21"/>
    </row>
    <row r="155">
      <c r="A155" s="28" t="s">
        <v>174</v>
      </c>
      <c r="B155" s="16"/>
      <c r="F155" s="21"/>
      <c r="K155" s="21"/>
    </row>
    <row r="156">
      <c r="A156" s="28" t="s">
        <v>174</v>
      </c>
      <c r="B156" s="16"/>
      <c r="F156" s="21"/>
      <c r="K156" s="21"/>
    </row>
    <row r="157">
      <c r="A157" s="28" t="s">
        <v>174</v>
      </c>
      <c r="B157" s="16"/>
      <c r="F157" s="21"/>
      <c r="K157" s="21"/>
    </row>
    <row r="158">
      <c r="A158" s="28" t="s">
        <v>174</v>
      </c>
      <c r="B158" s="16"/>
      <c r="F158" s="21"/>
      <c r="K158" s="21"/>
    </row>
    <row r="159">
      <c r="A159" s="28" t="s">
        <v>174</v>
      </c>
      <c r="B159" s="16"/>
      <c r="F159" s="21"/>
      <c r="K159" s="21"/>
    </row>
    <row r="160">
      <c r="A160" s="28" t="s">
        <v>174</v>
      </c>
      <c r="B160" s="16"/>
      <c r="F160" s="21"/>
      <c r="K160" s="21"/>
    </row>
    <row r="161">
      <c r="A161" s="28" t="s">
        <v>174</v>
      </c>
      <c r="B161" s="16"/>
      <c r="F161" s="21"/>
      <c r="K161" s="21"/>
    </row>
    <row r="162">
      <c r="A162" s="28" t="s">
        <v>174</v>
      </c>
      <c r="B162" s="16"/>
      <c r="F162" s="21"/>
      <c r="K162" s="21"/>
    </row>
    <row r="163">
      <c r="A163" s="28" t="s">
        <v>174</v>
      </c>
      <c r="B163" s="16"/>
      <c r="F163" s="21"/>
      <c r="K163" s="21"/>
    </row>
    <row r="164">
      <c r="A164" s="28" t="s">
        <v>174</v>
      </c>
      <c r="B164" s="16"/>
      <c r="F164" s="21"/>
      <c r="K164" s="21"/>
    </row>
    <row r="165">
      <c r="A165" s="28" t="s">
        <v>174</v>
      </c>
      <c r="B165" s="16"/>
      <c r="F165" s="21"/>
      <c r="K165" s="21"/>
    </row>
    <row r="166">
      <c r="A166" s="28" t="s">
        <v>174</v>
      </c>
      <c r="B166" s="16"/>
      <c r="F166" s="21"/>
      <c r="K166" s="21"/>
    </row>
    <row r="167">
      <c r="A167" s="28" t="s">
        <v>174</v>
      </c>
      <c r="B167" s="16"/>
      <c r="F167" s="21"/>
      <c r="K167" s="21"/>
    </row>
    <row r="168">
      <c r="A168" s="28" t="s">
        <v>174</v>
      </c>
      <c r="B168" s="16"/>
      <c r="F168" s="21"/>
      <c r="K168" s="21"/>
    </row>
    <row r="169">
      <c r="A169" s="28" t="s">
        <v>174</v>
      </c>
      <c r="B169" s="16"/>
      <c r="F169" s="21"/>
      <c r="K169" s="21"/>
    </row>
    <row r="170">
      <c r="A170" s="28" t="s">
        <v>174</v>
      </c>
      <c r="B170" s="16"/>
      <c r="F170" s="21"/>
      <c r="K170" s="21"/>
    </row>
    <row r="171">
      <c r="A171" s="28" t="s">
        <v>174</v>
      </c>
      <c r="B171" s="16"/>
      <c r="F171" s="21"/>
      <c r="K171" s="21"/>
    </row>
    <row r="172">
      <c r="A172" s="28" t="s">
        <v>174</v>
      </c>
      <c r="B172" s="16"/>
      <c r="F172" s="21"/>
      <c r="K172" s="21"/>
    </row>
    <row r="173">
      <c r="A173" s="28" t="s">
        <v>174</v>
      </c>
      <c r="B173" s="16"/>
      <c r="F173" s="21"/>
      <c r="K173" s="21"/>
    </row>
    <row r="174">
      <c r="A174" s="28" t="s">
        <v>174</v>
      </c>
      <c r="B174" s="16"/>
      <c r="F174" s="21"/>
      <c r="K174" s="21"/>
    </row>
    <row r="175">
      <c r="A175" s="28" t="s">
        <v>174</v>
      </c>
      <c r="B175" s="16"/>
      <c r="F175" s="21"/>
      <c r="K175" s="21"/>
    </row>
    <row r="176">
      <c r="A176" s="28" t="s">
        <v>174</v>
      </c>
      <c r="B176" s="16"/>
      <c r="F176" s="21"/>
      <c r="K176" s="21"/>
    </row>
    <row r="177">
      <c r="A177" s="28" t="s">
        <v>174</v>
      </c>
      <c r="B177" s="16"/>
      <c r="F177" s="21"/>
      <c r="K177" s="21"/>
    </row>
    <row r="178">
      <c r="A178" s="28" t="s">
        <v>174</v>
      </c>
      <c r="B178" s="16"/>
      <c r="F178" s="21"/>
      <c r="K178" s="21"/>
    </row>
    <row r="179">
      <c r="A179" s="28" t="s">
        <v>174</v>
      </c>
      <c r="B179" s="16"/>
      <c r="F179" s="21"/>
      <c r="K179" s="21"/>
    </row>
    <row r="180">
      <c r="A180" s="28" t="s">
        <v>174</v>
      </c>
      <c r="B180" s="16"/>
      <c r="F180" s="21"/>
      <c r="K180" s="21"/>
    </row>
    <row r="181">
      <c r="A181" s="28" t="s">
        <v>174</v>
      </c>
      <c r="B181" s="16"/>
      <c r="F181" s="21"/>
      <c r="K181" s="21"/>
    </row>
    <row r="182">
      <c r="A182" s="28" t="s">
        <v>174</v>
      </c>
      <c r="B182" s="16"/>
      <c r="F182" s="21"/>
      <c r="K182" s="21"/>
    </row>
    <row r="183">
      <c r="A183" s="28" t="s">
        <v>174</v>
      </c>
      <c r="B183" s="16"/>
      <c r="F183" s="21"/>
      <c r="K183" s="21"/>
    </row>
    <row r="184">
      <c r="A184" s="28" t="s">
        <v>174</v>
      </c>
      <c r="B184" s="16"/>
      <c r="F184" s="21"/>
      <c r="K184" s="21"/>
    </row>
    <row r="185">
      <c r="A185" s="28" t="s">
        <v>174</v>
      </c>
      <c r="B185" s="16"/>
      <c r="F185" s="21"/>
      <c r="K185" s="21"/>
    </row>
    <row r="186">
      <c r="A186" s="28" t="s">
        <v>174</v>
      </c>
      <c r="B186" s="16"/>
      <c r="F186" s="21"/>
      <c r="K186" s="21"/>
    </row>
    <row r="187">
      <c r="A187" s="28" t="s">
        <v>174</v>
      </c>
      <c r="B187" s="16"/>
      <c r="F187" s="21"/>
      <c r="K187" s="21"/>
    </row>
    <row r="188">
      <c r="A188" s="28" t="s">
        <v>174</v>
      </c>
      <c r="B188" s="16"/>
      <c r="F188" s="21"/>
      <c r="K188" s="21"/>
    </row>
    <row r="189">
      <c r="A189" s="28" t="s">
        <v>174</v>
      </c>
      <c r="B189" s="16"/>
      <c r="F189" s="21"/>
      <c r="K189" s="21"/>
    </row>
    <row r="190">
      <c r="A190" s="28" t="s">
        <v>174</v>
      </c>
      <c r="B190" s="16"/>
      <c r="F190" s="21"/>
      <c r="K190" s="21"/>
    </row>
    <row r="191">
      <c r="A191" s="28" t="s">
        <v>174</v>
      </c>
      <c r="B191" s="16"/>
      <c r="F191" s="21"/>
      <c r="K191" s="21"/>
    </row>
    <row r="192">
      <c r="A192" s="28" t="s">
        <v>174</v>
      </c>
      <c r="B192" s="16"/>
      <c r="F192" s="21"/>
      <c r="K192" s="21"/>
    </row>
    <row r="193">
      <c r="A193" s="28" t="s">
        <v>174</v>
      </c>
      <c r="B193" s="16"/>
      <c r="F193" s="21"/>
      <c r="K193" s="21"/>
    </row>
    <row r="194">
      <c r="A194" s="28" t="s">
        <v>174</v>
      </c>
      <c r="B194" s="16"/>
      <c r="F194" s="21"/>
      <c r="K194" s="21"/>
    </row>
    <row r="195">
      <c r="A195" s="28" t="s">
        <v>174</v>
      </c>
      <c r="B195" s="16"/>
      <c r="F195" s="21"/>
      <c r="K195" s="21"/>
    </row>
    <row r="196">
      <c r="A196" s="28" t="s">
        <v>174</v>
      </c>
      <c r="B196" s="16"/>
      <c r="F196" s="21"/>
      <c r="K196" s="21"/>
    </row>
    <row r="197">
      <c r="A197" s="28" t="s">
        <v>174</v>
      </c>
      <c r="B197" s="16"/>
      <c r="F197" s="21"/>
      <c r="K197" s="21"/>
    </row>
    <row r="198">
      <c r="A198" s="28" t="s">
        <v>174</v>
      </c>
      <c r="B198" s="16"/>
      <c r="F198" s="21"/>
      <c r="K198" s="21"/>
    </row>
    <row r="199">
      <c r="A199" s="28" t="s">
        <v>174</v>
      </c>
      <c r="B199" s="16"/>
      <c r="F199" s="21"/>
      <c r="K199" s="21"/>
    </row>
    <row r="200">
      <c r="A200" s="28" t="s">
        <v>174</v>
      </c>
      <c r="B200" s="16"/>
      <c r="F200" s="21"/>
      <c r="K200" s="21"/>
    </row>
    <row r="201">
      <c r="A201" s="28" t="s">
        <v>174</v>
      </c>
      <c r="B201" s="16"/>
      <c r="F201" s="21"/>
      <c r="K201" s="21"/>
    </row>
    <row r="202">
      <c r="A202" s="28" t="s">
        <v>174</v>
      </c>
      <c r="B202" s="16"/>
      <c r="F202" s="21"/>
      <c r="K202" s="21"/>
    </row>
    <row r="203">
      <c r="A203" s="28" t="s">
        <v>174</v>
      </c>
      <c r="B203" s="16"/>
      <c r="F203" s="21"/>
      <c r="K203" s="21"/>
    </row>
    <row r="204">
      <c r="A204" s="28" t="s">
        <v>174</v>
      </c>
      <c r="B204" s="16"/>
      <c r="F204" s="21"/>
      <c r="K204" s="21"/>
    </row>
    <row r="205">
      <c r="A205" s="28" t="s">
        <v>174</v>
      </c>
      <c r="B205" s="16"/>
      <c r="F205" s="21"/>
      <c r="K205" s="21"/>
    </row>
    <row r="206">
      <c r="A206" s="28" t="s">
        <v>174</v>
      </c>
      <c r="B206" s="16"/>
      <c r="F206" s="21"/>
      <c r="K206" s="21"/>
    </row>
    <row r="207">
      <c r="A207" s="28" t="s">
        <v>174</v>
      </c>
      <c r="B207" s="16"/>
      <c r="F207" s="21"/>
      <c r="K207" s="21"/>
    </row>
    <row r="208">
      <c r="A208" s="28" t="s">
        <v>174</v>
      </c>
      <c r="B208" s="16"/>
      <c r="F208" s="21"/>
      <c r="K208" s="21"/>
    </row>
    <row r="209">
      <c r="A209" s="28" t="s">
        <v>174</v>
      </c>
      <c r="B209" s="16"/>
      <c r="F209" s="21"/>
      <c r="K209" s="21"/>
    </row>
    <row r="210">
      <c r="A210" s="28" t="s">
        <v>174</v>
      </c>
      <c r="B210" s="16"/>
      <c r="F210" s="21"/>
      <c r="K210" s="21"/>
    </row>
    <row r="211">
      <c r="A211" s="28" t="s">
        <v>174</v>
      </c>
      <c r="B211" s="16"/>
      <c r="F211" s="21"/>
      <c r="K211" s="21"/>
    </row>
    <row r="212">
      <c r="A212" s="28" t="s">
        <v>174</v>
      </c>
      <c r="B212" s="16"/>
      <c r="F212" s="21"/>
      <c r="K212" s="21"/>
    </row>
    <row r="213">
      <c r="A213" s="28" t="s">
        <v>174</v>
      </c>
      <c r="B213" s="16"/>
      <c r="F213" s="21"/>
      <c r="K213" s="21"/>
    </row>
    <row r="214">
      <c r="A214" s="28" t="s">
        <v>174</v>
      </c>
      <c r="B214" s="16"/>
      <c r="F214" s="21"/>
      <c r="K214" s="21"/>
    </row>
    <row r="215">
      <c r="A215" s="28" t="s">
        <v>174</v>
      </c>
      <c r="B215" s="16"/>
      <c r="F215" s="21"/>
      <c r="K215" s="21"/>
    </row>
    <row r="216">
      <c r="A216" s="28" t="s">
        <v>174</v>
      </c>
      <c r="B216" s="16"/>
      <c r="F216" s="21"/>
      <c r="K216" s="21"/>
    </row>
    <row r="217">
      <c r="A217" s="28" t="s">
        <v>174</v>
      </c>
      <c r="B217" s="16"/>
      <c r="F217" s="21"/>
      <c r="K217" s="21"/>
    </row>
    <row r="218">
      <c r="A218" s="28" t="s">
        <v>174</v>
      </c>
      <c r="B218" s="16"/>
      <c r="F218" s="21"/>
      <c r="K218" s="21"/>
    </row>
    <row r="219">
      <c r="A219" s="28" t="s">
        <v>174</v>
      </c>
      <c r="B219" s="16"/>
      <c r="F219" s="21"/>
      <c r="K219" s="21"/>
    </row>
    <row r="220">
      <c r="A220" s="28" t="s">
        <v>174</v>
      </c>
      <c r="B220" s="16"/>
      <c r="F220" s="21"/>
      <c r="K220" s="21"/>
    </row>
    <row r="221">
      <c r="A221" s="28" t="s">
        <v>174</v>
      </c>
      <c r="B221" s="16"/>
      <c r="F221" s="21"/>
      <c r="K221" s="21"/>
    </row>
    <row r="222">
      <c r="A222" s="28" t="s">
        <v>174</v>
      </c>
      <c r="B222" s="16"/>
      <c r="F222" s="21"/>
      <c r="K222" s="21"/>
    </row>
    <row r="223">
      <c r="A223" s="28" t="s">
        <v>174</v>
      </c>
      <c r="B223" s="16"/>
      <c r="F223" s="21"/>
      <c r="K223" s="21"/>
    </row>
    <row r="224">
      <c r="A224" s="28" t="s">
        <v>174</v>
      </c>
      <c r="B224" s="16"/>
      <c r="F224" s="21"/>
      <c r="K224" s="21"/>
    </row>
    <row r="225">
      <c r="A225" s="28" t="s">
        <v>174</v>
      </c>
      <c r="B225" s="16"/>
      <c r="F225" s="21"/>
      <c r="K225" s="21"/>
    </row>
    <row r="226">
      <c r="A226" s="28" t="s">
        <v>174</v>
      </c>
      <c r="B226" s="16"/>
      <c r="F226" s="21"/>
      <c r="K226" s="21"/>
    </row>
    <row r="227">
      <c r="A227" s="28" t="s">
        <v>174</v>
      </c>
      <c r="B227" s="16"/>
      <c r="F227" s="21"/>
      <c r="K227" s="21"/>
    </row>
    <row r="228">
      <c r="A228" s="28" t="s">
        <v>174</v>
      </c>
      <c r="B228" s="16"/>
      <c r="F228" s="21"/>
      <c r="K228" s="21"/>
    </row>
    <row r="229">
      <c r="A229" s="28" t="s">
        <v>174</v>
      </c>
      <c r="B229" s="16"/>
      <c r="F229" s="21"/>
      <c r="K229" s="21"/>
    </row>
    <row r="230">
      <c r="A230" s="28" t="s">
        <v>174</v>
      </c>
      <c r="B230" s="16"/>
      <c r="F230" s="21"/>
      <c r="K230" s="21"/>
    </row>
    <row r="231">
      <c r="A231" s="28" t="s">
        <v>174</v>
      </c>
      <c r="B231" s="16"/>
      <c r="F231" s="21"/>
      <c r="K231" s="21"/>
    </row>
    <row r="232">
      <c r="A232" s="28" t="s">
        <v>174</v>
      </c>
      <c r="B232" s="16"/>
      <c r="F232" s="21"/>
      <c r="K232" s="21"/>
    </row>
    <row r="233">
      <c r="A233" s="28" t="s">
        <v>174</v>
      </c>
      <c r="B233" s="16"/>
      <c r="F233" s="21"/>
      <c r="K233" s="21"/>
    </row>
    <row r="234">
      <c r="A234" s="28" t="s">
        <v>174</v>
      </c>
      <c r="B234" s="16"/>
      <c r="F234" s="21"/>
      <c r="K234" s="21"/>
    </row>
    <row r="235">
      <c r="A235" s="28" t="s">
        <v>174</v>
      </c>
      <c r="B235" s="16"/>
      <c r="F235" s="21"/>
      <c r="K235" s="21"/>
    </row>
    <row r="236">
      <c r="A236" s="28" t="s">
        <v>174</v>
      </c>
      <c r="B236" s="16"/>
      <c r="F236" s="21"/>
      <c r="K236" s="21"/>
    </row>
    <row r="237">
      <c r="A237" s="28" t="s">
        <v>174</v>
      </c>
      <c r="B237" s="16"/>
      <c r="F237" s="21"/>
      <c r="K237" s="21"/>
    </row>
    <row r="238">
      <c r="A238" s="28" t="s">
        <v>174</v>
      </c>
      <c r="B238" s="16"/>
      <c r="F238" s="21"/>
      <c r="K238" s="21"/>
    </row>
    <row r="239">
      <c r="A239" s="28" t="s">
        <v>174</v>
      </c>
      <c r="B239" s="16"/>
      <c r="F239" s="21"/>
      <c r="K239" s="21"/>
    </row>
    <row r="240">
      <c r="A240" s="28" t="s">
        <v>174</v>
      </c>
      <c r="B240" s="16"/>
      <c r="F240" s="21"/>
      <c r="K240" s="21"/>
    </row>
    <row r="241">
      <c r="A241" s="28" t="s">
        <v>174</v>
      </c>
      <c r="B241" s="16"/>
      <c r="F241" s="21"/>
      <c r="K241" s="21"/>
    </row>
    <row r="242">
      <c r="A242" s="28" t="s">
        <v>174</v>
      </c>
      <c r="B242" s="16"/>
      <c r="F242" s="21"/>
      <c r="K242" s="21"/>
    </row>
    <row r="243">
      <c r="A243" s="28" t="s">
        <v>174</v>
      </c>
      <c r="B243" s="16"/>
      <c r="F243" s="21"/>
      <c r="K243" s="21"/>
    </row>
    <row r="244">
      <c r="A244" s="28" t="s">
        <v>174</v>
      </c>
      <c r="B244" s="16"/>
      <c r="F244" s="21"/>
      <c r="K244" s="21"/>
    </row>
    <row r="245">
      <c r="A245" s="28" t="s">
        <v>174</v>
      </c>
      <c r="B245" s="16"/>
      <c r="F245" s="21"/>
      <c r="K245" s="21"/>
    </row>
    <row r="246">
      <c r="A246" s="28" t="s">
        <v>174</v>
      </c>
      <c r="B246" s="16"/>
      <c r="F246" s="21"/>
      <c r="K246" s="21"/>
    </row>
    <row r="247">
      <c r="A247" s="28" t="s">
        <v>174</v>
      </c>
      <c r="B247" s="16"/>
      <c r="F247" s="21"/>
      <c r="K247" s="21"/>
    </row>
    <row r="248">
      <c r="A248" s="28" t="s">
        <v>174</v>
      </c>
      <c r="B248" s="16"/>
      <c r="F248" s="21"/>
      <c r="K248" s="21"/>
    </row>
    <row r="249">
      <c r="A249" s="28" t="s">
        <v>174</v>
      </c>
      <c r="B249" s="16"/>
      <c r="F249" s="21"/>
      <c r="K249" s="21"/>
    </row>
    <row r="250">
      <c r="A250" s="28" t="s">
        <v>174</v>
      </c>
      <c r="B250" s="16"/>
      <c r="F250" s="21"/>
      <c r="K250" s="21"/>
    </row>
    <row r="251">
      <c r="A251" s="28" t="s">
        <v>174</v>
      </c>
      <c r="B251" s="16"/>
      <c r="F251" s="21"/>
      <c r="K251" s="21"/>
    </row>
    <row r="252">
      <c r="A252" s="28" t="s">
        <v>174</v>
      </c>
      <c r="B252" s="16"/>
      <c r="F252" s="21"/>
      <c r="K252" s="21"/>
    </row>
    <row r="253">
      <c r="A253" s="28" t="s">
        <v>174</v>
      </c>
      <c r="B253" s="16"/>
      <c r="F253" s="21"/>
      <c r="K253" s="21"/>
    </row>
    <row r="254">
      <c r="A254" s="28" t="s">
        <v>174</v>
      </c>
      <c r="B254" s="16"/>
      <c r="F254" s="21"/>
      <c r="K254" s="21"/>
    </row>
    <row r="255">
      <c r="A255" s="28" t="s">
        <v>174</v>
      </c>
      <c r="B255" s="16"/>
      <c r="F255" s="21"/>
      <c r="K255" s="21"/>
    </row>
    <row r="256">
      <c r="A256" s="28" t="s">
        <v>174</v>
      </c>
      <c r="B256" s="16"/>
      <c r="F256" s="21"/>
      <c r="K256" s="21"/>
    </row>
    <row r="257">
      <c r="A257" s="28" t="s">
        <v>174</v>
      </c>
      <c r="B257" s="16"/>
      <c r="F257" s="21"/>
      <c r="K257" s="21"/>
    </row>
    <row r="258">
      <c r="A258" s="28" t="s">
        <v>174</v>
      </c>
      <c r="B258" s="16"/>
      <c r="F258" s="21"/>
      <c r="K258" s="21"/>
    </row>
    <row r="259">
      <c r="A259" s="28" t="s">
        <v>174</v>
      </c>
      <c r="B259" s="16"/>
      <c r="F259" s="21"/>
      <c r="K259" s="21"/>
    </row>
    <row r="260">
      <c r="A260" s="28" t="s">
        <v>174</v>
      </c>
      <c r="B260" s="16"/>
      <c r="F260" s="21"/>
      <c r="K260" s="21"/>
    </row>
    <row r="261">
      <c r="A261" s="28" t="s">
        <v>174</v>
      </c>
      <c r="B261" s="16"/>
      <c r="F261" s="21"/>
      <c r="K261" s="21"/>
    </row>
    <row r="262">
      <c r="A262" s="28" t="s">
        <v>174</v>
      </c>
      <c r="B262" s="16"/>
      <c r="F262" s="21"/>
      <c r="K262" s="21"/>
    </row>
    <row r="263">
      <c r="A263" s="28" t="s">
        <v>174</v>
      </c>
      <c r="B263" s="16"/>
      <c r="F263" s="21"/>
      <c r="K263" s="21"/>
    </row>
    <row r="264">
      <c r="A264" s="28" t="s">
        <v>174</v>
      </c>
      <c r="B264" s="16"/>
      <c r="F264" s="21"/>
      <c r="K264" s="21"/>
    </row>
    <row r="265">
      <c r="A265" s="28" t="s">
        <v>174</v>
      </c>
      <c r="B265" s="16"/>
      <c r="F265" s="21"/>
      <c r="K265" s="21"/>
    </row>
    <row r="266">
      <c r="A266" s="28" t="s">
        <v>174</v>
      </c>
      <c r="B266" s="16"/>
      <c r="F266" s="21"/>
      <c r="K266" s="21"/>
    </row>
    <row r="267">
      <c r="A267" s="28" t="s">
        <v>174</v>
      </c>
      <c r="B267" s="16"/>
      <c r="F267" s="21"/>
      <c r="K267" s="21"/>
    </row>
    <row r="268">
      <c r="A268" s="28" t="s">
        <v>174</v>
      </c>
      <c r="B268" s="16"/>
      <c r="F268" s="21"/>
      <c r="K268" s="21"/>
    </row>
    <row r="269">
      <c r="A269" s="28" t="s">
        <v>174</v>
      </c>
      <c r="B269" s="16"/>
      <c r="F269" s="21"/>
      <c r="K269" s="21"/>
    </row>
    <row r="270">
      <c r="A270" s="28" t="s">
        <v>174</v>
      </c>
      <c r="B270" s="16"/>
      <c r="F270" s="21"/>
      <c r="K270" s="21"/>
    </row>
    <row r="271">
      <c r="A271" s="28" t="s">
        <v>174</v>
      </c>
      <c r="B271" s="16"/>
      <c r="F271" s="21"/>
      <c r="K271" s="21"/>
    </row>
    <row r="272">
      <c r="A272" s="28" t="s">
        <v>174</v>
      </c>
      <c r="B272" s="16"/>
      <c r="F272" s="21"/>
      <c r="K272" s="21"/>
    </row>
    <row r="273">
      <c r="A273" s="28" t="s">
        <v>174</v>
      </c>
      <c r="B273" s="16"/>
      <c r="F273" s="21"/>
      <c r="K273" s="21"/>
    </row>
    <row r="274">
      <c r="A274" s="28" t="s">
        <v>174</v>
      </c>
      <c r="B274" s="16"/>
      <c r="F274" s="21"/>
      <c r="K274" s="21"/>
    </row>
    <row r="275">
      <c r="A275" s="28" t="s">
        <v>174</v>
      </c>
      <c r="B275" s="16"/>
      <c r="F275" s="21"/>
      <c r="K275" s="21"/>
    </row>
    <row r="276">
      <c r="A276" s="28" t="s">
        <v>174</v>
      </c>
      <c r="B276" s="16"/>
      <c r="F276" s="21"/>
      <c r="K276" s="21"/>
    </row>
    <row r="277">
      <c r="A277" s="28" t="s">
        <v>174</v>
      </c>
      <c r="B277" s="16"/>
      <c r="F277" s="21"/>
      <c r="K277" s="21"/>
    </row>
    <row r="278">
      <c r="A278" s="28" t="s">
        <v>174</v>
      </c>
      <c r="B278" s="16"/>
      <c r="F278" s="21"/>
      <c r="K278" s="21"/>
    </row>
    <row r="279">
      <c r="A279" s="28" t="s">
        <v>174</v>
      </c>
      <c r="B279" s="16"/>
      <c r="F279" s="21"/>
      <c r="K279" s="21"/>
    </row>
    <row r="280">
      <c r="A280" s="28" t="s">
        <v>174</v>
      </c>
      <c r="B280" s="16"/>
      <c r="F280" s="21"/>
      <c r="K280" s="21"/>
    </row>
    <row r="281">
      <c r="A281" s="28" t="s">
        <v>174</v>
      </c>
      <c r="B281" s="16"/>
      <c r="F281" s="21"/>
      <c r="K281" s="21"/>
    </row>
    <row r="282">
      <c r="A282" s="28" t="s">
        <v>174</v>
      </c>
      <c r="B282" s="16"/>
      <c r="F282" s="21"/>
      <c r="K282" s="21"/>
    </row>
    <row r="283">
      <c r="A283" s="28" t="s">
        <v>174</v>
      </c>
      <c r="B283" s="16"/>
      <c r="F283" s="21"/>
      <c r="K283" s="21"/>
    </row>
    <row r="284">
      <c r="A284" s="28" t="s">
        <v>174</v>
      </c>
      <c r="B284" s="16"/>
      <c r="F284" s="21"/>
      <c r="K284" s="21"/>
    </row>
    <row r="285">
      <c r="A285" s="28" t="s">
        <v>174</v>
      </c>
      <c r="B285" s="16"/>
      <c r="F285" s="21"/>
      <c r="K285" s="21"/>
    </row>
    <row r="286">
      <c r="A286" s="28" t="s">
        <v>174</v>
      </c>
      <c r="B286" s="16"/>
      <c r="F286" s="21"/>
      <c r="K286" s="21"/>
    </row>
    <row r="287">
      <c r="A287" s="28" t="s">
        <v>174</v>
      </c>
      <c r="B287" s="16"/>
      <c r="F287" s="21"/>
      <c r="K287" s="21"/>
    </row>
    <row r="288">
      <c r="A288" s="28" t="s">
        <v>174</v>
      </c>
      <c r="B288" s="16"/>
      <c r="F288" s="21"/>
      <c r="K288" s="21"/>
    </row>
    <row r="289">
      <c r="A289" s="28" t="s">
        <v>174</v>
      </c>
      <c r="B289" s="16"/>
      <c r="F289" s="21"/>
      <c r="K289" s="21"/>
    </row>
    <row r="290">
      <c r="A290" s="28" t="s">
        <v>174</v>
      </c>
      <c r="B290" s="16"/>
      <c r="F290" s="21"/>
      <c r="K290" s="21"/>
    </row>
    <row r="291">
      <c r="A291" s="28" t="s">
        <v>174</v>
      </c>
      <c r="B291" s="16"/>
      <c r="F291" s="21"/>
      <c r="K291" s="21"/>
    </row>
    <row r="292">
      <c r="A292" s="28" t="s">
        <v>174</v>
      </c>
      <c r="B292" s="16"/>
      <c r="F292" s="21"/>
      <c r="K292" s="21"/>
    </row>
    <row r="293">
      <c r="A293" s="28" t="s">
        <v>174</v>
      </c>
      <c r="B293" s="16"/>
      <c r="F293" s="21"/>
      <c r="K293" s="21"/>
    </row>
    <row r="294">
      <c r="A294" s="28" t="s">
        <v>174</v>
      </c>
      <c r="B294" s="16"/>
      <c r="F294" s="21"/>
      <c r="K294" s="21"/>
    </row>
    <row r="295">
      <c r="A295" s="28" t="s">
        <v>174</v>
      </c>
      <c r="B295" s="16"/>
      <c r="F295" s="21"/>
      <c r="K295" s="21"/>
    </row>
    <row r="296">
      <c r="A296" s="28" t="s">
        <v>174</v>
      </c>
      <c r="B296" s="16"/>
      <c r="F296" s="21"/>
      <c r="K296" s="21"/>
    </row>
    <row r="297">
      <c r="A297" s="28" t="s">
        <v>174</v>
      </c>
      <c r="B297" s="16"/>
      <c r="F297" s="21"/>
      <c r="K297" s="21"/>
    </row>
    <row r="298">
      <c r="A298" s="28" t="s">
        <v>174</v>
      </c>
      <c r="B298" s="16"/>
      <c r="F298" s="21"/>
      <c r="K298" s="21"/>
    </row>
    <row r="299">
      <c r="A299" s="28" t="s">
        <v>174</v>
      </c>
      <c r="B299" s="16"/>
      <c r="F299" s="21"/>
      <c r="K299" s="21"/>
    </row>
    <row r="300">
      <c r="A300" s="28" t="s">
        <v>174</v>
      </c>
      <c r="B300" s="16"/>
      <c r="F300" s="21"/>
      <c r="K300" s="21"/>
    </row>
    <row r="301">
      <c r="A301" s="28" t="s">
        <v>174</v>
      </c>
      <c r="B301" s="16"/>
      <c r="F301" s="21"/>
      <c r="K301" s="21"/>
    </row>
    <row r="302">
      <c r="A302" s="28" t="s">
        <v>174</v>
      </c>
      <c r="B302" s="16"/>
      <c r="F302" s="21"/>
      <c r="K302" s="21"/>
    </row>
    <row r="303">
      <c r="A303" s="28" t="s">
        <v>174</v>
      </c>
      <c r="B303" s="16"/>
      <c r="F303" s="21"/>
      <c r="K303" s="21"/>
    </row>
    <row r="304">
      <c r="A304" s="28" t="s">
        <v>174</v>
      </c>
      <c r="B304" s="16"/>
      <c r="F304" s="21"/>
      <c r="K304" s="21"/>
    </row>
    <row r="305">
      <c r="A305" s="28" t="s">
        <v>174</v>
      </c>
      <c r="B305" s="16"/>
      <c r="F305" s="21"/>
      <c r="K305" s="21"/>
    </row>
    <row r="306">
      <c r="A306" s="28" t="s">
        <v>174</v>
      </c>
      <c r="B306" s="16"/>
      <c r="F306" s="21"/>
      <c r="K306" s="21"/>
    </row>
    <row r="307">
      <c r="A307" s="28" t="s">
        <v>174</v>
      </c>
      <c r="B307" s="16"/>
      <c r="F307" s="21"/>
      <c r="K307" s="21"/>
    </row>
    <row r="308">
      <c r="A308" s="28" t="s">
        <v>174</v>
      </c>
      <c r="B308" s="16"/>
      <c r="F308" s="21"/>
      <c r="K308" s="21"/>
    </row>
    <row r="309">
      <c r="A309" s="28" t="s">
        <v>174</v>
      </c>
      <c r="B309" s="16"/>
      <c r="F309" s="21"/>
      <c r="K309" s="21"/>
    </row>
    <row r="310">
      <c r="A310" s="28" t="s">
        <v>174</v>
      </c>
      <c r="B310" s="16"/>
      <c r="F310" s="21"/>
      <c r="K310" s="21"/>
    </row>
    <row r="311">
      <c r="A311" s="28" t="s">
        <v>174</v>
      </c>
      <c r="B311" s="16"/>
      <c r="F311" s="21"/>
      <c r="K311" s="21"/>
    </row>
    <row r="312">
      <c r="A312" s="28" t="s">
        <v>174</v>
      </c>
      <c r="B312" s="16"/>
      <c r="F312" s="21"/>
      <c r="K312" s="21"/>
    </row>
    <row r="313">
      <c r="A313" s="28" t="s">
        <v>174</v>
      </c>
      <c r="B313" s="16"/>
      <c r="F313" s="21"/>
      <c r="K313" s="21"/>
    </row>
    <row r="314">
      <c r="A314" s="28" t="s">
        <v>174</v>
      </c>
      <c r="B314" s="16"/>
      <c r="F314" s="21"/>
      <c r="K314" s="21"/>
    </row>
    <row r="315">
      <c r="A315" s="28" t="s">
        <v>174</v>
      </c>
      <c r="B315" s="16"/>
      <c r="F315" s="21"/>
      <c r="K315" s="21"/>
    </row>
    <row r="316">
      <c r="A316" s="28" t="s">
        <v>174</v>
      </c>
      <c r="B316" s="16"/>
      <c r="F316" s="21"/>
      <c r="K316" s="21"/>
    </row>
    <row r="317">
      <c r="A317" s="28" t="s">
        <v>174</v>
      </c>
      <c r="B317" s="16"/>
      <c r="F317" s="21"/>
      <c r="K317" s="21"/>
    </row>
    <row r="318">
      <c r="A318" s="28" t="s">
        <v>174</v>
      </c>
      <c r="B318" s="16"/>
      <c r="F318" s="21"/>
      <c r="K318" s="21"/>
    </row>
    <row r="319">
      <c r="A319" s="28" t="s">
        <v>174</v>
      </c>
      <c r="B319" s="16"/>
      <c r="F319" s="21"/>
      <c r="K319" s="21"/>
    </row>
    <row r="320">
      <c r="A320" s="28" t="s">
        <v>174</v>
      </c>
      <c r="B320" s="16"/>
      <c r="F320" s="21"/>
      <c r="K320" s="21"/>
    </row>
    <row r="321">
      <c r="A321" s="28" t="s">
        <v>174</v>
      </c>
      <c r="B321" s="16"/>
      <c r="F321" s="21"/>
      <c r="K321" s="21"/>
    </row>
    <row r="322">
      <c r="A322" s="28" t="s">
        <v>174</v>
      </c>
      <c r="B322" s="16"/>
      <c r="F322" s="21"/>
      <c r="K322" s="21"/>
    </row>
    <row r="323">
      <c r="A323" s="28" t="s">
        <v>174</v>
      </c>
      <c r="B323" s="16"/>
      <c r="F323" s="21"/>
      <c r="K323" s="21"/>
    </row>
    <row r="324">
      <c r="A324" s="28" t="s">
        <v>174</v>
      </c>
      <c r="B324" s="16"/>
      <c r="F324" s="21"/>
      <c r="K324" s="21"/>
    </row>
    <row r="325">
      <c r="A325" s="28" t="s">
        <v>174</v>
      </c>
      <c r="B325" s="16"/>
      <c r="F325" s="21"/>
      <c r="K325" s="21"/>
    </row>
    <row r="326">
      <c r="A326" s="28" t="s">
        <v>174</v>
      </c>
      <c r="B326" s="16"/>
      <c r="F326" s="21"/>
      <c r="K326" s="21"/>
    </row>
    <row r="327">
      <c r="A327" s="28" t="s">
        <v>174</v>
      </c>
      <c r="B327" s="16"/>
      <c r="F327" s="21"/>
      <c r="K327" s="21"/>
    </row>
    <row r="328">
      <c r="A328" s="28" t="s">
        <v>174</v>
      </c>
      <c r="B328" s="16"/>
      <c r="F328" s="21"/>
      <c r="K328" s="21"/>
    </row>
    <row r="329">
      <c r="A329" s="28" t="s">
        <v>174</v>
      </c>
      <c r="B329" s="16"/>
      <c r="F329" s="21"/>
      <c r="K329" s="21"/>
    </row>
    <row r="330">
      <c r="A330" s="28" t="s">
        <v>174</v>
      </c>
      <c r="B330" s="16"/>
      <c r="F330" s="21"/>
      <c r="K330" s="21"/>
    </row>
    <row r="331">
      <c r="A331" s="28" t="s">
        <v>174</v>
      </c>
      <c r="B331" s="16"/>
      <c r="F331" s="21"/>
      <c r="K331" s="21"/>
    </row>
    <row r="332">
      <c r="A332" s="28" t="s">
        <v>174</v>
      </c>
      <c r="B332" s="16"/>
      <c r="F332" s="21"/>
      <c r="K332" s="21"/>
    </row>
    <row r="333">
      <c r="A333" s="28" t="s">
        <v>174</v>
      </c>
      <c r="B333" s="16"/>
      <c r="F333" s="21"/>
      <c r="K333" s="21"/>
    </row>
    <row r="334">
      <c r="A334" s="28" t="s">
        <v>174</v>
      </c>
      <c r="B334" s="16"/>
      <c r="F334" s="21"/>
      <c r="K334" s="21"/>
    </row>
    <row r="335">
      <c r="A335" s="28" t="s">
        <v>174</v>
      </c>
      <c r="B335" s="16"/>
      <c r="F335" s="21"/>
      <c r="K335" s="21"/>
    </row>
    <row r="336">
      <c r="A336" s="28" t="s">
        <v>174</v>
      </c>
      <c r="B336" s="16"/>
      <c r="F336" s="21"/>
      <c r="K336" s="21"/>
    </row>
    <row r="337">
      <c r="A337" s="28" t="s">
        <v>174</v>
      </c>
      <c r="B337" s="16"/>
      <c r="F337" s="21"/>
      <c r="K337" s="21"/>
    </row>
    <row r="338">
      <c r="A338" s="28" t="s">
        <v>174</v>
      </c>
      <c r="B338" s="16"/>
      <c r="F338" s="21"/>
      <c r="K338" s="21"/>
    </row>
    <row r="339">
      <c r="A339" s="28" t="s">
        <v>174</v>
      </c>
      <c r="B339" s="16"/>
      <c r="F339" s="21"/>
      <c r="K339" s="21"/>
    </row>
    <row r="340">
      <c r="A340" s="28" t="s">
        <v>174</v>
      </c>
      <c r="B340" s="16"/>
      <c r="F340" s="21"/>
      <c r="K340" s="21"/>
    </row>
    <row r="341">
      <c r="A341" s="28" t="s">
        <v>174</v>
      </c>
      <c r="B341" s="16"/>
      <c r="F341" s="21"/>
      <c r="K341" s="21"/>
    </row>
    <row r="342">
      <c r="A342" s="28" t="s">
        <v>174</v>
      </c>
      <c r="B342" s="16"/>
      <c r="F342" s="21"/>
      <c r="K342" s="21"/>
    </row>
    <row r="343">
      <c r="A343" s="28" t="s">
        <v>174</v>
      </c>
      <c r="B343" s="16"/>
      <c r="F343" s="21"/>
      <c r="K343" s="21"/>
    </row>
    <row r="344">
      <c r="A344" s="28" t="s">
        <v>174</v>
      </c>
      <c r="B344" s="16"/>
      <c r="F344" s="21"/>
      <c r="K344" s="21"/>
    </row>
    <row r="345">
      <c r="A345" s="28" t="s">
        <v>174</v>
      </c>
      <c r="B345" s="16"/>
      <c r="F345" s="21"/>
      <c r="K345" s="21"/>
    </row>
    <row r="346">
      <c r="A346" s="28" t="s">
        <v>174</v>
      </c>
      <c r="B346" s="16"/>
      <c r="F346" s="21"/>
      <c r="K346" s="21"/>
    </row>
    <row r="347">
      <c r="A347" s="28" t="s">
        <v>174</v>
      </c>
      <c r="B347" s="16"/>
      <c r="F347" s="21"/>
      <c r="K347" s="21"/>
    </row>
    <row r="348">
      <c r="A348" s="28" t="s">
        <v>174</v>
      </c>
      <c r="B348" s="16"/>
      <c r="F348" s="21"/>
      <c r="K348" s="21"/>
    </row>
    <row r="349">
      <c r="A349" s="28" t="s">
        <v>174</v>
      </c>
      <c r="B349" s="16"/>
      <c r="F349" s="21"/>
      <c r="K349" s="21"/>
    </row>
    <row r="350">
      <c r="A350" s="28" t="s">
        <v>174</v>
      </c>
      <c r="B350" s="16"/>
      <c r="F350" s="21"/>
      <c r="K350" s="21"/>
    </row>
    <row r="351">
      <c r="A351" s="28" t="s">
        <v>174</v>
      </c>
      <c r="B351" s="16"/>
      <c r="F351" s="21"/>
      <c r="K351" s="21"/>
    </row>
    <row r="352">
      <c r="A352" s="28" t="s">
        <v>174</v>
      </c>
      <c r="B352" s="16"/>
      <c r="F352" s="21"/>
      <c r="K352" s="21"/>
    </row>
    <row r="353">
      <c r="A353" s="28" t="s">
        <v>174</v>
      </c>
      <c r="B353" s="16"/>
      <c r="F353" s="21"/>
      <c r="K353" s="21"/>
    </row>
    <row r="354">
      <c r="A354" s="28" t="s">
        <v>174</v>
      </c>
      <c r="B354" s="16"/>
      <c r="F354" s="21"/>
      <c r="K354" s="21"/>
    </row>
    <row r="355">
      <c r="A355" s="28" t="s">
        <v>174</v>
      </c>
      <c r="B355" s="16"/>
      <c r="F355" s="21"/>
      <c r="K355" s="21"/>
    </row>
    <row r="356">
      <c r="A356" s="28" t="s">
        <v>174</v>
      </c>
      <c r="B356" s="16"/>
      <c r="F356" s="21"/>
      <c r="K356" s="21"/>
    </row>
    <row r="357">
      <c r="A357" s="28" t="s">
        <v>174</v>
      </c>
      <c r="B357" s="16"/>
      <c r="F357" s="21"/>
      <c r="K357" s="21"/>
    </row>
    <row r="358">
      <c r="A358" s="28" t="s">
        <v>174</v>
      </c>
      <c r="B358" s="16"/>
      <c r="F358" s="21"/>
      <c r="K358" s="21"/>
    </row>
    <row r="359">
      <c r="A359" s="28" t="s">
        <v>174</v>
      </c>
      <c r="B359" s="16"/>
      <c r="F359" s="21"/>
      <c r="K359" s="21"/>
    </row>
    <row r="360">
      <c r="A360" s="28" t="s">
        <v>174</v>
      </c>
      <c r="B360" s="16"/>
      <c r="F360" s="21"/>
      <c r="K360" s="21"/>
    </row>
    <row r="361">
      <c r="A361" s="28" t="s">
        <v>174</v>
      </c>
      <c r="B361" s="16"/>
      <c r="F361" s="21"/>
      <c r="K361" s="21"/>
    </row>
    <row r="362">
      <c r="A362" s="28" t="s">
        <v>174</v>
      </c>
      <c r="B362" s="16"/>
      <c r="F362" s="21"/>
      <c r="K362" s="21"/>
    </row>
    <row r="363">
      <c r="A363" s="28" t="s">
        <v>174</v>
      </c>
      <c r="B363" s="16"/>
      <c r="F363" s="21"/>
      <c r="K363" s="21"/>
    </row>
    <row r="364">
      <c r="A364" s="28" t="s">
        <v>174</v>
      </c>
      <c r="B364" s="16"/>
      <c r="F364" s="21"/>
      <c r="K364" s="21"/>
    </row>
    <row r="365">
      <c r="A365" s="28" t="s">
        <v>174</v>
      </c>
      <c r="B365" s="16"/>
      <c r="F365" s="21"/>
      <c r="K365" s="21"/>
    </row>
    <row r="366">
      <c r="A366" s="28" t="s">
        <v>174</v>
      </c>
      <c r="B366" s="16"/>
      <c r="F366" s="21"/>
      <c r="K366" s="21"/>
    </row>
    <row r="367">
      <c r="A367" s="28" t="s">
        <v>174</v>
      </c>
      <c r="B367" s="16"/>
      <c r="F367" s="21"/>
      <c r="K367" s="21"/>
    </row>
    <row r="368">
      <c r="A368" s="28" t="s">
        <v>174</v>
      </c>
      <c r="B368" s="16"/>
      <c r="F368" s="21"/>
      <c r="K368" s="21"/>
    </row>
    <row r="369">
      <c r="A369" s="28" t="s">
        <v>174</v>
      </c>
      <c r="B369" s="16"/>
      <c r="F369" s="21"/>
      <c r="K369" s="21"/>
    </row>
    <row r="370">
      <c r="A370" s="28" t="s">
        <v>174</v>
      </c>
      <c r="B370" s="16"/>
      <c r="F370" s="21"/>
      <c r="K370" s="21"/>
    </row>
    <row r="371">
      <c r="A371" s="28" t="s">
        <v>174</v>
      </c>
      <c r="B371" s="16"/>
      <c r="F371" s="21"/>
      <c r="K371" s="21"/>
    </row>
    <row r="372">
      <c r="A372" s="28" t="s">
        <v>174</v>
      </c>
      <c r="B372" s="16"/>
      <c r="F372" s="21"/>
      <c r="K372" s="21"/>
    </row>
    <row r="373">
      <c r="A373" s="28" t="s">
        <v>174</v>
      </c>
      <c r="B373" s="16"/>
      <c r="F373" s="21"/>
      <c r="K373" s="21"/>
    </row>
    <row r="374">
      <c r="A374" s="28" t="s">
        <v>174</v>
      </c>
      <c r="B374" s="16"/>
      <c r="F374" s="21"/>
      <c r="K374" s="21"/>
    </row>
    <row r="375">
      <c r="A375" s="28" t="s">
        <v>174</v>
      </c>
      <c r="B375" s="16"/>
      <c r="F375" s="21"/>
      <c r="K375" s="21"/>
    </row>
    <row r="376">
      <c r="A376" s="28" t="s">
        <v>174</v>
      </c>
      <c r="B376" s="16"/>
      <c r="F376" s="21"/>
      <c r="K376" s="21"/>
    </row>
    <row r="377">
      <c r="A377" s="28" t="s">
        <v>174</v>
      </c>
      <c r="B377" s="16"/>
      <c r="F377" s="21"/>
      <c r="K377" s="21"/>
    </row>
    <row r="378">
      <c r="A378" s="28" t="s">
        <v>174</v>
      </c>
      <c r="B378" s="16"/>
      <c r="F378" s="21"/>
      <c r="K378" s="21"/>
    </row>
    <row r="379">
      <c r="A379" s="28" t="s">
        <v>174</v>
      </c>
      <c r="B379" s="16"/>
      <c r="F379" s="21"/>
      <c r="K379" s="21"/>
    </row>
    <row r="380">
      <c r="A380" s="28" t="s">
        <v>174</v>
      </c>
      <c r="B380" s="16"/>
      <c r="F380" s="21"/>
      <c r="K380" s="21"/>
    </row>
    <row r="381">
      <c r="A381" s="28" t="s">
        <v>174</v>
      </c>
      <c r="B381" s="16"/>
      <c r="F381" s="21"/>
      <c r="K381" s="21"/>
    </row>
    <row r="382">
      <c r="A382" s="28" t="s">
        <v>174</v>
      </c>
      <c r="B382" s="16"/>
      <c r="F382" s="21"/>
      <c r="K382" s="21"/>
    </row>
    <row r="383">
      <c r="A383" s="28" t="s">
        <v>174</v>
      </c>
      <c r="B383" s="16"/>
      <c r="F383" s="21"/>
      <c r="K383" s="21"/>
    </row>
    <row r="384">
      <c r="A384" s="28" t="s">
        <v>174</v>
      </c>
      <c r="B384" s="16"/>
      <c r="F384" s="21"/>
      <c r="K384" s="21"/>
    </row>
    <row r="385">
      <c r="A385" s="28" t="s">
        <v>174</v>
      </c>
      <c r="B385" s="16"/>
      <c r="F385" s="21"/>
      <c r="K385" s="21"/>
    </row>
    <row r="386">
      <c r="A386" s="28" t="s">
        <v>174</v>
      </c>
      <c r="B386" s="16"/>
      <c r="F386" s="21"/>
      <c r="K386" s="21"/>
    </row>
    <row r="387">
      <c r="A387" s="28" t="s">
        <v>174</v>
      </c>
      <c r="B387" s="16"/>
      <c r="F387" s="21"/>
      <c r="K387" s="21"/>
    </row>
    <row r="388">
      <c r="A388" s="28" t="s">
        <v>174</v>
      </c>
      <c r="B388" s="16"/>
      <c r="F388" s="21"/>
      <c r="K388" s="21"/>
    </row>
    <row r="389">
      <c r="A389" s="28" t="s">
        <v>174</v>
      </c>
      <c r="B389" s="16"/>
      <c r="F389" s="21"/>
      <c r="K389" s="21"/>
    </row>
    <row r="390">
      <c r="A390" s="28" t="s">
        <v>174</v>
      </c>
      <c r="B390" s="16"/>
      <c r="F390" s="21"/>
      <c r="K390" s="21"/>
    </row>
    <row r="391">
      <c r="A391" s="28" t="s">
        <v>174</v>
      </c>
      <c r="B391" s="16"/>
      <c r="F391" s="21"/>
      <c r="K391" s="21"/>
    </row>
    <row r="392">
      <c r="A392" s="28" t="s">
        <v>174</v>
      </c>
      <c r="B392" s="16"/>
      <c r="F392" s="21"/>
      <c r="K392" s="21"/>
    </row>
    <row r="393">
      <c r="A393" s="28" t="s">
        <v>174</v>
      </c>
      <c r="B393" s="16"/>
      <c r="F393" s="21"/>
      <c r="K393" s="21"/>
    </row>
    <row r="394">
      <c r="A394" s="28" t="s">
        <v>174</v>
      </c>
      <c r="B394" s="16"/>
      <c r="F394" s="21"/>
      <c r="K394" s="21"/>
    </row>
    <row r="395">
      <c r="A395" s="28" t="s">
        <v>174</v>
      </c>
      <c r="B395" s="16"/>
      <c r="F395" s="21"/>
      <c r="K395" s="21"/>
    </row>
    <row r="396">
      <c r="A396" s="28" t="s">
        <v>174</v>
      </c>
      <c r="B396" s="16"/>
      <c r="F396" s="21"/>
      <c r="K396" s="21"/>
    </row>
    <row r="397">
      <c r="A397" s="28" t="s">
        <v>174</v>
      </c>
      <c r="B397" s="16"/>
      <c r="F397" s="21"/>
      <c r="K397" s="21"/>
    </row>
    <row r="398">
      <c r="A398" s="28" t="s">
        <v>174</v>
      </c>
      <c r="B398" s="16"/>
      <c r="F398" s="21"/>
      <c r="K398" s="21"/>
    </row>
    <row r="399">
      <c r="A399" s="28" t="s">
        <v>174</v>
      </c>
      <c r="B399" s="16"/>
      <c r="F399" s="21"/>
      <c r="K399" s="21"/>
    </row>
    <row r="400">
      <c r="A400" s="28" t="s">
        <v>174</v>
      </c>
      <c r="B400" s="16"/>
      <c r="F400" s="21"/>
      <c r="K400" s="21"/>
    </row>
    <row r="401">
      <c r="A401" s="28" t="s">
        <v>174</v>
      </c>
      <c r="B401" s="16"/>
      <c r="F401" s="21"/>
      <c r="K401" s="21"/>
    </row>
    <row r="402">
      <c r="A402" s="28" t="s">
        <v>174</v>
      </c>
      <c r="B402" s="16"/>
      <c r="F402" s="21"/>
      <c r="K402" s="21"/>
    </row>
    <row r="403">
      <c r="A403" s="28" t="s">
        <v>174</v>
      </c>
      <c r="B403" s="16"/>
      <c r="F403" s="21"/>
      <c r="K403" s="21"/>
    </row>
    <row r="404">
      <c r="A404" s="28" t="s">
        <v>174</v>
      </c>
      <c r="B404" s="16"/>
      <c r="F404" s="21"/>
      <c r="K404" s="21"/>
    </row>
    <row r="405">
      <c r="A405" s="28" t="s">
        <v>174</v>
      </c>
      <c r="B405" s="16"/>
      <c r="F405" s="21"/>
      <c r="K405" s="21"/>
    </row>
    <row r="406">
      <c r="A406" s="28" t="s">
        <v>174</v>
      </c>
      <c r="B406" s="16"/>
      <c r="F406" s="21"/>
      <c r="K406" s="21"/>
    </row>
    <row r="407">
      <c r="A407" s="28" t="s">
        <v>174</v>
      </c>
      <c r="B407" s="16"/>
      <c r="F407" s="21"/>
      <c r="K407" s="21"/>
    </row>
    <row r="408">
      <c r="A408" s="28" t="s">
        <v>174</v>
      </c>
      <c r="B408" s="16"/>
      <c r="F408" s="21"/>
      <c r="K408" s="21"/>
    </row>
    <row r="409">
      <c r="A409" s="28" t="s">
        <v>174</v>
      </c>
      <c r="B409" s="16"/>
      <c r="F409" s="21"/>
      <c r="K409" s="21"/>
    </row>
    <row r="410">
      <c r="A410" s="28" t="s">
        <v>174</v>
      </c>
      <c r="B410" s="16"/>
      <c r="F410" s="21"/>
      <c r="K410" s="21"/>
    </row>
    <row r="411">
      <c r="A411" s="28" t="s">
        <v>174</v>
      </c>
      <c r="B411" s="16"/>
      <c r="F411" s="21"/>
      <c r="K411" s="21"/>
    </row>
    <row r="412">
      <c r="A412" s="28" t="s">
        <v>174</v>
      </c>
      <c r="B412" s="16"/>
      <c r="F412" s="21"/>
      <c r="K412" s="21"/>
    </row>
    <row r="413">
      <c r="A413" s="28" t="s">
        <v>174</v>
      </c>
      <c r="B413" s="16"/>
      <c r="F413" s="21"/>
      <c r="K413" s="21"/>
    </row>
    <row r="414">
      <c r="A414" s="28" t="s">
        <v>174</v>
      </c>
      <c r="B414" s="16"/>
      <c r="F414" s="21"/>
      <c r="K414" s="21"/>
    </row>
    <row r="415">
      <c r="A415" s="28" t="s">
        <v>174</v>
      </c>
      <c r="B415" s="16"/>
      <c r="F415" s="21"/>
      <c r="K415" s="21"/>
    </row>
    <row r="416">
      <c r="A416" s="28" t="s">
        <v>174</v>
      </c>
      <c r="B416" s="16"/>
      <c r="F416" s="21"/>
      <c r="K416" s="21"/>
    </row>
    <row r="417">
      <c r="A417" s="28" t="s">
        <v>174</v>
      </c>
      <c r="B417" s="16"/>
      <c r="F417" s="21"/>
      <c r="K417" s="21"/>
    </row>
    <row r="418">
      <c r="A418" s="28" t="s">
        <v>174</v>
      </c>
      <c r="B418" s="16"/>
      <c r="F418" s="21"/>
      <c r="K418" s="21"/>
    </row>
    <row r="419">
      <c r="A419" s="28" t="s">
        <v>174</v>
      </c>
      <c r="B419" s="16"/>
      <c r="F419" s="21"/>
      <c r="K419" s="21"/>
    </row>
    <row r="420">
      <c r="A420" s="28" t="s">
        <v>174</v>
      </c>
      <c r="B420" s="16"/>
      <c r="F420" s="21"/>
      <c r="K420" s="21"/>
    </row>
    <row r="421">
      <c r="A421" s="28" t="s">
        <v>174</v>
      </c>
      <c r="B421" s="16"/>
      <c r="F421" s="21"/>
      <c r="K421" s="21"/>
    </row>
    <row r="422">
      <c r="A422" s="28" t="s">
        <v>174</v>
      </c>
      <c r="B422" s="16"/>
      <c r="F422" s="21"/>
      <c r="K422" s="21"/>
    </row>
    <row r="423">
      <c r="A423" s="28" t="s">
        <v>174</v>
      </c>
      <c r="B423" s="16"/>
      <c r="F423" s="21"/>
      <c r="K423" s="21"/>
    </row>
    <row r="424">
      <c r="A424" s="28" t="s">
        <v>174</v>
      </c>
      <c r="B424" s="16"/>
      <c r="F424" s="21"/>
      <c r="K424" s="21"/>
    </row>
    <row r="425">
      <c r="A425" s="28" t="s">
        <v>174</v>
      </c>
      <c r="B425" s="16"/>
      <c r="F425" s="21"/>
      <c r="K425" s="21"/>
    </row>
    <row r="426">
      <c r="A426" s="28" t="s">
        <v>174</v>
      </c>
      <c r="B426" s="16"/>
      <c r="F426" s="21"/>
      <c r="K426" s="21"/>
    </row>
    <row r="427">
      <c r="A427" s="28" t="s">
        <v>174</v>
      </c>
      <c r="B427" s="16"/>
      <c r="F427" s="21"/>
      <c r="K427" s="21"/>
    </row>
    <row r="428">
      <c r="A428" s="28" t="s">
        <v>174</v>
      </c>
      <c r="B428" s="16"/>
      <c r="F428" s="21"/>
      <c r="K428" s="21"/>
    </row>
    <row r="429">
      <c r="A429" s="28" t="s">
        <v>174</v>
      </c>
      <c r="B429" s="16"/>
      <c r="F429" s="21"/>
      <c r="K429" s="21"/>
    </row>
    <row r="430">
      <c r="A430" s="28" t="s">
        <v>174</v>
      </c>
      <c r="B430" s="16"/>
      <c r="F430" s="21"/>
      <c r="K430" s="21"/>
    </row>
    <row r="431">
      <c r="A431" s="28" t="s">
        <v>174</v>
      </c>
      <c r="B431" s="16"/>
      <c r="F431" s="21"/>
      <c r="K431" s="21"/>
    </row>
    <row r="432">
      <c r="A432" s="28" t="s">
        <v>174</v>
      </c>
      <c r="B432" s="16"/>
      <c r="F432" s="21"/>
      <c r="K432" s="21"/>
    </row>
    <row r="433">
      <c r="A433" s="28" t="s">
        <v>174</v>
      </c>
      <c r="B433" s="16"/>
      <c r="F433" s="21"/>
      <c r="K433" s="21"/>
    </row>
    <row r="434">
      <c r="A434" s="28" t="s">
        <v>174</v>
      </c>
      <c r="B434" s="16"/>
      <c r="F434" s="21"/>
      <c r="K434" s="21"/>
    </row>
    <row r="435">
      <c r="A435" s="28" t="s">
        <v>174</v>
      </c>
      <c r="B435" s="16"/>
      <c r="F435" s="21"/>
      <c r="K435" s="21"/>
    </row>
    <row r="436">
      <c r="A436" s="28" t="s">
        <v>174</v>
      </c>
      <c r="B436" s="16"/>
      <c r="F436" s="21"/>
      <c r="K436" s="21"/>
    </row>
    <row r="437">
      <c r="A437" s="28" t="s">
        <v>174</v>
      </c>
      <c r="B437" s="16"/>
      <c r="F437" s="21"/>
      <c r="K437" s="21"/>
    </row>
    <row r="438">
      <c r="A438" s="28" t="s">
        <v>174</v>
      </c>
      <c r="B438" s="16"/>
      <c r="F438" s="21"/>
      <c r="K438" s="21"/>
    </row>
    <row r="439">
      <c r="A439" s="28" t="s">
        <v>174</v>
      </c>
      <c r="B439" s="16"/>
      <c r="F439" s="21"/>
      <c r="K439" s="21"/>
    </row>
    <row r="440">
      <c r="A440" s="28" t="s">
        <v>174</v>
      </c>
      <c r="B440" s="16"/>
      <c r="F440" s="21"/>
      <c r="K440" s="21"/>
    </row>
    <row r="441">
      <c r="A441" s="28" t="s">
        <v>174</v>
      </c>
      <c r="B441" s="16"/>
      <c r="F441" s="21"/>
      <c r="K441" s="21"/>
    </row>
    <row r="442">
      <c r="A442" s="28" t="s">
        <v>174</v>
      </c>
      <c r="B442" s="16"/>
      <c r="F442" s="21"/>
      <c r="K442" s="21"/>
    </row>
    <row r="443">
      <c r="A443" s="28" t="s">
        <v>174</v>
      </c>
      <c r="B443" s="16"/>
      <c r="F443" s="21"/>
      <c r="K443" s="21"/>
    </row>
    <row r="444">
      <c r="A444" s="28" t="s">
        <v>174</v>
      </c>
      <c r="B444" s="16"/>
      <c r="F444" s="21"/>
      <c r="K444" s="21"/>
    </row>
    <row r="445">
      <c r="A445" s="28" t="s">
        <v>174</v>
      </c>
      <c r="B445" s="16"/>
      <c r="F445" s="21"/>
      <c r="K445" s="21"/>
    </row>
    <row r="446">
      <c r="A446" s="28" t="s">
        <v>174</v>
      </c>
      <c r="B446" s="16"/>
      <c r="F446" s="21"/>
      <c r="K446" s="21"/>
    </row>
    <row r="447">
      <c r="A447" s="28" t="s">
        <v>174</v>
      </c>
      <c r="B447" s="16"/>
      <c r="F447" s="21"/>
      <c r="K447" s="21"/>
    </row>
    <row r="448">
      <c r="A448" s="28" t="s">
        <v>174</v>
      </c>
      <c r="B448" s="16"/>
      <c r="F448" s="21"/>
      <c r="K448" s="21"/>
    </row>
    <row r="449">
      <c r="A449" s="28" t="s">
        <v>174</v>
      </c>
      <c r="B449" s="16"/>
      <c r="F449" s="21"/>
      <c r="K449" s="21"/>
    </row>
    <row r="450">
      <c r="A450" s="28" t="s">
        <v>174</v>
      </c>
      <c r="B450" s="16"/>
      <c r="F450" s="21"/>
      <c r="K450" s="21"/>
    </row>
    <row r="451">
      <c r="A451" s="28" t="s">
        <v>174</v>
      </c>
      <c r="B451" s="16"/>
      <c r="F451" s="21"/>
      <c r="K451" s="21"/>
    </row>
    <row r="452">
      <c r="A452" s="28" t="s">
        <v>174</v>
      </c>
      <c r="B452" s="16"/>
      <c r="F452" s="21"/>
      <c r="K452" s="21"/>
    </row>
    <row r="453">
      <c r="A453" s="28" t="s">
        <v>174</v>
      </c>
      <c r="B453" s="16"/>
      <c r="F453" s="21"/>
      <c r="K453" s="21"/>
    </row>
    <row r="454">
      <c r="A454" s="28" t="s">
        <v>174</v>
      </c>
      <c r="B454" s="16"/>
      <c r="F454" s="21"/>
      <c r="K454" s="21"/>
    </row>
    <row r="455">
      <c r="A455" s="28" t="s">
        <v>174</v>
      </c>
      <c r="B455" s="16"/>
      <c r="F455" s="21"/>
      <c r="K455" s="21"/>
    </row>
    <row r="456">
      <c r="A456" s="28" t="s">
        <v>174</v>
      </c>
      <c r="B456" s="16"/>
      <c r="F456" s="21"/>
      <c r="K456" s="21"/>
    </row>
    <row r="457">
      <c r="A457" s="28" t="s">
        <v>174</v>
      </c>
      <c r="B457" s="16"/>
      <c r="F457" s="21"/>
      <c r="K457" s="21"/>
    </row>
    <row r="458">
      <c r="A458" s="28" t="s">
        <v>174</v>
      </c>
      <c r="B458" s="16"/>
      <c r="F458" s="21"/>
      <c r="K458" s="21"/>
    </row>
    <row r="459">
      <c r="A459" s="28" t="s">
        <v>174</v>
      </c>
      <c r="B459" s="16"/>
      <c r="F459" s="21"/>
      <c r="K459" s="21"/>
    </row>
    <row r="460">
      <c r="A460" s="28" t="s">
        <v>174</v>
      </c>
      <c r="B460" s="16"/>
      <c r="F460" s="21"/>
      <c r="K460" s="21"/>
    </row>
    <row r="461">
      <c r="A461" s="28" t="s">
        <v>174</v>
      </c>
      <c r="B461" s="16"/>
      <c r="F461" s="21"/>
      <c r="K461" s="21"/>
    </row>
    <row r="462">
      <c r="A462" s="28" t="s">
        <v>174</v>
      </c>
      <c r="B462" s="16"/>
      <c r="F462" s="21"/>
      <c r="K462" s="21"/>
    </row>
    <row r="463">
      <c r="A463" s="28" t="s">
        <v>174</v>
      </c>
      <c r="B463" s="16"/>
      <c r="F463" s="21"/>
      <c r="K463" s="21"/>
    </row>
    <row r="464">
      <c r="A464" s="28" t="s">
        <v>174</v>
      </c>
      <c r="B464" s="16"/>
      <c r="F464" s="21"/>
      <c r="K464" s="21"/>
    </row>
    <row r="465">
      <c r="A465" s="28" t="s">
        <v>174</v>
      </c>
      <c r="B465" s="16"/>
      <c r="F465" s="21"/>
      <c r="K465" s="21"/>
    </row>
    <row r="466">
      <c r="A466" s="28" t="s">
        <v>174</v>
      </c>
      <c r="B466" s="16"/>
      <c r="F466" s="21"/>
      <c r="K466" s="21"/>
    </row>
    <row r="467">
      <c r="A467" s="28" t="s">
        <v>174</v>
      </c>
      <c r="B467" s="16"/>
      <c r="F467" s="21"/>
      <c r="K467" s="21"/>
    </row>
    <row r="468">
      <c r="A468" s="28" t="s">
        <v>174</v>
      </c>
      <c r="B468" s="16"/>
      <c r="F468" s="21"/>
      <c r="K468" s="21"/>
    </row>
    <row r="469">
      <c r="A469" s="28" t="s">
        <v>174</v>
      </c>
      <c r="B469" s="16"/>
      <c r="F469" s="21"/>
      <c r="K469" s="21"/>
    </row>
    <row r="470">
      <c r="A470" s="28" t="s">
        <v>174</v>
      </c>
      <c r="B470" s="16"/>
      <c r="F470" s="21"/>
      <c r="K470" s="21"/>
    </row>
    <row r="471">
      <c r="A471" s="28" t="s">
        <v>174</v>
      </c>
      <c r="B471" s="16"/>
      <c r="F471" s="21"/>
      <c r="K471" s="21"/>
    </row>
    <row r="472">
      <c r="A472" s="28" t="s">
        <v>174</v>
      </c>
      <c r="B472" s="16"/>
      <c r="F472" s="21"/>
      <c r="K472" s="21"/>
    </row>
    <row r="473">
      <c r="A473" s="28" t="s">
        <v>174</v>
      </c>
      <c r="B473" s="16"/>
      <c r="F473" s="21"/>
      <c r="K473" s="21"/>
    </row>
    <row r="474">
      <c r="A474" s="28" t="s">
        <v>174</v>
      </c>
      <c r="B474" s="16"/>
      <c r="F474" s="21"/>
      <c r="K474" s="21"/>
    </row>
    <row r="475">
      <c r="A475" s="28" t="s">
        <v>174</v>
      </c>
      <c r="B475" s="16"/>
      <c r="F475" s="21"/>
      <c r="K475" s="21"/>
    </row>
    <row r="476">
      <c r="A476" s="28" t="s">
        <v>174</v>
      </c>
      <c r="B476" s="16"/>
      <c r="F476" s="21"/>
      <c r="K476" s="21"/>
    </row>
    <row r="477">
      <c r="A477" s="28" t="s">
        <v>174</v>
      </c>
      <c r="B477" s="16"/>
      <c r="F477" s="21"/>
      <c r="K477" s="21"/>
    </row>
    <row r="478">
      <c r="A478" s="28" t="s">
        <v>174</v>
      </c>
      <c r="B478" s="16"/>
      <c r="F478" s="21"/>
      <c r="K478" s="21"/>
    </row>
    <row r="479">
      <c r="A479" s="28" t="s">
        <v>174</v>
      </c>
      <c r="B479" s="16"/>
      <c r="F479" s="21"/>
      <c r="K479" s="21"/>
    </row>
    <row r="480">
      <c r="A480" s="28" t="s">
        <v>174</v>
      </c>
      <c r="B480" s="16"/>
      <c r="F480" s="21"/>
      <c r="K480" s="21"/>
    </row>
    <row r="481">
      <c r="A481" s="28" t="s">
        <v>174</v>
      </c>
      <c r="B481" s="16"/>
      <c r="F481" s="21"/>
      <c r="K481" s="21"/>
    </row>
    <row r="482">
      <c r="A482" s="28" t="s">
        <v>174</v>
      </c>
      <c r="B482" s="16"/>
      <c r="F482" s="21"/>
      <c r="K482" s="21"/>
    </row>
    <row r="483">
      <c r="A483" s="28" t="s">
        <v>174</v>
      </c>
      <c r="B483" s="16"/>
      <c r="F483" s="21"/>
      <c r="K483" s="21"/>
    </row>
    <row r="484">
      <c r="A484" s="28" t="s">
        <v>174</v>
      </c>
      <c r="B484" s="16"/>
      <c r="F484" s="21"/>
      <c r="K484" s="21"/>
    </row>
    <row r="485">
      <c r="A485" s="28" t="s">
        <v>174</v>
      </c>
      <c r="B485" s="16"/>
      <c r="F485" s="21"/>
      <c r="K485" s="21"/>
    </row>
    <row r="486">
      <c r="A486" s="28" t="s">
        <v>174</v>
      </c>
      <c r="B486" s="16"/>
      <c r="F486" s="21"/>
      <c r="K486" s="21"/>
    </row>
    <row r="487">
      <c r="A487" s="28" t="s">
        <v>174</v>
      </c>
      <c r="B487" s="16"/>
      <c r="F487" s="21"/>
      <c r="K487" s="21"/>
    </row>
    <row r="488">
      <c r="A488" s="28" t="s">
        <v>174</v>
      </c>
      <c r="B488" s="16"/>
      <c r="F488" s="21"/>
      <c r="K488" s="21"/>
    </row>
    <row r="489">
      <c r="A489" s="28" t="s">
        <v>174</v>
      </c>
      <c r="B489" s="16"/>
      <c r="F489" s="21"/>
      <c r="K489" s="21"/>
    </row>
    <row r="490">
      <c r="A490" s="28" t="s">
        <v>174</v>
      </c>
      <c r="B490" s="16"/>
      <c r="F490" s="21"/>
      <c r="K490" s="21"/>
    </row>
    <row r="491">
      <c r="A491" s="28" t="s">
        <v>174</v>
      </c>
      <c r="B491" s="16"/>
      <c r="F491" s="21"/>
      <c r="K491" s="21"/>
    </row>
    <row r="492">
      <c r="A492" s="28" t="s">
        <v>174</v>
      </c>
      <c r="B492" s="16"/>
      <c r="F492" s="21"/>
      <c r="K492" s="21"/>
    </row>
    <row r="493">
      <c r="A493" s="28" t="s">
        <v>174</v>
      </c>
      <c r="B493" s="16"/>
      <c r="F493" s="21"/>
      <c r="K493" s="21"/>
    </row>
    <row r="494">
      <c r="A494" s="28" t="s">
        <v>174</v>
      </c>
      <c r="B494" s="16"/>
      <c r="F494" s="21"/>
      <c r="K494" s="21"/>
    </row>
    <row r="495">
      <c r="A495" s="28" t="s">
        <v>174</v>
      </c>
      <c r="B495" s="16"/>
      <c r="F495" s="21"/>
      <c r="K495" s="21"/>
    </row>
    <row r="496">
      <c r="A496" s="28" t="s">
        <v>174</v>
      </c>
      <c r="B496" s="16"/>
      <c r="F496" s="21"/>
      <c r="K496" s="21"/>
    </row>
    <row r="497">
      <c r="A497" s="28" t="s">
        <v>174</v>
      </c>
      <c r="B497" s="16"/>
      <c r="F497" s="21"/>
      <c r="K497" s="21"/>
    </row>
    <row r="498">
      <c r="A498" s="28" t="s">
        <v>174</v>
      </c>
      <c r="B498" s="16"/>
      <c r="F498" s="21"/>
      <c r="K498" s="21"/>
    </row>
    <row r="499">
      <c r="A499" s="28" t="s">
        <v>174</v>
      </c>
      <c r="B499" s="16"/>
      <c r="F499" s="21"/>
      <c r="K499" s="21"/>
    </row>
    <row r="500">
      <c r="A500" s="28" t="s">
        <v>174</v>
      </c>
      <c r="B500" s="16"/>
      <c r="F500" s="21"/>
      <c r="K500" s="21"/>
    </row>
    <row r="501">
      <c r="A501" s="28" t="s">
        <v>174</v>
      </c>
      <c r="B501" s="16"/>
      <c r="F501" s="21"/>
      <c r="K501" s="21"/>
    </row>
    <row r="502">
      <c r="A502" s="28" t="s">
        <v>174</v>
      </c>
      <c r="B502" s="16"/>
      <c r="F502" s="21"/>
      <c r="K502" s="21"/>
    </row>
    <row r="503">
      <c r="A503" s="28" t="s">
        <v>174</v>
      </c>
      <c r="B503" s="16"/>
      <c r="F503" s="21"/>
      <c r="K503" s="21"/>
    </row>
    <row r="504">
      <c r="A504" s="28" t="s">
        <v>174</v>
      </c>
      <c r="B504" s="16"/>
      <c r="F504" s="21"/>
      <c r="K504" s="21"/>
    </row>
    <row r="505">
      <c r="A505" s="28" t="s">
        <v>174</v>
      </c>
      <c r="B505" s="16"/>
      <c r="F505" s="21"/>
      <c r="K505" s="21"/>
    </row>
    <row r="506">
      <c r="A506" s="28" t="s">
        <v>174</v>
      </c>
      <c r="B506" s="16"/>
      <c r="F506" s="21"/>
      <c r="K506" s="21"/>
    </row>
    <row r="507">
      <c r="A507" s="28" t="s">
        <v>174</v>
      </c>
      <c r="B507" s="16"/>
      <c r="F507" s="21"/>
      <c r="K507" s="21"/>
    </row>
    <row r="508">
      <c r="A508" s="28" t="s">
        <v>174</v>
      </c>
      <c r="B508" s="16"/>
      <c r="F508" s="21"/>
      <c r="K508" s="21"/>
    </row>
    <row r="509">
      <c r="A509" s="28" t="s">
        <v>174</v>
      </c>
      <c r="B509" s="16"/>
      <c r="F509" s="21"/>
      <c r="K509" s="21"/>
    </row>
    <row r="510">
      <c r="A510" s="28" t="s">
        <v>174</v>
      </c>
      <c r="B510" s="16"/>
      <c r="F510" s="21"/>
      <c r="K510" s="21"/>
    </row>
    <row r="511">
      <c r="A511" s="28" t="s">
        <v>174</v>
      </c>
      <c r="B511" s="16"/>
      <c r="F511" s="21"/>
      <c r="K511" s="21"/>
    </row>
    <row r="512">
      <c r="A512" s="28" t="s">
        <v>174</v>
      </c>
      <c r="B512" s="16"/>
      <c r="F512" s="21"/>
      <c r="K512" s="21"/>
    </row>
    <row r="513">
      <c r="A513" s="28" t="s">
        <v>174</v>
      </c>
      <c r="B513" s="16"/>
      <c r="F513" s="21"/>
      <c r="K513" s="21"/>
    </row>
    <row r="514">
      <c r="A514" s="28" t="s">
        <v>174</v>
      </c>
      <c r="B514" s="16"/>
      <c r="F514" s="21"/>
      <c r="K514" s="21"/>
    </row>
    <row r="515">
      <c r="A515" s="28" t="s">
        <v>174</v>
      </c>
      <c r="B515" s="16"/>
      <c r="F515" s="21"/>
      <c r="K515" s="21"/>
    </row>
    <row r="516">
      <c r="A516" s="28" t="s">
        <v>174</v>
      </c>
      <c r="B516" s="16"/>
      <c r="F516" s="21"/>
      <c r="K516" s="21"/>
    </row>
    <row r="517">
      <c r="A517" s="28" t="s">
        <v>174</v>
      </c>
      <c r="B517" s="16"/>
      <c r="F517" s="21"/>
      <c r="K517" s="21"/>
    </row>
    <row r="518">
      <c r="A518" s="28" t="s">
        <v>174</v>
      </c>
      <c r="B518" s="16"/>
      <c r="F518" s="21"/>
      <c r="K518" s="21"/>
    </row>
    <row r="519">
      <c r="A519" s="28" t="s">
        <v>174</v>
      </c>
      <c r="B519" s="16"/>
      <c r="F519" s="21"/>
      <c r="K519" s="21"/>
    </row>
    <row r="520">
      <c r="A520" s="28" t="s">
        <v>174</v>
      </c>
      <c r="B520" s="16"/>
      <c r="F520" s="21"/>
      <c r="K520" s="21"/>
    </row>
    <row r="521">
      <c r="A521" s="28" t="s">
        <v>174</v>
      </c>
      <c r="B521" s="16"/>
      <c r="F521" s="21"/>
      <c r="K521" s="21"/>
    </row>
    <row r="522">
      <c r="A522" s="28" t="s">
        <v>174</v>
      </c>
      <c r="B522" s="16"/>
      <c r="F522" s="21"/>
      <c r="K522" s="21"/>
    </row>
    <row r="523">
      <c r="A523" s="28" t="s">
        <v>174</v>
      </c>
      <c r="B523" s="16"/>
      <c r="F523" s="21"/>
      <c r="K523" s="21"/>
    </row>
    <row r="524">
      <c r="A524" s="28" t="s">
        <v>174</v>
      </c>
      <c r="B524" s="16"/>
      <c r="F524" s="21"/>
      <c r="K524" s="21"/>
    </row>
    <row r="525">
      <c r="A525" s="28" t="s">
        <v>174</v>
      </c>
      <c r="B525" s="16"/>
      <c r="F525" s="21"/>
      <c r="K525" s="21"/>
    </row>
    <row r="526">
      <c r="A526" s="28" t="s">
        <v>174</v>
      </c>
      <c r="B526" s="16"/>
      <c r="F526" s="21"/>
      <c r="K526" s="21"/>
    </row>
    <row r="527">
      <c r="A527" s="28" t="s">
        <v>174</v>
      </c>
      <c r="B527" s="16"/>
      <c r="F527" s="21"/>
      <c r="K527" s="21"/>
    </row>
    <row r="528">
      <c r="A528" s="28" t="s">
        <v>174</v>
      </c>
      <c r="B528" s="16"/>
      <c r="F528" s="21"/>
      <c r="K528" s="21"/>
    </row>
    <row r="529">
      <c r="A529" s="28" t="s">
        <v>174</v>
      </c>
      <c r="B529" s="16"/>
      <c r="F529" s="21"/>
      <c r="K529" s="21"/>
    </row>
    <row r="530">
      <c r="A530" s="28" t="s">
        <v>174</v>
      </c>
      <c r="B530" s="16"/>
      <c r="F530" s="21"/>
      <c r="K530" s="21"/>
    </row>
    <row r="531">
      <c r="A531" s="28" t="s">
        <v>174</v>
      </c>
      <c r="B531" s="16"/>
      <c r="F531" s="21"/>
      <c r="K531" s="21"/>
    </row>
    <row r="532">
      <c r="A532" s="28" t="s">
        <v>174</v>
      </c>
      <c r="B532" s="16"/>
      <c r="F532" s="21"/>
      <c r="K532" s="21"/>
    </row>
    <row r="533">
      <c r="A533" s="28" t="s">
        <v>174</v>
      </c>
      <c r="B533" s="16"/>
      <c r="F533" s="21"/>
      <c r="K533" s="21"/>
    </row>
    <row r="534">
      <c r="A534" s="28" t="s">
        <v>174</v>
      </c>
      <c r="B534" s="16"/>
      <c r="F534" s="21"/>
      <c r="K534" s="21"/>
    </row>
    <row r="535">
      <c r="A535" s="28" t="s">
        <v>174</v>
      </c>
      <c r="B535" s="16"/>
      <c r="F535" s="21"/>
      <c r="K535" s="21"/>
    </row>
    <row r="536">
      <c r="A536" s="28" t="s">
        <v>174</v>
      </c>
      <c r="B536" s="16"/>
      <c r="F536" s="21"/>
      <c r="K536" s="21"/>
    </row>
    <row r="537">
      <c r="A537" s="28" t="s">
        <v>174</v>
      </c>
      <c r="B537" s="16"/>
      <c r="F537" s="21"/>
      <c r="K537" s="21"/>
    </row>
    <row r="538">
      <c r="A538" s="28" t="s">
        <v>174</v>
      </c>
      <c r="B538" s="16"/>
      <c r="F538" s="21"/>
      <c r="K538" s="21"/>
    </row>
    <row r="539">
      <c r="A539" s="28" t="s">
        <v>174</v>
      </c>
      <c r="B539" s="16"/>
      <c r="F539" s="21"/>
      <c r="K539" s="21"/>
    </row>
    <row r="540">
      <c r="A540" s="28" t="s">
        <v>174</v>
      </c>
      <c r="B540" s="16"/>
      <c r="F540" s="21"/>
      <c r="K540" s="21"/>
    </row>
    <row r="541">
      <c r="A541" s="28" t="s">
        <v>174</v>
      </c>
      <c r="B541" s="16"/>
      <c r="F541" s="21"/>
      <c r="K541" s="21"/>
    </row>
    <row r="542">
      <c r="A542" s="28" t="s">
        <v>174</v>
      </c>
      <c r="B542" s="16"/>
      <c r="F542" s="21"/>
      <c r="K542" s="21"/>
    </row>
    <row r="543">
      <c r="A543" s="28" t="s">
        <v>174</v>
      </c>
      <c r="B543" s="16"/>
      <c r="F543" s="21"/>
      <c r="K543" s="21"/>
    </row>
    <row r="544">
      <c r="A544" s="28" t="s">
        <v>174</v>
      </c>
      <c r="B544" s="16"/>
      <c r="F544" s="21"/>
      <c r="K544" s="21"/>
    </row>
    <row r="545">
      <c r="A545" s="28" t="s">
        <v>174</v>
      </c>
      <c r="B545" s="16"/>
      <c r="F545" s="21"/>
      <c r="K545" s="21"/>
    </row>
    <row r="546">
      <c r="A546" s="28" t="s">
        <v>174</v>
      </c>
      <c r="B546" s="16"/>
      <c r="F546" s="21"/>
      <c r="K546" s="21"/>
    </row>
    <row r="547">
      <c r="A547" s="28" t="s">
        <v>174</v>
      </c>
      <c r="B547" s="16"/>
      <c r="F547" s="21"/>
      <c r="K547" s="21"/>
    </row>
    <row r="548">
      <c r="A548" s="28" t="s">
        <v>174</v>
      </c>
      <c r="B548" s="16"/>
      <c r="F548" s="21"/>
      <c r="K548" s="21"/>
    </row>
    <row r="549">
      <c r="A549" s="28" t="s">
        <v>174</v>
      </c>
      <c r="B549" s="16"/>
      <c r="F549" s="21"/>
      <c r="K549" s="21"/>
    </row>
    <row r="550">
      <c r="A550" s="28" t="s">
        <v>174</v>
      </c>
      <c r="B550" s="16"/>
      <c r="F550" s="21"/>
      <c r="K550" s="21"/>
    </row>
    <row r="551">
      <c r="A551" s="28" t="s">
        <v>174</v>
      </c>
      <c r="B551" s="16"/>
      <c r="F551" s="21"/>
      <c r="K551" s="21"/>
    </row>
    <row r="552">
      <c r="A552" s="28" t="s">
        <v>174</v>
      </c>
      <c r="B552" s="16"/>
      <c r="F552" s="21"/>
      <c r="K552" s="21"/>
    </row>
    <row r="553">
      <c r="A553" s="28" t="s">
        <v>174</v>
      </c>
      <c r="B553" s="16"/>
      <c r="F553" s="21"/>
      <c r="K553" s="21"/>
    </row>
    <row r="554">
      <c r="A554" s="28" t="s">
        <v>174</v>
      </c>
      <c r="B554" s="16"/>
      <c r="F554" s="21"/>
      <c r="K554" s="21"/>
    </row>
    <row r="555">
      <c r="A555" s="28" t="s">
        <v>174</v>
      </c>
      <c r="B555" s="16"/>
      <c r="F555" s="21"/>
      <c r="K555" s="21"/>
    </row>
    <row r="556">
      <c r="A556" s="28" t="s">
        <v>174</v>
      </c>
      <c r="B556" s="16"/>
      <c r="F556" s="21"/>
      <c r="K556" s="21"/>
    </row>
    <row r="557">
      <c r="A557" s="28" t="s">
        <v>174</v>
      </c>
      <c r="B557" s="16"/>
      <c r="F557" s="21"/>
      <c r="K557" s="21"/>
    </row>
    <row r="558">
      <c r="A558" s="28" t="s">
        <v>174</v>
      </c>
      <c r="B558" s="16"/>
      <c r="F558" s="21"/>
      <c r="K558" s="21"/>
    </row>
    <row r="559">
      <c r="A559" s="28" t="s">
        <v>174</v>
      </c>
      <c r="B559" s="16"/>
      <c r="F559" s="21"/>
      <c r="K559" s="21"/>
    </row>
    <row r="560">
      <c r="A560" s="28" t="s">
        <v>174</v>
      </c>
      <c r="B560" s="16"/>
      <c r="F560" s="21"/>
      <c r="K560" s="21"/>
    </row>
    <row r="561">
      <c r="A561" s="28" t="s">
        <v>174</v>
      </c>
      <c r="B561" s="16"/>
      <c r="F561" s="21"/>
      <c r="K561" s="21"/>
    </row>
    <row r="562">
      <c r="A562" s="28" t="s">
        <v>174</v>
      </c>
      <c r="B562" s="16"/>
      <c r="F562" s="21"/>
      <c r="K562" s="21"/>
    </row>
    <row r="563">
      <c r="A563" s="28" t="s">
        <v>174</v>
      </c>
      <c r="B563" s="16"/>
      <c r="F563" s="21"/>
      <c r="K563" s="21"/>
    </row>
    <row r="564">
      <c r="A564" s="28" t="s">
        <v>174</v>
      </c>
      <c r="B564" s="16"/>
      <c r="F564" s="21"/>
      <c r="K564" s="21"/>
    </row>
    <row r="565">
      <c r="A565" s="28" t="s">
        <v>174</v>
      </c>
      <c r="B565" s="16"/>
      <c r="F565" s="21"/>
      <c r="K565" s="21"/>
    </row>
    <row r="566">
      <c r="A566" s="28" t="s">
        <v>174</v>
      </c>
      <c r="B566" s="16"/>
      <c r="F566" s="21"/>
      <c r="K566" s="21"/>
    </row>
    <row r="567">
      <c r="A567" s="28" t="s">
        <v>174</v>
      </c>
      <c r="B567" s="16"/>
      <c r="F567" s="21"/>
      <c r="K567" s="21"/>
    </row>
    <row r="568">
      <c r="A568" s="28" t="s">
        <v>174</v>
      </c>
      <c r="B568" s="16"/>
      <c r="F568" s="21"/>
      <c r="K568" s="21"/>
    </row>
    <row r="569">
      <c r="A569" s="28" t="s">
        <v>174</v>
      </c>
      <c r="B569" s="16"/>
      <c r="F569" s="21"/>
      <c r="K569" s="21"/>
    </row>
    <row r="570">
      <c r="A570" s="28" t="s">
        <v>174</v>
      </c>
      <c r="B570" s="16"/>
      <c r="F570" s="21"/>
      <c r="K570" s="21"/>
    </row>
    <row r="571">
      <c r="A571" s="28" t="s">
        <v>174</v>
      </c>
      <c r="B571" s="16"/>
      <c r="F571" s="21"/>
      <c r="K571" s="21"/>
    </row>
    <row r="572">
      <c r="A572" s="28" t="s">
        <v>174</v>
      </c>
      <c r="B572" s="16"/>
      <c r="F572" s="21"/>
      <c r="K572" s="21"/>
    </row>
    <row r="573">
      <c r="A573" s="28" t="s">
        <v>174</v>
      </c>
      <c r="B573" s="16"/>
      <c r="F573" s="21"/>
      <c r="K573" s="21"/>
    </row>
    <row r="574">
      <c r="A574" s="28" t="s">
        <v>174</v>
      </c>
      <c r="B574" s="16"/>
      <c r="F574" s="21"/>
      <c r="K574" s="21"/>
    </row>
    <row r="575">
      <c r="A575" s="28" t="s">
        <v>174</v>
      </c>
      <c r="B575" s="16"/>
      <c r="F575" s="21"/>
      <c r="K575" s="21"/>
    </row>
    <row r="576">
      <c r="A576" s="28" t="s">
        <v>174</v>
      </c>
      <c r="B576" s="16"/>
      <c r="F576" s="21"/>
      <c r="K576" s="21"/>
    </row>
    <row r="577">
      <c r="A577" s="28" t="s">
        <v>174</v>
      </c>
      <c r="B577" s="16"/>
      <c r="F577" s="21"/>
      <c r="K577" s="21"/>
    </row>
    <row r="578">
      <c r="A578" s="28" t="s">
        <v>174</v>
      </c>
      <c r="B578" s="16"/>
      <c r="F578" s="21"/>
      <c r="K578" s="21"/>
    </row>
    <row r="579">
      <c r="A579" s="28" t="s">
        <v>174</v>
      </c>
      <c r="B579" s="16"/>
      <c r="F579" s="21"/>
      <c r="K579" s="21"/>
    </row>
    <row r="580">
      <c r="A580" s="28" t="s">
        <v>174</v>
      </c>
      <c r="B580" s="16"/>
      <c r="F580" s="21"/>
      <c r="K580" s="21"/>
    </row>
    <row r="581">
      <c r="A581" s="28" t="s">
        <v>174</v>
      </c>
      <c r="B581" s="16"/>
      <c r="F581" s="21"/>
      <c r="K581" s="21"/>
    </row>
    <row r="582">
      <c r="A582" s="28" t="s">
        <v>174</v>
      </c>
      <c r="B582" s="16"/>
      <c r="F582" s="21"/>
      <c r="K582" s="21"/>
    </row>
    <row r="583">
      <c r="A583" s="28" t="s">
        <v>174</v>
      </c>
      <c r="B583" s="16"/>
      <c r="F583" s="21"/>
      <c r="K583" s="21"/>
    </row>
    <row r="584">
      <c r="A584" s="28" t="s">
        <v>174</v>
      </c>
      <c r="B584" s="16"/>
      <c r="F584" s="21"/>
      <c r="K584" s="21"/>
    </row>
    <row r="585">
      <c r="A585" s="28" t="s">
        <v>174</v>
      </c>
      <c r="B585" s="16"/>
      <c r="F585" s="21"/>
      <c r="K585" s="21"/>
    </row>
    <row r="586">
      <c r="A586" s="28" t="s">
        <v>174</v>
      </c>
      <c r="B586" s="16"/>
      <c r="F586" s="21"/>
      <c r="K586" s="21"/>
    </row>
    <row r="587">
      <c r="A587" s="28" t="s">
        <v>174</v>
      </c>
      <c r="B587" s="16"/>
      <c r="F587" s="21"/>
      <c r="K587" s="21"/>
    </row>
    <row r="588">
      <c r="A588" s="28" t="s">
        <v>174</v>
      </c>
      <c r="B588" s="16"/>
      <c r="F588" s="21"/>
      <c r="K588" s="21"/>
    </row>
    <row r="589">
      <c r="A589" s="28" t="s">
        <v>174</v>
      </c>
      <c r="B589" s="16"/>
      <c r="F589" s="21"/>
      <c r="K589" s="21"/>
    </row>
    <row r="590">
      <c r="A590" s="28" t="s">
        <v>174</v>
      </c>
      <c r="B590" s="16"/>
      <c r="F590" s="21"/>
      <c r="K590" s="21"/>
    </row>
    <row r="591">
      <c r="A591" s="28" t="s">
        <v>174</v>
      </c>
      <c r="B591" s="16"/>
      <c r="F591" s="21"/>
      <c r="K591" s="21"/>
    </row>
    <row r="592">
      <c r="A592" s="28" t="s">
        <v>174</v>
      </c>
      <c r="B592" s="16"/>
      <c r="F592" s="21"/>
      <c r="K592" s="21"/>
    </row>
    <row r="593">
      <c r="A593" s="28" t="s">
        <v>174</v>
      </c>
      <c r="B593" s="16"/>
      <c r="F593" s="21"/>
      <c r="K593" s="21"/>
    </row>
    <row r="594">
      <c r="A594" s="28" t="s">
        <v>174</v>
      </c>
      <c r="B594" s="16"/>
      <c r="F594" s="21"/>
      <c r="K594" s="21"/>
    </row>
    <row r="595">
      <c r="A595" s="28" t="s">
        <v>174</v>
      </c>
      <c r="B595" s="16"/>
      <c r="F595" s="21"/>
      <c r="K595" s="21"/>
    </row>
    <row r="596">
      <c r="A596" s="28" t="s">
        <v>174</v>
      </c>
      <c r="B596" s="16"/>
      <c r="F596" s="21"/>
      <c r="K596" s="21"/>
    </row>
    <row r="597">
      <c r="A597" s="28" t="s">
        <v>174</v>
      </c>
      <c r="B597" s="16"/>
      <c r="F597" s="21"/>
      <c r="K597" s="21"/>
    </row>
    <row r="598">
      <c r="A598" s="28" t="s">
        <v>174</v>
      </c>
      <c r="B598" s="16"/>
      <c r="F598" s="21"/>
      <c r="K598" s="21"/>
    </row>
    <row r="599">
      <c r="A599" s="28" t="s">
        <v>174</v>
      </c>
      <c r="B599" s="16"/>
      <c r="F599" s="21"/>
      <c r="K599" s="21"/>
    </row>
    <row r="600">
      <c r="A600" s="28" t="s">
        <v>174</v>
      </c>
      <c r="B600" s="16"/>
      <c r="F600" s="21"/>
      <c r="K600" s="21"/>
    </row>
    <row r="601">
      <c r="A601" s="28" t="s">
        <v>174</v>
      </c>
      <c r="B601" s="16"/>
      <c r="F601" s="21"/>
      <c r="K601" s="21"/>
    </row>
    <row r="602">
      <c r="A602" s="28" t="s">
        <v>174</v>
      </c>
      <c r="B602" s="16"/>
      <c r="F602" s="21"/>
      <c r="K602" s="21"/>
    </row>
    <row r="603">
      <c r="A603" s="28" t="s">
        <v>174</v>
      </c>
      <c r="B603" s="16"/>
      <c r="F603" s="21"/>
      <c r="K603" s="21"/>
    </row>
    <row r="604">
      <c r="A604" s="28" t="s">
        <v>174</v>
      </c>
      <c r="B604" s="16"/>
      <c r="F604" s="21"/>
      <c r="K604" s="21"/>
    </row>
    <row r="605">
      <c r="A605" s="28" t="s">
        <v>174</v>
      </c>
      <c r="B605" s="16"/>
      <c r="F605" s="21"/>
      <c r="K605" s="21"/>
    </row>
    <row r="606">
      <c r="A606" s="28" t="s">
        <v>174</v>
      </c>
      <c r="B606" s="16"/>
      <c r="F606" s="21"/>
      <c r="K606" s="21"/>
    </row>
    <row r="607">
      <c r="A607" s="28" t="s">
        <v>174</v>
      </c>
      <c r="B607" s="16"/>
      <c r="F607" s="21"/>
      <c r="K607" s="21"/>
    </row>
    <row r="608">
      <c r="A608" s="28" t="s">
        <v>174</v>
      </c>
      <c r="B608" s="16"/>
      <c r="F608" s="21"/>
      <c r="K608" s="21"/>
    </row>
    <row r="609">
      <c r="A609" s="28" t="s">
        <v>174</v>
      </c>
      <c r="B609" s="16"/>
      <c r="F609" s="21"/>
      <c r="K609" s="21"/>
    </row>
    <row r="610">
      <c r="A610" s="28" t="s">
        <v>174</v>
      </c>
      <c r="B610" s="16"/>
      <c r="F610" s="21"/>
      <c r="K610" s="21"/>
    </row>
    <row r="611">
      <c r="A611" s="28" t="s">
        <v>174</v>
      </c>
      <c r="B611" s="16"/>
      <c r="F611" s="21"/>
      <c r="K611" s="21"/>
    </row>
    <row r="612">
      <c r="A612" s="28" t="s">
        <v>174</v>
      </c>
      <c r="B612" s="16"/>
      <c r="F612" s="21"/>
      <c r="K612" s="21"/>
    </row>
    <row r="613">
      <c r="A613" s="28" t="s">
        <v>174</v>
      </c>
      <c r="B613" s="16"/>
      <c r="F613" s="21"/>
      <c r="K613" s="21"/>
    </row>
    <row r="614">
      <c r="A614" s="28" t="s">
        <v>174</v>
      </c>
      <c r="B614" s="16"/>
      <c r="F614" s="21"/>
      <c r="K614" s="21"/>
    </row>
    <row r="615">
      <c r="A615" s="28" t="s">
        <v>174</v>
      </c>
      <c r="B615" s="16"/>
      <c r="F615" s="21"/>
      <c r="K615" s="21"/>
    </row>
    <row r="616">
      <c r="A616" s="28" t="s">
        <v>174</v>
      </c>
      <c r="B616" s="16"/>
      <c r="F616" s="21"/>
      <c r="K616" s="21"/>
    </row>
    <row r="617">
      <c r="A617" s="28" t="s">
        <v>174</v>
      </c>
      <c r="B617" s="16"/>
      <c r="F617" s="21"/>
      <c r="K617" s="21"/>
    </row>
    <row r="618">
      <c r="A618" s="28" t="s">
        <v>174</v>
      </c>
      <c r="B618" s="16"/>
      <c r="F618" s="21"/>
      <c r="K618" s="21"/>
    </row>
    <row r="619">
      <c r="A619" s="28" t="s">
        <v>174</v>
      </c>
      <c r="B619" s="16"/>
      <c r="F619" s="21"/>
      <c r="K619" s="21"/>
    </row>
    <row r="620">
      <c r="A620" s="28" t="s">
        <v>174</v>
      </c>
      <c r="B620" s="16"/>
      <c r="F620" s="21"/>
      <c r="K620" s="21"/>
    </row>
    <row r="621">
      <c r="A621" s="28" t="s">
        <v>174</v>
      </c>
      <c r="B621" s="16"/>
      <c r="F621" s="21"/>
      <c r="K621" s="21"/>
    </row>
    <row r="622">
      <c r="A622" s="28" t="s">
        <v>174</v>
      </c>
      <c r="B622" s="16"/>
      <c r="F622" s="21"/>
      <c r="K622" s="21"/>
    </row>
    <row r="623">
      <c r="A623" s="28" t="s">
        <v>174</v>
      </c>
      <c r="B623" s="16"/>
      <c r="F623" s="21"/>
      <c r="K623" s="21"/>
    </row>
    <row r="624">
      <c r="A624" s="28" t="s">
        <v>174</v>
      </c>
      <c r="B624" s="16"/>
      <c r="F624" s="21"/>
      <c r="K624" s="21"/>
    </row>
    <row r="625">
      <c r="A625" s="28" t="s">
        <v>174</v>
      </c>
      <c r="B625" s="16"/>
      <c r="F625" s="21"/>
      <c r="K625" s="21"/>
    </row>
    <row r="626">
      <c r="A626" s="28" t="s">
        <v>174</v>
      </c>
      <c r="B626" s="16"/>
      <c r="F626" s="21"/>
      <c r="K626" s="21"/>
    </row>
    <row r="627">
      <c r="A627" s="28" t="s">
        <v>174</v>
      </c>
      <c r="B627" s="16"/>
      <c r="F627" s="21"/>
      <c r="K627" s="21"/>
    </row>
    <row r="628">
      <c r="A628" s="28" t="s">
        <v>174</v>
      </c>
      <c r="B628" s="16"/>
      <c r="F628" s="21"/>
      <c r="K628" s="21"/>
    </row>
    <row r="629">
      <c r="A629" s="28" t="s">
        <v>174</v>
      </c>
      <c r="B629" s="16"/>
      <c r="F629" s="21"/>
      <c r="K629" s="21"/>
    </row>
    <row r="630">
      <c r="A630" s="28" t="s">
        <v>174</v>
      </c>
      <c r="B630" s="16"/>
      <c r="F630" s="21"/>
      <c r="K630" s="21"/>
    </row>
    <row r="631">
      <c r="A631" s="28" t="s">
        <v>174</v>
      </c>
      <c r="B631" s="16"/>
      <c r="F631" s="21"/>
      <c r="K631" s="21"/>
    </row>
    <row r="632">
      <c r="A632" s="28" t="s">
        <v>174</v>
      </c>
      <c r="B632" s="16"/>
      <c r="F632" s="21"/>
      <c r="K632" s="21"/>
    </row>
    <row r="633">
      <c r="A633" s="28" t="s">
        <v>174</v>
      </c>
      <c r="B633" s="16"/>
      <c r="F633" s="21"/>
      <c r="K633" s="21"/>
    </row>
    <row r="634">
      <c r="A634" s="28" t="s">
        <v>174</v>
      </c>
      <c r="B634" s="16"/>
      <c r="F634" s="21"/>
      <c r="K634" s="21"/>
    </row>
    <row r="635">
      <c r="A635" s="28" t="s">
        <v>174</v>
      </c>
      <c r="B635" s="16"/>
      <c r="F635" s="21"/>
      <c r="K635" s="21"/>
    </row>
    <row r="636">
      <c r="A636" s="28" t="s">
        <v>174</v>
      </c>
      <c r="B636" s="16"/>
      <c r="F636" s="21"/>
      <c r="K636" s="21"/>
    </row>
    <row r="637">
      <c r="A637" s="28" t="s">
        <v>174</v>
      </c>
      <c r="B637" s="16"/>
      <c r="F637" s="21"/>
      <c r="K637" s="21"/>
    </row>
    <row r="638">
      <c r="A638" s="28" t="s">
        <v>174</v>
      </c>
      <c r="B638" s="16"/>
      <c r="F638" s="21"/>
      <c r="K638" s="21"/>
    </row>
    <row r="639">
      <c r="A639" s="28" t="s">
        <v>174</v>
      </c>
      <c r="B639" s="16"/>
      <c r="F639" s="21"/>
      <c r="K639" s="21"/>
    </row>
    <row r="640">
      <c r="A640" s="28" t="s">
        <v>174</v>
      </c>
      <c r="B640" s="16"/>
      <c r="F640" s="21"/>
      <c r="K640" s="21"/>
    </row>
    <row r="641">
      <c r="A641" s="28" t="s">
        <v>174</v>
      </c>
      <c r="B641" s="16"/>
      <c r="F641" s="21"/>
      <c r="K641" s="21"/>
    </row>
    <row r="642">
      <c r="A642" s="28" t="s">
        <v>174</v>
      </c>
      <c r="B642" s="16"/>
      <c r="F642" s="21"/>
      <c r="K642" s="21"/>
    </row>
    <row r="643">
      <c r="A643" s="28" t="s">
        <v>174</v>
      </c>
      <c r="B643" s="16"/>
      <c r="F643" s="21"/>
      <c r="K643" s="21"/>
    </row>
    <row r="644">
      <c r="A644" s="28" t="s">
        <v>174</v>
      </c>
      <c r="B644" s="16"/>
      <c r="F644" s="21"/>
      <c r="K644" s="21"/>
    </row>
    <row r="645">
      <c r="A645" s="28" t="s">
        <v>174</v>
      </c>
      <c r="B645" s="16"/>
      <c r="F645" s="21"/>
      <c r="K645" s="21"/>
    </row>
    <row r="646">
      <c r="A646" s="28" t="s">
        <v>174</v>
      </c>
      <c r="B646" s="16"/>
      <c r="F646" s="21"/>
      <c r="K646" s="21"/>
    </row>
    <row r="647">
      <c r="A647" s="28" t="s">
        <v>174</v>
      </c>
      <c r="B647" s="16"/>
      <c r="F647" s="21"/>
      <c r="K647" s="21"/>
    </row>
    <row r="648">
      <c r="A648" s="28" t="s">
        <v>174</v>
      </c>
      <c r="B648" s="16"/>
      <c r="F648" s="21"/>
      <c r="K648" s="21"/>
    </row>
    <row r="649">
      <c r="A649" s="28" t="s">
        <v>174</v>
      </c>
      <c r="B649" s="16"/>
      <c r="F649" s="21"/>
      <c r="K649" s="21"/>
    </row>
    <row r="650">
      <c r="A650" s="28" t="s">
        <v>174</v>
      </c>
      <c r="B650" s="16"/>
      <c r="F650" s="21"/>
      <c r="K650" s="21"/>
    </row>
    <row r="651">
      <c r="A651" s="28" t="s">
        <v>174</v>
      </c>
      <c r="B651" s="16"/>
      <c r="F651" s="21"/>
      <c r="K651" s="21"/>
    </row>
    <row r="652">
      <c r="A652" s="28" t="s">
        <v>174</v>
      </c>
      <c r="B652" s="16"/>
      <c r="F652" s="21"/>
      <c r="K652" s="21"/>
    </row>
    <row r="653">
      <c r="A653" s="28" t="s">
        <v>174</v>
      </c>
      <c r="B653" s="16"/>
      <c r="F653" s="21"/>
      <c r="K653" s="21"/>
    </row>
    <row r="654">
      <c r="A654" s="28" t="s">
        <v>174</v>
      </c>
      <c r="B654" s="16"/>
      <c r="F654" s="21"/>
      <c r="K654" s="21"/>
    </row>
    <row r="655">
      <c r="A655" s="28" t="s">
        <v>174</v>
      </c>
      <c r="B655" s="16"/>
      <c r="F655" s="21"/>
      <c r="K655" s="21"/>
    </row>
    <row r="656">
      <c r="A656" s="28" t="s">
        <v>174</v>
      </c>
      <c r="B656" s="16"/>
      <c r="F656" s="21"/>
      <c r="K656" s="21"/>
    </row>
    <row r="657">
      <c r="A657" s="28" t="s">
        <v>174</v>
      </c>
      <c r="B657" s="16"/>
      <c r="F657" s="21"/>
      <c r="K657" s="21"/>
    </row>
    <row r="658">
      <c r="A658" s="28" t="s">
        <v>174</v>
      </c>
      <c r="B658" s="16"/>
      <c r="F658" s="21"/>
      <c r="K658" s="21"/>
    </row>
    <row r="659">
      <c r="A659" s="28" t="s">
        <v>174</v>
      </c>
      <c r="B659" s="16"/>
      <c r="F659" s="21"/>
      <c r="K659" s="21"/>
    </row>
    <row r="660">
      <c r="A660" s="28" t="s">
        <v>174</v>
      </c>
      <c r="B660" s="16"/>
      <c r="F660" s="21"/>
      <c r="K660" s="21"/>
    </row>
    <row r="661">
      <c r="A661" s="28" t="s">
        <v>174</v>
      </c>
      <c r="B661" s="16"/>
      <c r="F661" s="21"/>
      <c r="K661" s="21"/>
    </row>
    <row r="662">
      <c r="A662" s="28" t="s">
        <v>174</v>
      </c>
      <c r="B662" s="16"/>
      <c r="F662" s="21"/>
      <c r="K662" s="21"/>
    </row>
    <row r="663">
      <c r="A663" s="28" t="s">
        <v>174</v>
      </c>
      <c r="B663" s="16"/>
      <c r="F663" s="21"/>
      <c r="K663" s="21"/>
    </row>
    <row r="664">
      <c r="A664" s="28" t="s">
        <v>174</v>
      </c>
      <c r="B664" s="16"/>
      <c r="F664" s="21"/>
      <c r="K664" s="21"/>
    </row>
    <row r="665">
      <c r="A665" s="28" t="s">
        <v>174</v>
      </c>
      <c r="B665" s="16"/>
      <c r="F665" s="21"/>
      <c r="K665" s="21"/>
    </row>
    <row r="666">
      <c r="A666" s="28" t="s">
        <v>174</v>
      </c>
      <c r="B666" s="16"/>
      <c r="F666" s="21"/>
      <c r="K666" s="21"/>
    </row>
    <row r="667">
      <c r="A667" s="28" t="s">
        <v>174</v>
      </c>
      <c r="B667" s="16"/>
      <c r="F667" s="21"/>
      <c r="K667" s="21"/>
    </row>
    <row r="668">
      <c r="A668" s="28" t="s">
        <v>174</v>
      </c>
      <c r="B668" s="16"/>
      <c r="F668" s="21"/>
      <c r="K668" s="21"/>
    </row>
    <row r="669">
      <c r="A669" s="28" t="s">
        <v>174</v>
      </c>
      <c r="B669" s="16"/>
      <c r="F669" s="21"/>
      <c r="K669" s="21"/>
    </row>
    <row r="670">
      <c r="A670" s="28" t="s">
        <v>174</v>
      </c>
      <c r="B670" s="16"/>
      <c r="F670" s="21"/>
      <c r="K670" s="21"/>
    </row>
    <row r="671">
      <c r="A671" s="28" t="s">
        <v>174</v>
      </c>
      <c r="B671" s="16"/>
      <c r="F671" s="21"/>
      <c r="K671" s="21"/>
    </row>
    <row r="672">
      <c r="A672" s="28" t="s">
        <v>174</v>
      </c>
      <c r="B672" s="16"/>
      <c r="F672" s="21"/>
      <c r="K672" s="21"/>
    </row>
    <row r="673">
      <c r="A673" s="28" t="s">
        <v>174</v>
      </c>
      <c r="B673" s="16"/>
      <c r="F673" s="21"/>
      <c r="K673" s="21"/>
    </row>
    <row r="674">
      <c r="A674" s="28" t="s">
        <v>174</v>
      </c>
      <c r="B674" s="16"/>
      <c r="F674" s="21"/>
      <c r="K674" s="21"/>
    </row>
    <row r="675">
      <c r="A675" s="28" t="s">
        <v>174</v>
      </c>
      <c r="B675" s="16"/>
      <c r="F675" s="21"/>
      <c r="K675" s="21"/>
    </row>
    <row r="676">
      <c r="A676" s="28" t="s">
        <v>174</v>
      </c>
      <c r="B676" s="16"/>
      <c r="F676" s="21"/>
      <c r="K676" s="21"/>
    </row>
    <row r="677">
      <c r="A677" s="28" t="s">
        <v>174</v>
      </c>
      <c r="B677" s="16"/>
      <c r="F677" s="21"/>
      <c r="K677" s="21"/>
    </row>
    <row r="678">
      <c r="A678" s="28" t="s">
        <v>174</v>
      </c>
      <c r="B678" s="16"/>
      <c r="F678" s="21"/>
      <c r="K678" s="21"/>
    </row>
    <row r="679">
      <c r="A679" s="28" t="s">
        <v>174</v>
      </c>
      <c r="B679" s="16"/>
      <c r="F679" s="21"/>
      <c r="K679" s="21"/>
    </row>
    <row r="680">
      <c r="A680" s="28" t="s">
        <v>174</v>
      </c>
      <c r="B680" s="16"/>
      <c r="F680" s="21"/>
      <c r="K680" s="21"/>
    </row>
    <row r="681">
      <c r="A681" s="28" t="s">
        <v>174</v>
      </c>
      <c r="B681" s="16"/>
      <c r="F681" s="21"/>
      <c r="K681" s="21"/>
    </row>
    <row r="682">
      <c r="A682" s="28" t="s">
        <v>174</v>
      </c>
      <c r="B682" s="16"/>
      <c r="F682" s="21"/>
      <c r="K682" s="21"/>
    </row>
    <row r="683">
      <c r="A683" s="28" t="s">
        <v>174</v>
      </c>
      <c r="B683" s="16"/>
      <c r="F683" s="21"/>
      <c r="K683" s="21"/>
    </row>
    <row r="684">
      <c r="A684" s="28" t="s">
        <v>174</v>
      </c>
      <c r="B684" s="16"/>
      <c r="F684" s="21"/>
      <c r="K684" s="21"/>
    </row>
    <row r="685">
      <c r="A685" s="28" t="s">
        <v>174</v>
      </c>
      <c r="B685" s="16"/>
      <c r="F685" s="21"/>
      <c r="K685" s="21"/>
    </row>
    <row r="686">
      <c r="A686" s="28" t="s">
        <v>174</v>
      </c>
      <c r="B686" s="16"/>
      <c r="F686" s="21"/>
      <c r="K686" s="21"/>
    </row>
    <row r="687">
      <c r="A687" s="28" t="s">
        <v>174</v>
      </c>
      <c r="B687" s="16"/>
      <c r="F687" s="21"/>
      <c r="K687" s="21"/>
    </row>
    <row r="688">
      <c r="A688" s="28" t="s">
        <v>174</v>
      </c>
      <c r="B688" s="16"/>
      <c r="F688" s="21"/>
      <c r="K688" s="21"/>
    </row>
    <row r="689">
      <c r="A689" s="28" t="s">
        <v>174</v>
      </c>
      <c r="B689" s="16"/>
      <c r="F689" s="21"/>
      <c r="K689" s="21"/>
    </row>
    <row r="690">
      <c r="A690" s="28" t="s">
        <v>174</v>
      </c>
      <c r="B690" s="16"/>
      <c r="F690" s="21"/>
      <c r="K690" s="21"/>
    </row>
    <row r="691">
      <c r="A691" s="28" t="s">
        <v>174</v>
      </c>
      <c r="B691" s="16"/>
      <c r="F691" s="21"/>
      <c r="K691" s="21"/>
    </row>
    <row r="692">
      <c r="A692" s="28" t="s">
        <v>174</v>
      </c>
      <c r="B692" s="16"/>
      <c r="F692" s="21"/>
      <c r="K692" s="21"/>
    </row>
    <row r="693">
      <c r="A693" s="28" t="s">
        <v>174</v>
      </c>
      <c r="B693" s="16"/>
      <c r="F693" s="21"/>
      <c r="K693" s="21"/>
    </row>
    <row r="694">
      <c r="A694" s="28" t="s">
        <v>174</v>
      </c>
      <c r="B694" s="16"/>
      <c r="F694" s="21"/>
      <c r="K694" s="21"/>
    </row>
    <row r="695">
      <c r="A695" s="28" t="s">
        <v>174</v>
      </c>
      <c r="B695" s="16"/>
      <c r="F695" s="21"/>
      <c r="K695" s="21"/>
    </row>
    <row r="696">
      <c r="A696" s="28" t="s">
        <v>174</v>
      </c>
      <c r="B696" s="16"/>
      <c r="F696" s="21"/>
      <c r="K696" s="21"/>
    </row>
    <row r="697">
      <c r="A697" s="28" t="s">
        <v>174</v>
      </c>
      <c r="B697" s="16"/>
      <c r="F697" s="21"/>
      <c r="K697" s="21"/>
    </row>
    <row r="698">
      <c r="A698" s="28" t="s">
        <v>174</v>
      </c>
      <c r="B698" s="16"/>
      <c r="F698" s="21"/>
      <c r="K698" s="21"/>
    </row>
    <row r="699">
      <c r="A699" s="28" t="s">
        <v>174</v>
      </c>
      <c r="B699" s="16"/>
      <c r="F699" s="21"/>
      <c r="K699" s="21"/>
    </row>
    <row r="700">
      <c r="A700" s="28" t="s">
        <v>174</v>
      </c>
      <c r="B700" s="16"/>
      <c r="F700" s="21"/>
      <c r="K700" s="21"/>
    </row>
    <row r="701">
      <c r="A701" s="28" t="s">
        <v>174</v>
      </c>
      <c r="B701" s="16"/>
      <c r="F701" s="21"/>
      <c r="K701" s="21"/>
    </row>
    <row r="702">
      <c r="A702" s="28" t="s">
        <v>174</v>
      </c>
      <c r="B702" s="16"/>
      <c r="F702" s="21"/>
      <c r="K702" s="21"/>
    </row>
    <row r="703">
      <c r="A703" s="28" t="s">
        <v>174</v>
      </c>
      <c r="B703" s="16"/>
      <c r="F703" s="21"/>
      <c r="K703" s="21"/>
    </row>
    <row r="704">
      <c r="A704" s="28" t="s">
        <v>174</v>
      </c>
      <c r="B704" s="16"/>
      <c r="F704" s="21"/>
      <c r="K704" s="21"/>
    </row>
    <row r="705">
      <c r="A705" s="28" t="s">
        <v>174</v>
      </c>
      <c r="B705" s="16"/>
      <c r="F705" s="21"/>
      <c r="K705" s="21"/>
    </row>
    <row r="706">
      <c r="A706" s="28" t="s">
        <v>174</v>
      </c>
      <c r="B706" s="16"/>
      <c r="F706" s="21"/>
      <c r="K706" s="21"/>
    </row>
    <row r="707">
      <c r="A707" s="28" t="s">
        <v>174</v>
      </c>
      <c r="B707" s="16"/>
      <c r="F707" s="21"/>
      <c r="K707" s="21"/>
    </row>
    <row r="708">
      <c r="A708" s="28" t="s">
        <v>174</v>
      </c>
      <c r="B708" s="16"/>
      <c r="F708" s="21"/>
      <c r="K708" s="21"/>
    </row>
    <row r="709">
      <c r="A709" s="28" t="s">
        <v>174</v>
      </c>
      <c r="B709" s="16"/>
      <c r="F709" s="21"/>
      <c r="K709" s="21"/>
    </row>
    <row r="710">
      <c r="A710" s="28" t="s">
        <v>174</v>
      </c>
      <c r="B710" s="16"/>
      <c r="F710" s="21"/>
      <c r="K710" s="21"/>
    </row>
    <row r="711">
      <c r="A711" s="28" t="s">
        <v>174</v>
      </c>
      <c r="B711" s="16"/>
      <c r="F711" s="21"/>
      <c r="K711" s="21"/>
    </row>
    <row r="712">
      <c r="A712" s="28" t="s">
        <v>174</v>
      </c>
      <c r="B712" s="16"/>
      <c r="F712" s="21"/>
      <c r="K712" s="21"/>
    </row>
    <row r="713">
      <c r="A713" s="28" t="s">
        <v>174</v>
      </c>
      <c r="B713" s="16"/>
      <c r="F713" s="21"/>
      <c r="K713" s="21"/>
    </row>
    <row r="714">
      <c r="A714" s="28" t="s">
        <v>174</v>
      </c>
      <c r="B714" s="16"/>
      <c r="F714" s="21"/>
      <c r="K714" s="21"/>
    </row>
    <row r="715">
      <c r="A715" s="28" t="s">
        <v>174</v>
      </c>
      <c r="B715" s="16"/>
      <c r="F715" s="21"/>
      <c r="K715" s="21"/>
    </row>
    <row r="716">
      <c r="A716" s="28" t="s">
        <v>174</v>
      </c>
      <c r="B716" s="16"/>
      <c r="F716" s="21"/>
      <c r="K716" s="21"/>
    </row>
    <row r="717">
      <c r="A717" s="28" t="s">
        <v>174</v>
      </c>
      <c r="B717" s="16"/>
      <c r="F717" s="21"/>
      <c r="K717" s="21"/>
    </row>
    <row r="718">
      <c r="A718" s="28" t="s">
        <v>174</v>
      </c>
      <c r="B718" s="16"/>
      <c r="F718" s="21"/>
      <c r="K718" s="21"/>
    </row>
    <row r="719">
      <c r="A719" s="28" t="s">
        <v>174</v>
      </c>
      <c r="B719" s="16"/>
      <c r="F719" s="21"/>
      <c r="K719" s="21"/>
    </row>
    <row r="720">
      <c r="A720" s="28" t="s">
        <v>174</v>
      </c>
      <c r="B720" s="16"/>
      <c r="F720" s="21"/>
      <c r="K720" s="21"/>
    </row>
    <row r="721">
      <c r="A721" s="28" t="s">
        <v>174</v>
      </c>
      <c r="B721" s="16"/>
      <c r="F721" s="21"/>
      <c r="K721" s="21"/>
    </row>
    <row r="722">
      <c r="A722" s="28" t="s">
        <v>174</v>
      </c>
      <c r="B722" s="16"/>
      <c r="F722" s="21"/>
      <c r="K722" s="21"/>
    </row>
    <row r="723">
      <c r="A723" s="28" t="s">
        <v>174</v>
      </c>
      <c r="B723" s="16"/>
      <c r="F723" s="21"/>
      <c r="K723" s="21"/>
    </row>
    <row r="724">
      <c r="A724" s="28" t="s">
        <v>174</v>
      </c>
      <c r="B724" s="16"/>
      <c r="F724" s="21"/>
      <c r="K724" s="21"/>
    </row>
    <row r="725">
      <c r="A725" s="28" t="s">
        <v>174</v>
      </c>
      <c r="B725" s="16"/>
      <c r="F725" s="21"/>
      <c r="K725" s="21"/>
    </row>
    <row r="726">
      <c r="A726" s="28" t="s">
        <v>174</v>
      </c>
      <c r="B726" s="16"/>
      <c r="F726" s="21"/>
      <c r="K726" s="21"/>
    </row>
    <row r="727">
      <c r="A727" s="28" t="s">
        <v>174</v>
      </c>
      <c r="B727" s="16"/>
      <c r="F727" s="21"/>
      <c r="K727" s="21"/>
    </row>
    <row r="728">
      <c r="A728" s="28" t="s">
        <v>174</v>
      </c>
      <c r="B728" s="16"/>
      <c r="F728" s="21"/>
      <c r="K728" s="21"/>
    </row>
    <row r="729">
      <c r="A729" s="28" t="s">
        <v>174</v>
      </c>
      <c r="B729" s="16"/>
      <c r="F729" s="21"/>
      <c r="K729" s="21"/>
    </row>
    <row r="730">
      <c r="A730" s="28" t="s">
        <v>174</v>
      </c>
      <c r="B730" s="16"/>
      <c r="F730" s="21"/>
      <c r="K730" s="21"/>
    </row>
    <row r="731">
      <c r="A731" s="28" t="s">
        <v>174</v>
      </c>
      <c r="B731" s="16"/>
      <c r="F731" s="21"/>
      <c r="K731" s="21"/>
    </row>
    <row r="732">
      <c r="A732" s="28" t="s">
        <v>174</v>
      </c>
      <c r="B732" s="16"/>
      <c r="F732" s="21"/>
      <c r="K732" s="21"/>
    </row>
    <row r="733">
      <c r="A733" s="28" t="s">
        <v>174</v>
      </c>
      <c r="B733" s="16"/>
      <c r="F733" s="21"/>
      <c r="K733" s="21"/>
    </row>
    <row r="734">
      <c r="A734" s="28" t="s">
        <v>174</v>
      </c>
      <c r="B734" s="16"/>
      <c r="F734" s="21"/>
      <c r="K734" s="21"/>
    </row>
    <row r="735">
      <c r="A735" s="28" t="s">
        <v>174</v>
      </c>
      <c r="B735" s="16"/>
      <c r="F735" s="21"/>
      <c r="K735" s="21"/>
    </row>
    <row r="736">
      <c r="A736" s="28" t="s">
        <v>174</v>
      </c>
      <c r="B736" s="16"/>
      <c r="F736" s="21"/>
      <c r="K736" s="21"/>
    </row>
    <row r="737">
      <c r="A737" s="28" t="s">
        <v>174</v>
      </c>
      <c r="B737" s="16"/>
      <c r="F737" s="21"/>
      <c r="K737" s="21"/>
    </row>
    <row r="738">
      <c r="A738" s="28" t="s">
        <v>174</v>
      </c>
      <c r="B738" s="16"/>
      <c r="F738" s="21"/>
      <c r="K738" s="21"/>
    </row>
    <row r="739">
      <c r="A739" s="28" t="s">
        <v>174</v>
      </c>
      <c r="B739" s="16"/>
      <c r="F739" s="21"/>
      <c r="K739" s="21"/>
    </row>
    <row r="740">
      <c r="A740" s="28" t="s">
        <v>174</v>
      </c>
      <c r="B740" s="16"/>
      <c r="F740" s="21"/>
      <c r="K740" s="21"/>
    </row>
    <row r="741">
      <c r="A741" s="28" t="s">
        <v>174</v>
      </c>
      <c r="B741" s="16"/>
      <c r="F741" s="21"/>
      <c r="K741" s="21"/>
    </row>
    <row r="742">
      <c r="A742" s="28" t="s">
        <v>174</v>
      </c>
      <c r="B742" s="16"/>
      <c r="F742" s="21"/>
      <c r="K742" s="21"/>
    </row>
    <row r="743">
      <c r="A743" s="28" t="s">
        <v>174</v>
      </c>
      <c r="B743" s="16"/>
      <c r="F743" s="21"/>
      <c r="K743" s="21"/>
    </row>
    <row r="744">
      <c r="A744" s="28" t="s">
        <v>174</v>
      </c>
      <c r="B744" s="16"/>
      <c r="F744" s="21"/>
      <c r="K744" s="21"/>
    </row>
    <row r="745">
      <c r="A745" s="28" t="s">
        <v>174</v>
      </c>
      <c r="B745" s="16"/>
      <c r="F745" s="21"/>
      <c r="K745" s="21"/>
    </row>
    <row r="746">
      <c r="A746" s="28" t="s">
        <v>174</v>
      </c>
      <c r="B746" s="16"/>
      <c r="F746" s="21"/>
      <c r="K746" s="21"/>
    </row>
    <row r="747">
      <c r="A747" s="28" t="s">
        <v>174</v>
      </c>
      <c r="B747" s="16"/>
      <c r="F747" s="21"/>
      <c r="K747" s="21"/>
    </row>
    <row r="748">
      <c r="A748" s="28" t="s">
        <v>174</v>
      </c>
      <c r="B748" s="16"/>
      <c r="F748" s="21"/>
      <c r="K748" s="21"/>
    </row>
    <row r="749">
      <c r="A749" s="28" t="s">
        <v>174</v>
      </c>
      <c r="B749" s="16"/>
      <c r="F749" s="21"/>
      <c r="K749" s="21"/>
    </row>
    <row r="750">
      <c r="A750" s="28" t="s">
        <v>174</v>
      </c>
      <c r="B750" s="16"/>
      <c r="F750" s="21"/>
      <c r="K750" s="21"/>
    </row>
    <row r="751">
      <c r="A751" s="28" t="s">
        <v>174</v>
      </c>
      <c r="B751" s="16"/>
      <c r="F751" s="21"/>
      <c r="K751" s="21"/>
    </row>
    <row r="752">
      <c r="A752" s="28" t="s">
        <v>174</v>
      </c>
      <c r="B752" s="16"/>
      <c r="F752" s="21"/>
      <c r="K752" s="21"/>
    </row>
    <row r="753">
      <c r="A753" s="28" t="s">
        <v>174</v>
      </c>
      <c r="B753" s="16"/>
      <c r="F753" s="21"/>
      <c r="K753" s="21"/>
    </row>
    <row r="754">
      <c r="A754" s="28" t="s">
        <v>174</v>
      </c>
      <c r="B754" s="16"/>
      <c r="F754" s="21"/>
      <c r="K754" s="21"/>
    </row>
    <row r="755">
      <c r="A755" s="28" t="s">
        <v>174</v>
      </c>
      <c r="B755" s="16"/>
      <c r="F755" s="21"/>
      <c r="K755" s="21"/>
    </row>
    <row r="756">
      <c r="A756" s="28" t="s">
        <v>174</v>
      </c>
      <c r="B756" s="16"/>
      <c r="F756" s="21"/>
      <c r="K756" s="21"/>
    </row>
    <row r="757">
      <c r="A757" s="28" t="s">
        <v>174</v>
      </c>
      <c r="B757" s="16"/>
      <c r="F757" s="21"/>
      <c r="K757" s="21"/>
    </row>
    <row r="758">
      <c r="A758" s="28" t="s">
        <v>174</v>
      </c>
      <c r="B758" s="16"/>
      <c r="F758" s="21"/>
      <c r="K758" s="21"/>
    </row>
    <row r="759">
      <c r="A759" s="28" t="s">
        <v>174</v>
      </c>
      <c r="B759" s="16"/>
      <c r="F759" s="21"/>
      <c r="K759" s="21"/>
    </row>
    <row r="760">
      <c r="A760" s="28" t="s">
        <v>174</v>
      </c>
      <c r="B760" s="16"/>
      <c r="F760" s="21"/>
      <c r="K760" s="21"/>
    </row>
    <row r="761">
      <c r="A761" s="28" t="s">
        <v>174</v>
      </c>
      <c r="B761" s="16"/>
      <c r="F761" s="21"/>
      <c r="K761" s="21"/>
    </row>
    <row r="762">
      <c r="A762" s="28" t="s">
        <v>174</v>
      </c>
      <c r="B762" s="16"/>
      <c r="F762" s="21"/>
      <c r="K762" s="21"/>
    </row>
    <row r="763">
      <c r="A763" s="28" t="s">
        <v>174</v>
      </c>
      <c r="B763" s="16"/>
      <c r="F763" s="21"/>
      <c r="K763" s="21"/>
    </row>
    <row r="764">
      <c r="A764" s="28" t="s">
        <v>174</v>
      </c>
      <c r="B764" s="16"/>
      <c r="F764" s="21"/>
      <c r="K764" s="21"/>
    </row>
    <row r="765">
      <c r="A765" s="28" t="s">
        <v>174</v>
      </c>
      <c r="B765" s="16"/>
      <c r="F765" s="21"/>
      <c r="K765" s="21"/>
    </row>
    <row r="766">
      <c r="A766" s="28" t="s">
        <v>174</v>
      </c>
      <c r="B766" s="16"/>
      <c r="F766" s="21"/>
      <c r="K766" s="21"/>
    </row>
    <row r="767">
      <c r="A767" s="28" t="s">
        <v>174</v>
      </c>
      <c r="B767" s="16"/>
      <c r="F767" s="21"/>
      <c r="K767" s="21"/>
    </row>
    <row r="768">
      <c r="A768" s="28" t="s">
        <v>174</v>
      </c>
      <c r="B768" s="16"/>
      <c r="F768" s="21"/>
      <c r="K768" s="21"/>
    </row>
    <row r="769">
      <c r="A769" s="28" t="s">
        <v>174</v>
      </c>
      <c r="B769" s="16"/>
      <c r="F769" s="21"/>
      <c r="K769" s="21"/>
    </row>
    <row r="770">
      <c r="A770" s="28" t="s">
        <v>174</v>
      </c>
      <c r="B770" s="16"/>
      <c r="F770" s="21"/>
      <c r="K770" s="21"/>
    </row>
    <row r="771">
      <c r="A771" s="28" t="s">
        <v>174</v>
      </c>
      <c r="B771" s="16"/>
      <c r="F771" s="21"/>
      <c r="K771" s="21"/>
    </row>
    <row r="772">
      <c r="A772" s="28" t="s">
        <v>174</v>
      </c>
      <c r="B772" s="16"/>
      <c r="F772" s="21"/>
      <c r="K772" s="21"/>
    </row>
    <row r="773">
      <c r="A773" s="28" t="s">
        <v>174</v>
      </c>
      <c r="B773" s="16"/>
      <c r="F773" s="21"/>
      <c r="K773" s="21"/>
    </row>
    <row r="774">
      <c r="A774" s="28" t="s">
        <v>174</v>
      </c>
      <c r="B774" s="16"/>
      <c r="F774" s="21"/>
      <c r="K774" s="21"/>
    </row>
    <row r="775">
      <c r="A775" s="28" t="s">
        <v>174</v>
      </c>
      <c r="B775" s="16"/>
      <c r="F775" s="21"/>
      <c r="K775" s="21"/>
    </row>
    <row r="776">
      <c r="A776" s="28" t="s">
        <v>174</v>
      </c>
      <c r="B776" s="16"/>
      <c r="F776" s="21"/>
      <c r="K776" s="21"/>
    </row>
    <row r="777">
      <c r="A777" s="28" t="s">
        <v>174</v>
      </c>
      <c r="B777" s="16"/>
      <c r="F777" s="21"/>
      <c r="K777" s="21"/>
    </row>
    <row r="778">
      <c r="A778" s="28" t="s">
        <v>174</v>
      </c>
      <c r="B778" s="16"/>
      <c r="F778" s="21"/>
      <c r="K778" s="21"/>
    </row>
    <row r="779">
      <c r="A779" s="28" t="s">
        <v>174</v>
      </c>
      <c r="B779" s="16"/>
      <c r="F779" s="21"/>
      <c r="K779" s="21"/>
    </row>
    <row r="780">
      <c r="A780" s="28" t="s">
        <v>174</v>
      </c>
      <c r="B780" s="16"/>
      <c r="F780" s="21"/>
      <c r="K780" s="21"/>
    </row>
    <row r="781">
      <c r="A781" s="28" t="s">
        <v>174</v>
      </c>
      <c r="B781" s="16"/>
      <c r="F781" s="21"/>
      <c r="K781" s="21"/>
    </row>
    <row r="782">
      <c r="A782" s="28" t="s">
        <v>174</v>
      </c>
      <c r="B782" s="16"/>
      <c r="F782" s="21"/>
      <c r="K782" s="21"/>
    </row>
    <row r="783">
      <c r="A783" s="28" t="s">
        <v>174</v>
      </c>
      <c r="B783" s="16"/>
      <c r="F783" s="21"/>
      <c r="K783" s="21"/>
    </row>
    <row r="784">
      <c r="A784" s="28" t="s">
        <v>174</v>
      </c>
      <c r="B784" s="16"/>
      <c r="F784" s="21"/>
      <c r="K784" s="21"/>
    </row>
    <row r="785">
      <c r="A785" s="28" t="s">
        <v>174</v>
      </c>
      <c r="B785" s="16"/>
      <c r="F785" s="21"/>
      <c r="K785" s="21"/>
    </row>
    <row r="786">
      <c r="A786" s="28" t="s">
        <v>174</v>
      </c>
      <c r="B786" s="16"/>
      <c r="F786" s="21"/>
      <c r="K786" s="21"/>
    </row>
    <row r="787">
      <c r="A787" s="28" t="s">
        <v>174</v>
      </c>
      <c r="B787" s="16"/>
      <c r="F787" s="21"/>
      <c r="K787" s="21"/>
    </row>
    <row r="788">
      <c r="A788" s="28" t="s">
        <v>174</v>
      </c>
      <c r="B788" s="16"/>
      <c r="F788" s="21"/>
      <c r="K788" s="21"/>
    </row>
    <row r="789">
      <c r="A789" s="28" t="s">
        <v>174</v>
      </c>
      <c r="B789" s="16"/>
      <c r="F789" s="21"/>
      <c r="K789" s="21"/>
    </row>
    <row r="790">
      <c r="A790" s="28" t="s">
        <v>174</v>
      </c>
      <c r="B790" s="16"/>
      <c r="F790" s="21"/>
      <c r="K790" s="21"/>
    </row>
    <row r="791">
      <c r="A791" s="28" t="s">
        <v>174</v>
      </c>
      <c r="B791" s="16"/>
      <c r="F791" s="21"/>
      <c r="K791" s="21"/>
    </row>
    <row r="792">
      <c r="A792" s="28" t="s">
        <v>174</v>
      </c>
      <c r="B792" s="16"/>
      <c r="F792" s="21"/>
      <c r="K792" s="21"/>
    </row>
    <row r="793">
      <c r="A793" s="28" t="s">
        <v>174</v>
      </c>
      <c r="B793" s="16"/>
      <c r="F793" s="21"/>
      <c r="K793" s="21"/>
    </row>
    <row r="794">
      <c r="A794" s="28" t="s">
        <v>174</v>
      </c>
      <c r="B794" s="16"/>
      <c r="F794" s="21"/>
      <c r="K794" s="21"/>
    </row>
    <row r="795">
      <c r="A795" s="28" t="s">
        <v>174</v>
      </c>
      <c r="B795" s="16"/>
      <c r="F795" s="21"/>
      <c r="K795" s="21"/>
    </row>
    <row r="796">
      <c r="A796" s="28" t="s">
        <v>174</v>
      </c>
      <c r="B796" s="16"/>
      <c r="F796" s="21"/>
      <c r="K796" s="21"/>
    </row>
    <row r="797">
      <c r="A797" s="28" t="s">
        <v>174</v>
      </c>
      <c r="B797" s="16"/>
      <c r="F797" s="21"/>
      <c r="K797" s="21"/>
    </row>
    <row r="798">
      <c r="A798" s="28" t="s">
        <v>174</v>
      </c>
      <c r="B798" s="16"/>
      <c r="F798" s="21"/>
      <c r="K798" s="21"/>
    </row>
    <row r="799">
      <c r="A799" s="28" t="s">
        <v>174</v>
      </c>
      <c r="B799" s="16"/>
      <c r="F799" s="21"/>
      <c r="K799" s="21"/>
    </row>
    <row r="800">
      <c r="A800" s="28" t="s">
        <v>174</v>
      </c>
      <c r="B800" s="16"/>
      <c r="F800" s="21"/>
      <c r="K800" s="21"/>
    </row>
    <row r="801">
      <c r="A801" s="28" t="s">
        <v>174</v>
      </c>
      <c r="B801" s="16"/>
      <c r="F801" s="21"/>
      <c r="K801" s="21"/>
    </row>
    <row r="802">
      <c r="A802" s="28" t="s">
        <v>174</v>
      </c>
      <c r="B802" s="16"/>
      <c r="F802" s="21"/>
      <c r="K802" s="21"/>
    </row>
    <row r="803">
      <c r="A803" s="28" t="s">
        <v>174</v>
      </c>
      <c r="B803" s="16"/>
      <c r="F803" s="21"/>
      <c r="K803" s="21"/>
    </row>
    <row r="804">
      <c r="A804" s="28" t="s">
        <v>174</v>
      </c>
      <c r="B804" s="16"/>
      <c r="F804" s="21"/>
      <c r="K804" s="21"/>
    </row>
    <row r="805">
      <c r="A805" s="28" t="s">
        <v>174</v>
      </c>
      <c r="B805" s="16"/>
      <c r="F805" s="21"/>
      <c r="K805" s="21"/>
    </row>
    <row r="806">
      <c r="A806" s="28" t="s">
        <v>174</v>
      </c>
      <c r="B806" s="16"/>
      <c r="F806" s="21"/>
      <c r="K806" s="21"/>
    </row>
    <row r="807">
      <c r="A807" s="28" t="s">
        <v>174</v>
      </c>
      <c r="B807" s="16"/>
      <c r="F807" s="21"/>
      <c r="K807" s="21"/>
    </row>
    <row r="808">
      <c r="A808" s="28" t="s">
        <v>174</v>
      </c>
      <c r="B808" s="16"/>
      <c r="F808" s="21"/>
      <c r="K808" s="21"/>
    </row>
    <row r="809">
      <c r="A809" s="28" t="s">
        <v>174</v>
      </c>
      <c r="B809" s="16"/>
      <c r="F809" s="21"/>
      <c r="K809" s="21"/>
    </row>
    <row r="810">
      <c r="A810" s="28" t="s">
        <v>174</v>
      </c>
      <c r="B810" s="16"/>
      <c r="F810" s="21"/>
      <c r="K810" s="21"/>
    </row>
    <row r="811">
      <c r="A811" s="28" t="s">
        <v>174</v>
      </c>
      <c r="B811" s="16"/>
      <c r="F811" s="21"/>
      <c r="K811" s="21"/>
    </row>
    <row r="812">
      <c r="A812" s="28" t="s">
        <v>174</v>
      </c>
      <c r="B812" s="16"/>
      <c r="F812" s="21"/>
      <c r="K812" s="21"/>
    </row>
    <row r="813">
      <c r="A813" s="28" t="s">
        <v>174</v>
      </c>
      <c r="B813" s="16"/>
      <c r="F813" s="21"/>
      <c r="K813" s="21"/>
    </row>
    <row r="814">
      <c r="A814" s="28" t="s">
        <v>174</v>
      </c>
      <c r="B814" s="16"/>
      <c r="F814" s="21"/>
      <c r="K814" s="21"/>
    </row>
    <row r="815">
      <c r="A815" s="28" t="s">
        <v>174</v>
      </c>
      <c r="B815" s="16"/>
      <c r="F815" s="21"/>
      <c r="K815" s="21"/>
    </row>
    <row r="816">
      <c r="A816" s="28" t="s">
        <v>174</v>
      </c>
      <c r="B816" s="16"/>
      <c r="F816" s="21"/>
      <c r="K816" s="21"/>
    </row>
    <row r="817">
      <c r="A817" s="28" t="s">
        <v>174</v>
      </c>
      <c r="B817" s="16"/>
      <c r="F817" s="21"/>
      <c r="K817" s="21"/>
    </row>
    <row r="818">
      <c r="A818" s="28" t="s">
        <v>174</v>
      </c>
      <c r="B818" s="16"/>
      <c r="F818" s="21"/>
      <c r="K818" s="21"/>
    </row>
    <row r="819">
      <c r="A819" s="28" t="s">
        <v>174</v>
      </c>
      <c r="B819" s="16"/>
      <c r="F819" s="21"/>
      <c r="K819" s="21"/>
    </row>
    <row r="820">
      <c r="A820" s="28" t="s">
        <v>174</v>
      </c>
      <c r="B820" s="16"/>
      <c r="F820" s="21"/>
      <c r="K820" s="21"/>
    </row>
    <row r="821">
      <c r="A821" s="28" t="s">
        <v>174</v>
      </c>
      <c r="B821" s="16"/>
      <c r="F821" s="21"/>
      <c r="K821" s="21"/>
    </row>
    <row r="822">
      <c r="A822" s="28" t="s">
        <v>174</v>
      </c>
      <c r="B822" s="16"/>
      <c r="F822" s="21"/>
      <c r="K822" s="21"/>
    </row>
    <row r="823">
      <c r="A823" s="28" t="s">
        <v>174</v>
      </c>
      <c r="B823" s="16"/>
      <c r="F823" s="21"/>
      <c r="K823" s="21"/>
    </row>
    <row r="824">
      <c r="A824" s="28" t="s">
        <v>174</v>
      </c>
      <c r="B824" s="16"/>
      <c r="F824" s="21"/>
      <c r="K824" s="21"/>
    </row>
    <row r="825">
      <c r="A825" s="28" t="s">
        <v>174</v>
      </c>
      <c r="B825" s="16"/>
      <c r="F825" s="21"/>
      <c r="K825" s="21"/>
    </row>
    <row r="826">
      <c r="A826" s="28" t="s">
        <v>174</v>
      </c>
      <c r="B826" s="16"/>
      <c r="F826" s="21"/>
      <c r="K826" s="21"/>
    </row>
    <row r="827">
      <c r="A827" s="28" t="s">
        <v>174</v>
      </c>
      <c r="B827" s="16"/>
      <c r="F827" s="21"/>
      <c r="K827" s="21"/>
    </row>
    <row r="828">
      <c r="A828" s="28" t="s">
        <v>174</v>
      </c>
      <c r="B828" s="16"/>
      <c r="F828" s="21"/>
      <c r="K828" s="21"/>
    </row>
    <row r="829">
      <c r="A829" s="28" t="s">
        <v>174</v>
      </c>
      <c r="B829" s="16"/>
      <c r="F829" s="21"/>
      <c r="K829" s="21"/>
    </row>
    <row r="830">
      <c r="A830" s="28" t="s">
        <v>174</v>
      </c>
      <c r="B830" s="16"/>
      <c r="F830" s="21"/>
      <c r="K830" s="21"/>
    </row>
    <row r="831">
      <c r="A831" s="28" t="s">
        <v>174</v>
      </c>
      <c r="B831" s="16"/>
      <c r="F831" s="21"/>
      <c r="K831" s="21"/>
    </row>
    <row r="832">
      <c r="A832" s="28" t="s">
        <v>174</v>
      </c>
      <c r="B832" s="16"/>
      <c r="F832" s="21"/>
      <c r="K832" s="21"/>
    </row>
    <row r="833">
      <c r="A833" s="28" t="s">
        <v>174</v>
      </c>
      <c r="B833" s="16"/>
      <c r="F833" s="21"/>
      <c r="K833" s="21"/>
    </row>
    <row r="834">
      <c r="A834" s="28" t="s">
        <v>174</v>
      </c>
      <c r="B834" s="16"/>
      <c r="F834" s="21"/>
      <c r="K834" s="21"/>
    </row>
    <row r="835">
      <c r="A835" s="28" t="s">
        <v>174</v>
      </c>
      <c r="B835" s="16"/>
      <c r="F835" s="21"/>
      <c r="K835" s="21"/>
    </row>
    <row r="836">
      <c r="A836" s="28" t="s">
        <v>174</v>
      </c>
      <c r="B836" s="16"/>
      <c r="F836" s="21"/>
      <c r="K836" s="21"/>
    </row>
    <row r="837">
      <c r="A837" s="28" t="s">
        <v>174</v>
      </c>
      <c r="B837" s="16"/>
      <c r="F837" s="21"/>
      <c r="K837" s="21"/>
    </row>
    <row r="838">
      <c r="A838" s="28" t="s">
        <v>174</v>
      </c>
      <c r="B838" s="16"/>
      <c r="F838" s="21"/>
      <c r="K838" s="21"/>
    </row>
    <row r="839">
      <c r="A839" s="28" t="s">
        <v>174</v>
      </c>
      <c r="B839" s="16"/>
      <c r="F839" s="21"/>
      <c r="K839" s="21"/>
    </row>
    <row r="840">
      <c r="A840" s="28" t="s">
        <v>174</v>
      </c>
      <c r="B840" s="16"/>
      <c r="F840" s="21"/>
      <c r="K840" s="21"/>
    </row>
    <row r="841">
      <c r="A841" s="28" t="s">
        <v>174</v>
      </c>
      <c r="B841" s="16"/>
      <c r="F841" s="21"/>
      <c r="K841" s="21"/>
    </row>
    <row r="842">
      <c r="A842" s="28" t="s">
        <v>174</v>
      </c>
      <c r="B842" s="16"/>
      <c r="F842" s="21"/>
      <c r="K842" s="21"/>
    </row>
    <row r="843">
      <c r="A843" s="28" t="s">
        <v>174</v>
      </c>
      <c r="B843" s="16"/>
      <c r="F843" s="21"/>
      <c r="K843" s="21"/>
    </row>
    <row r="844">
      <c r="A844" s="28" t="s">
        <v>174</v>
      </c>
      <c r="B844" s="16"/>
      <c r="F844" s="21"/>
      <c r="K844" s="21"/>
    </row>
    <row r="845">
      <c r="A845" s="28" t="s">
        <v>174</v>
      </c>
      <c r="B845" s="16"/>
      <c r="F845" s="21"/>
      <c r="K845" s="21"/>
    </row>
    <row r="846">
      <c r="A846" s="28" t="s">
        <v>174</v>
      </c>
      <c r="B846" s="16"/>
      <c r="F846" s="21"/>
      <c r="K846" s="21"/>
    </row>
    <row r="847">
      <c r="A847" s="28" t="s">
        <v>174</v>
      </c>
      <c r="B847" s="16"/>
      <c r="F847" s="21"/>
      <c r="K847" s="21"/>
    </row>
    <row r="848">
      <c r="A848" s="28" t="s">
        <v>174</v>
      </c>
      <c r="B848" s="16"/>
      <c r="F848" s="21"/>
      <c r="K848" s="21"/>
    </row>
    <row r="849">
      <c r="A849" s="28" t="s">
        <v>174</v>
      </c>
      <c r="B849" s="16"/>
      <c r="F849" s="21"/>
      <c r="K849" s="21"/>
    </row>
    <row r="850">
      <c r="A850" s="28" t="s">
        <v>174</v>
      </c>
      <c r="B850" s="16"/>
      <c r="F850" s="21"/>
      <c r="K850" s="21"/>
    </row>
    <row r="851">
      <c r="A851" s="28" t="s">
        <v>174</v>
      </c>
      <c r="B851" s="16"/>
      <c r="F851" s="21"/>
      <c r="K851" s="21"/>
    </row>
    <row r="852">
      <c r="A852" s="28" t="s">
        <v>174</v>
      </c>
      <c r="B852" s="16"/>
      <c r="F852" s="21"/>
      <c r="K852" s="21"/>
    </row>
    <row r="853">
      <c r="A853" s="28" t="s">
        <v>174</v>
      </c>
      <c r="B853" s="16"/>
      <c r="F853" s="21"/>
      <c r="K853" s="21"/>
    </row>
    <row r="854">
      <c r="A854" s="28" t="s">
        <v>174</v>
      </c>
      <c r="B854" s="16"/>
      <c r="F854" s="21"/>
      <c r="K854" s="21"/>
    </row>
    <row r="855">
      <c r="A855" s="28" t="s">
        <v>174</v>
      </c>
      <c r="B855" s="16"/>
      <c r="F855" s="21"/>
      <c r="K855" s="21"/>
    </row>
    <row r="856">
      <c r="A856" s="28" t="s">
        <v>174</v>
      </c>
      <c r="B856" s="16"/>
      <c r="F856" s="21"/>
      <c r="K856" s="21"/>
    </row>
    <row r="857">
      <c r="A857" s="28" t="s">
        <v>174</v>
      </c>
      <c r="B857" s="16"/>
      <c r="F857" s="21"/>
      <c r="K857" s="21"/>
    </row>
    <row r="858">
      <c r="A858" s="28" t="s">
        <v>174</v>
      </c>
      <c r="B858" s="16"/>
      <c r="F858" s="21"/>
      <c r="K858" s="21"/>
    </row>
    <row r="859">
      <c r="A859" s="28" t="s">
        <v>174</v>
      </c>
      <c r="B859" s="16"/>
      <c r="F859" s="21"/>
      <c r="K859" s="21"/>
    </row>
    <row r="860">
      <c r="A860" s="28" t="s">
        <v>174</v>
      </c>
      <c r="B860" s="16"/>
      <c r="F860" s="21"/>
      <c r="K860" s="21"/>
    </row>
    <row r="861">
      <c r="A861" s="28" t="s">
        <v>174</v>
      </c>
      <c r="B861" s="16"/>
      <c r="F861" s="21"/>
      <c r="K861" s="21"/>
    </row>
    <row r="862">
      <c r="A862" s="28" t="s">
        <v>174</v>
      </c>
      <c r="B862" s="16"/>
      <c r="F862" s="21"/>
      <c r="K862" s="21"/>
    </row>
    <row r="863">
      <c r="A863" s="28" t="s">
        <v>174</v>
      </c>
      <c r="B863" s="16"/>
      <c r="F863" s="21"/>
      <c r="K863" s="21"/>
    </row>
    <row r="864">
      <c r="A864" s="28" t="s">
        <v>174</v>
      </c>
      <c r="B864" s="16"/>
      <c r="F864" s="21"/>
      <c r="K864" s="21"/>
    </row>
    <row r="865">
      <c r="A865" s="28" t="s">
        <v>174</v>
      </c>
      <c r="B865" s="16"/>
      <c r="F865" s="21"/>
      <c r="K865" s="21"/>
    </row>
    <row r="866">
      <c r="A866" s="28" t="s">
        <v>174</v>
      </c>
      <c r="B866" s="16"/>
      <c r="F866" s="21"/>
      <c r="K866" s="21"/>
    </row>
    <row r="867">
      <c r="A867" s="28" t="s">
        <v>174</v>
      </c>
      <c r="B867" s="16"/>
      <c r="F867" s="21"/>
      <c r="K867" s="21"/>
    </row>
    <row r="868">
      <c r="A868" s="28" t="s">
        <v>174</v>
      </c>
      <c r="B868" s="16"/>
      <c r="F868" s="21"/>
      <c r="K868" s="21"/>
    </row>
    <row r="869">
      <c r="A869" s="28" t="s">
        <v>174</v>
      </c>
      <c r="B869" s="16"/>
      <c r="F869" s="21"/>
      <c r="K869" s="21"/>
    </row>
    <row r="870">
      <c r="A870" s="28" t="s">
        <v>174</v>
      </c>
      <c r="B870" s="16"/>
      <c r="F870" s="21"/>
      <c r="K870" s="21"/>
    </row>
    <row r="871">
      <c r="A871" s="28" t="s">
        <v>174</v>
      </c>
      <c r="B871" s="16"/>
      <c r="F871" s="21"/>
      <c r="K871" s="21"/>
    </row>
    <row r="872">
      <c r="A872" s="28" t="s">
        <v>174</v>
      </c>
      <c r="B872" s="16"/>
      <c r="F872" s="21"/>
      <c r="K872" s="21"/>
    </row>
    <row r="873">
      <c r="A873" s="28" t="s">
        <v>174</v>
      </c>
      <c r="B873" s="16"/>
      <c r="F873" s="21"/>
      <c r="K873" s="21"/>
    </row>
    <row r="874">
      <c r="A874" s="28" t="s">
        <v>174</v>
      </c>
      <c r="B874" s="16"/>
      <c r="F874" s="21"/>
      <c r="K874" s="21"/>
    </row>
    <row r="875">
      <c r="A875" s="28" t="s">
        <v>174</v>
      </c>
      <c r="B875" s="16"/>
      <c r="F875" s="21"/>
      <c r="K875" s="21"/>
    </row>
    <row r="876">
      <c r="A876" s="28" t="s">
        <v>174</v>
      </c>
      <c r="B876" s="16"/>
      <c r="F876" s="21"/>
      <c r="K876" s="21"/>
    </row>
    <row r="877">
      <c r="A877" s="28" t="s">
        <v>174</v>
      </c>
      <c r="B877" s="16"/>
      <c r="F877" s="21"/>
      <c r="K877" s="21"/>
    </row>
    <row r="878">
      <c r="A878" s="28" t="s">
        <v>174</v>
      </c>
      <c r="B878" s="16"/>
      <c r="F878" s="21"/>
      <c r="K878" s="21"/>
    </row>
    <row r="879">
      <c r="A879" s="28" t="s">
        <v>174</v>
      </c>
      <c r="B879" s="16"/>
      <c r="F879" s="21"/>
      <c r="K879" s="21"/>
    </row>
    <row r="880">
      <c r="A880" s="28" t="s">
        <v>174</v>
      </c>
      <c r="B880" s="16"/>
      <c r="F880" s="21"/>
      <c r="K880" s="21"/>
    </row>
    <row r="881">
      <c r="A881" s="28" t="s">
        <v>174</v>
      </c>
      <c r="B881" s="16"/>
      <c r="F881" s="21"/>
      <c r="K881" s="21"/>
    </row>
    <row r="882">
      <c r="A882" s="28" t="s">
        <v>174</v>
      </c>
      <c r="B882" s="16"/>
      <c r="F882" s="21"/>
      <c r="K882" s="21"/>
    </row>
    <row r="883">
      <c r="A883" s="28" t="s">
        <v>174</v>
      </c>
      <c r="B883" s="16"/>
      <c r="F883" s="21"/>
      <c r="K883" s="21"/>
    </row>
    <row r="884">
      <c r="A884" s="28" t="s">
        <v>174</v>
      </c>
      <c r="B884" s="16"/>
      <c r="F884" s="21"/>
      <c r="K884" s="21"/>
    </row>
    <row r="885">
      <c r="A885" s="28" t="s">
        <v>174</v>
      </c>
      <c r="B885" s="16"/>
      <c r="F885" s="21"/>
      <c r="K885" s="21"/>
    </row>
    <row r="886">
      <c r="A886" s="28" t="s">
        <v>174</v>
      </c>
      <c r="B886" s="16"/>
      <c r="F886" s="21"/>
      <c r="K886" s="21"/>
    </row>
    <row r="887">
      <c r="A887" s="28" t="s">
        <v>174</v>
      </c>
      <c r="B887" s="16"/>
      <c r="F887" s="21"/>
      <c r="K887" s="21"/>
    </row>
    <row r="888">
      <c r="A888" s="28" t="s">
        <v>174</v>
      </c>
      <c r="B888" s="16"/>
      <c r="F888" s="21"/>
      <c r="K888" s="21"/>
    </row>
    <row r="889">
      <c r="A889" s="28" t="s">
        <v>174</v>
      </c>
      <c r="B889" s="16"/>
      <c r="F889" s="21"/>
      <c r="K889" s="21"/>
    </row>
    <row r="890">
      <c r="A890" s="28" t="s">
        <v>174</v>
      </c>
      <c r="B890" s="16"/>
      <c r="F890" s="21"/>
      <c r="K890" s="21"/>
    </row>
    <row r="891">
      <c r="A891" s="28" t="s">
        <v>174</v>
      </c>
      <c r="B891" s="16"/>
      <c r="F891" s="21"/>
      <c r="K891" s="21"/>
    </row>
    <row r="892">
      <c r="A892" s="28" t="s">
        <v>174</v>
      </c>
      <c r="B892" s="16"/>
      <c r="F892" s="21"/>
      <c r="K892" s="21"/>
    </row>
    <row r="893">
      <c r="A893" s="28" t="s">
        <v>174</v>
      </c>
      <c r="B893" s="16"/>
      <c r="F893" s="21"/>
      <c r="K893" s="21"/>
    </row>
    <row r="894">
      <c r="A894" s="28" t="s">
        <v>174</v>
      </c>
      <c r="B894" s="16"/>
      <c r="F894" s="21"/>
      <c r="K894" s="21"/>
    </row>
    <row r="895">
      <c r="A895" s="28" t="s">
        <v>174</v>
      </c>
      <c r="B895" s="16"/>
      <c r="F895" s="21"/>
      <c r="K895" s="21"/>
    </row>
    <row r="896">
      <c r="A896" s="28" t="s">
        <v>174</v>
      </c>
      <c r="B896" s="16"/>
      <c r="F896" s="21"/>
      <c r="K896" s="21"/>
    </row>
    <row r="897">
      <c r="A897" s="28" t="s">
        <v>174</v>
      </c>
      <c r="B897" s="16"/>
      <c r="F897" s="21"/>
      <c r="K897" s="21"/>
    </row>
    <row r="898">
      <c r="A898" s="28" t="s">
        <v>174</v>
      </c>
      <c r="B898" s="16"/>
      <c r="F898" s="21"/>
      <c r="K898" s="21"/>
    </row>
    <row r="899">
      <c r="A899" s="28" t="s">
        <v>174</v>
      </c>
      <c r="B899" s="16"/>
      <c r="F899" s="21"/>
      <c r="K899" s="21"/>
    </row>
    <row r="900">
      <c r="A900" s="28" t="s">
        <v>174</v>
      </c>
      <c r="B900" s="16"/>
      <c r="F900" s="21"/>
      <c r="K900" s="21"/>
    </row>
    <row r="901">
      <c r="A901" s="28" t="s">
        <v>174</v>
      </c>
      <c r="B901" s="16"/>
      <c r="F901" s="21"/>
      <c r="K901" s="21"/>
    </row>
    <row r="902">
      <c r="A902" s="28" t="s">
        <v>174</v>
      </c>
      <c r="B902" s="16"/>
      <c r="F902" s="21"/>
      <c r="K902" s="21"/>
    </row>
    <row r="903">
      <c r="A903" s="28" t="s">
        <v>174</v>
      </c>
      <c r="B903" s="16"/>
      <c r="F903" s="21"/>
      <c r="K903" s="21"/>
    </row>
    <row r="904">
      <c r="A904" s="28" t="s">
        <v>174</v>
      </c>
      <c r="B904" s="16"/>
      <c r="F904" s="21"/>
      <c r="K904" s="21"/>
    </row>
    <row r="905">
      <c r="A905" s="28" t="s">
        <v>174</v>
      </c>
      <c r="B905" s="16"/>
      <c r="F905" s="21"/>
      <c r="K905" s="21"/>
    </row>
    <row r="906">
      <c r="A906" s="28" t="s">
        <v>174</v>
      </c>
      <c r="B906" s="16"/>
      <c r="F906" s="21"/>
      <c r="K906" s="21"/>
    </row>
    <row r="907">
      <c r="A907" s="28" t="s">
        <v>174</v>
      </c>
      <c r="B907" s="16"/>
      <c r="F907" s="21"/>
      <c r="K907" s="21"/>
    </row>
    <row r="908">
      <c r="A908" s="28" t="s">
        <v>174</v>
      </c>
      <c r="B908" s="16"/>
      <c r="F908" s="21"/>
      <c r="K908" s="21"/>
    </row>
    <row r="909">
      <c r="A909" s="28" t="s">
        <v>174</v>
      </c>
      <c r="B909" s="16"/>
      <c r="F909" s="21"/>
      <c r="K909" s="21"/>
    </row>
    <row r="910">
      <c r="A910" s="28" t="s">
        <v>174</v>
      </c>
      <c r="B910" s="16"/>
      <c r="F910" s="21"/>
      <c r="K910" s="21"/>
    </row>
    <row r="911">
      <c r="A911" s="28" t="s">
        <v>174</v>
      </c>
      <c r="B911" s="16"/>
      <c r="F911" s="21"/>
      <c r="K911" s="21"/>
    </row>
    <row r="912">
      <c r="A912" s="28" t="s">
        <v>174</v>
      </c>
      <c r="B912" s="16"/>
      <c r="F912" s="21"/>
      <c r="K912" s="21"/>
    </row>
    <row r="913">
      <c r="A913" s="28" t="s">
        <v>174</v>
      </c>
      <c r="B913" s="16"/>
      <c r="F913" s="21"/>
      <c r="K913" s="21"/>
    </row>
    <row r="914">
      <c r="A914" s="28" t="s">
        <v>174</v>
      </c>
      <c r="B914" s="16"/>
      <c r="F914" s="21"/>
      <c r="K914" s="21"/>
    </row>
    <row r="915">
      <c r="A915" s="28" t="s">
        <v>174</v>
      </c>
      <c r="B915" s="16"/>
      <c r="F915" s="21"/>
      <c r="K915" s="21"/>
    </row>
    <row r="916">
      <c r="A916" s="28" t="s">
        <v>174</v>
      </c>
      <c r="B916" s="16"/>
      <c r="F916" s="21"/>
      <c r="K916" s="21"/>
    </row>
    <row r="917">
      <c r="A917" s="28" t="s">
        <v>174</v>
      </c>
      <c r="B917" s="16"/>
      <c r="F917" s="21"/>
      <c r="K917" s="21"/>
    </row>
    <row r="918">
      <c r="A918" s="28" t="s">
        <v>174</v>
      </c>
      <c r="B918" s="16"/>
      <c r="F918" s="21"/>
      <c r="K918" s="21"/>
    </row>
    <row r="919">
      <c r="A919" s="28" t="s">
        <v>174</v>
      </c>
      <c r="B919" s="16"/>
      <c r="F919" s="21"/>
      <c r="K919" s="21"/>
    </row>
    <row r="920">
      <c r="A920" s="28" t="s">
        <v>174</v>
      </c>
      <c r="B920" s="16"/>
      <c r="F920" s="21"/>
      <c r="K920" s="21"/>
    </row>
    <row r="921">
      <c r="A921" s="28" t="s">
        <v>174</v>
      </c>
      <c r="B921" s="16"/>
      <c r="F921" s="21"/>
      <c r="K921" s="21"/>
    </row>
    <row r="922">
      <c r="A922" s="28" t="s">
        <v>174</v>
      </c>
      <c r="B922" s="16"/>
      <c r="F922" s="21"/>
      <c r="K922" s="21"/>
    </row>
    <row r="923">
      <c r="A923" s="28" t="s">
        <v>174</v>
      </c>
      <c r="B923" s="16"/>
      <c r="F923" s="21"/>
      <c r="K923" s="21"/>
    </row>
    <row r="924">
      <c r="A924" s="28" t="s">
        <v>174</v>
      </c>
      <c r="B924" s="16"/>
      <c r="F924" s="21"/>
      <c r="K924" s="21"/>
    </row>
    <row r="925">
      <c r="A925" s="28" t="s">
        <v>174</v>
      </c>
      <c r="B925" s="16"/>
      <c r="F925" s="21"/>
      <c r="K925" s="21"/>
    </row>
    <row r="926">
      <c r="A926" s="28" t="s">
        <v>174</v>
      </c>
      <c r="B926" s="16"/>
      <c r="F926" s="21"/>
      <c r="K926" s="21"/>
    </row>
    <row r="927">
      <c r="A927" s="28" t="s">
        <v>174</v>
      </c>
      <c r="B927" s="16"/>
      <c r="F927" s="21"/>
      <c r="K927" s="21"/>
    </row>
    <row r="928">
      <c r="A928" s="28" t="s">
        <v>174</v>
      </c>
      <c r="B928" s="16"/>
      <c r="F928" s="21"/>
      <c r="K928" s="21"/>
    </row>
    <row r="929">
      <c r="A929" s="28" t="s">
        <v>174</v>
      </c>
      <c r="B929" s="16"/>
      <c r="F929" s="21"/>
      <c r="K929" s="21"/>
    </row>
    <row r="930">
      <c r="A930" s="28" t="s">
        <v>174</v>
      </c>
      <c r="B930" s="16"/>
      <c r="F930" s="21"/>
      <c r="K930" s="21"/>
    </row>
    <row r="931">
      <c r="A931" s="28" t="s">
        <v>174</v>
      </c>
      <c r="B931" s="16"/>
      <c r="F931" s="21"/>
      <c r="K931" s="21"/>
    </row>
    <row r="932">
      <c r="A932" s="28" t="s">
        <v>174</v>
      </c>
      <c r="B932" s="16"/>
      <c r="F932" s="21"/>
      <c r="K932" s="21"/>
    </row>
    <row r="933">
      <c r="A933" s="28" t="s">
        <v>174</v>
      </c>
      <c r="B933" s="16"/>
      <c r="F933" s="21"/>
      <c r="K933" s="21"/>
    </row>
    <row r="934">
      <c r="A934" s="28" t="s">
        <v>174</v>
      </c>
      <c r="B934" s="16"/>
      <c r="F934" s="21"/>
      <c r="K934" s="21"/>
    </row>
    <row r="935">
      <c r="A935" s="28" t="s">
        <v>174</v>
      </c>
      <c r="B935" s="16"/>
      <c r="F935" s="21"/>
      <c r="K935" s="21"/>
    </row>
    <row r="936">
      <c r="A936" s="28" t="s">
        <v>174</v>
      </c>
      <c r="B936" s="16"/>
      <c r="F936" s="21"/>
      <c r="K936" s="21"/>
    </row>
    <row r="937">
      <c r="A937" s="28" t="s">
        <v>174</v>
      </c>
      <c r="B937" s="16"/>
      <c r="F937" s="21"/>
      <c r="K937" s="21"/>
    </row>
    <row r="938">
      <c r="A938" s="28" t="s">
        <v>174</v>
      </c>
      <c r="B938" s="16"/>
      <c r="F938" s="21"/>
      <c r="K938" s="21"/>
    </row>
    <row r="939">
      <c r="A939" s="28" t="s">
        <v>174</v>
      </c>
      <c r="B939" s="16"/>
      <c r="F939" s="21"/>
      <c r="K939" s="21"/>
    </row>
    <row r="940">
      <c r="A940" s="28" t="s">
        <v>174</v>
      </c>
      <c r="B940" s="16"/>
      <c r="F940" s="21"/>
      <c r="K940" s="21"/>
    </row>
    <row r="941">
      <c r="A941" s="28" t="s">
        <v>174</v>
      </c>
      <c r="B941" s="16"/>
      <c r="F941" s="21"/>
      <c r="K941" s="21"/>
    </row>
    <row r="942">
      <c r="A942" s="28" t="s">
        <v>174</v>
      </c>
      <c r="B942" s="16"/>
      <c r="F942" s="21"/>
      <c r="K942" s="21"/>
    </row>
    <row r="943">
      <c r="A943" s="28" t="s">
        <v>174</v>
      </c>
      <c r="B943" s="16"/>
      <c r="F943" s="21"/>
      <c r="K943" s="21"/>
    </row>
    <row r="944">
      <c r="A944" s="28" t="s">
        <v>174</v>
      </c>
      <c r="B944" s="16"/>
      <c r="F944" s="21"/>
      <c r="K944" s="21"/>
    </row>
    <row r="945">
      <c r="A945" s="28" t="s">
        <v>174</v>
      </c>
      <c r="B945" s="16"/>
      <c r="F945" s="21"/>
      <c r="K945" s="21"/>
    </row>
    <row r="946">
      <c r="A946" s="28" t="s">
        <v>174</v>
      </c>
      <c r="B946" s="16"/>
      <c r="F946" s="21"/>
      <c r="K946" s="21"/>
    </row>
    <row r="947">
      <c r="A947" s="28" t="s">
        <v>174</v>
      </c>
      <c r="B947" s="16"/>
      <c r="F947" s="21"/>
      <c r="K947" s="21"/>
    </row>
    <row r="948">
      <c r="A948" s="28" t="s">
        <v>174</v>
      </c>
      <c r="B948" s="16"/>
      <c r="F948" s="21"/>
      <c r="K948" s="21"/>
    </row>
    <row r="949">
      <c r="A949" s="28" t="s">
        <v>174</v>
      </c>
      <c r="B949" s="16"/>
      <c r="F949" s="21"/>
      <c r="K949" s="21"/>
    </row>
    <row r="950">
      <c r="A950" s="28" t="s">
        <v>174</v>
      </c>
      <c r="B950" s="16"/>
      <c r="F950" s="21"/>
      <c r="K950" s="21"/>
    </row>
    <row r="951">
      <c r="A951" s="28" t="s">
        <v>174</v>
      </c>
      <c r="B951" s="16"/>
      <c r="F951" s="21"/>
      <c r="K951" s="21"/>
    </row>
    <row r="952">
      <c r="A952" s="28" t="s">
        <v>174</v>
      </c>
      <c r="B952" s="16"/>
      <c r="F952" s="21"/>
      <c r="K952" s="21"/>
    </row>
    <row r="953">
      <c r="A953" s="28" t="s">
        <v>174</v>
      </c>
      <c r="B953" s="16"/>
      <c r="F953" s="21"/>
      <c r="K953" s="21"/>
    </row>
    <row r="954">
      <c r="A954" s="28" t="s">
        <v>174</v>
      </c>
      <c r="B954" s="16"/>
      <c r="F954" s="21"/>
      <c r="K954" s="21"/>
    </row>
    <row r="955">
      <c r="A955" s="28" t="s">
        <v>174</v>
      </c>
      <c r="B955" s="16"/>
      <c r="F955" s="21"/>
      <c r="K955" s="21"/>
    </row>
    <row r="956">
      <c r="A956" s="28" t="s">
        <v>174</v>
      </c>
      <c r="B956" s="16"/>
      <c r="F956" s="21"/>
      <c r="K956" s="21"/>
    </row>
    <row r="957">
      <c r="A957" s="28" t="s">
        <v>174</v>
      </c>
      <c r="B957" s="16"/>
      <c r="F957" s="21"/>
      <c r="K957" s="21"/>
    </row>
    <row r="958">
      <c r="A958" s="28" t="s">
        <v>174</v>
      </c>
      <c r="B958" s="16"/>
      <c r="F958" s="21"/>
      <c r="K958" s="21"/>
    </row>
    <row r="959">
      <c r="A959" s="28" t="s">
        <v>174</v>
      </c>
      <c r="B959" s="16"/>
      <c r="F959" s="21"/>
      <c r="K959" s="21"/>
    </row>
    <row r="960">
      <c r="A960" s="28" t="s">
        <v>174</v>
      </c>
      <c r="B960" s="16"/>
      <c r="F960" s="21"/>
      <c r="K960" s="21"/>
    </row>
    <row r="961">
      <c r="A961" s="28" t="s">
        <v>174</v>
      </c>
      <c r="B961" s="16"/>
      <c r="F961" s="21"/>
      <c r="K961" s="21"/>
    </row>
    <row r="962">
      <c r="A962" s="28" t="s">
        <v>174</v>
      </c>
      <c r="B962" s="16"/>
      <c r="F962" s="21"/>
      <c r="K962" s="21"/>
    </row>
    <row r="963">
      <c r="A963" s="28" t="s">
        <v>174</v>
      </c>
      <c r="B963" s="16"/>
      <c r="F963" s="21"/>
      <c r="K963" s="21"/>
    </row>
    <row r="964">
      <c r="A964" s="28" t="s">
        <v>174</v>
      </c>
      <c r="B964" s="16"/>
      <c r="F964" s="21"/>
      <c r="K964" s="21"/>
    </row>
    <row r="965">
      <c r="A965" s="28" t="s">
        <v>174</v>
      </c>
      <c r="B965" s="16"/>
      <c r="F965" s="21"/>
      <c r="K965" s="21"/>
    </row>
    <row r="966">
      <c r="A966" s="28" t="s">
        <v>174</v>
      </c>
      <c r="B966" s="16"/>
      <c r="F966" s="21"/>
      <c r="K966" s="21"/>
    </row>
    <row r="967">
      <c r="A967" s="28" t="s">
        <v>174</v>
      </c>
      <c r="B967" s="16"/>
      <c r="F967" s="21"/>
      <c r="K967" s="21"/>
    </row>
    <row r="968">
      <c r="A968" s="28" t="s">
        <v>174</v>
      </c>
      <c r="B968" s="16"/>
      <c r="F968" s="21"/>
      <c r="K968" s="21"/>
    </row>
    <row r="969">
      <c r="A969" s="28" t="s">
        <v>174</v>
      </c>
      <c r="B969" s="16"/>
      <c r="F969" s="21"/>
      <c r="K969" s="21"/>
    </row>
    <row r="970">
      <c r="A970" s="28" t="s">
        <v>174</v>
      </c>
      <c r="B970" s="16"/>
      <c r="F970" s="21"/>
      <c r="K970" s="21"/>
    </row>
    <row r="971">
      <c r="A971" s="28" t="s">
        <v>174</v>
      </c>
      <c r="B971" s="16"/>
      <c r="F971" s="21"/>
      <c r="K971" s="21"/>
    </row>
    <row r="972">
      <c r="A972" s="28" t="s">
        <v>174</v>
      </c>
      <c r="B972" s="16"/>
      <c r="F972" s="21"/>
      <c r="K972" s="21"/>
    </row>
    <row r="973">
      <c r="A973" s="28" t="s">
        <v>174</v>
      </c>
      <c r="B973" s="16"/>
      <c r="F973" s="21"/>
      <c r="K973" s="21"/>
    </row>
    <row r="974">
      <c r="A974" s="28" t="s">
        <v>174</v>
      </c>
      <c r="B974" s="16"/>
      <c r="F974" s="21"/>
      <c r="K974" s="21"/>
    </row>
    <row r="975">
      <c r="A975" s="28" t="s">
        <v>174</v>
      </c>
      <c r="B975" s="16"/>
      <c r="F975" s="21"/>
      <c r="K975" s="21"/>
    </row>
    <row r="976">
      <c r="A976" s="28" t="s">
        <v>174</v>
      </c>
      <c r="B976" s="16"/>
      <c r="F976" s="21"/>
      <c r="K976" s="21"/>
    </row>
    <row r="977">
      <c r="A977" s="28" t="s">
        <v>174</v>
      </c>
      <c r="B977" s="16"/>
      <c r="F977" s="21"/>
      <c r="K977" s="21"/>
    </row>
    <row r="978">
      <c r="A978" s="28" t="s">
        <v>174</v>
      </c>
      <c r="B978" s="16"/>
      <c r="F978" s="21"/>
      <c r="K978" s="21"/>
    </row>
    <row r="979">
      <c r="A979" s="28" t="s">
        <v>174</v>
      </c>
      <c r="B979" s="16"/>
      <c r="F979" s="21"/>
      <c r="K979" s="21"/>
    </row>
    <row r="980">
      <c r="A980" s="28" t="s">
        <v>174</v>
      </c>
      <c r="B980" s="16"/>
      <c r="F980" s="21"/>
      <c r="K980" s="21"/>
    </row>
    <row r="981">
      <c r="A981" s="28" t="s">
        <v>174</v>
      </c>
      <c r="B981" s="16"/>
      <c r="F981" s="21"/>
      <c r="K981" s="21"/>
    </row>
    <row r="982">
      <c r="A982" s="28" t="s">
        <v>174</v>
      </c>
      <c r="B982" s="16"/>
      <c r="F982" s="21"/>
      <c r="K982" s="21"/>
    </row>
    <row r="983">
      <c r="A983" s="28" t="s">
        <v>174</v>
      </c>
      <c r="B983" s="16"/>
      <c r="F983" s="21"/>
      <c r="K983" s="21"/>
    </row>
    <row r="984">
      <c r="A984" s="28" t="s">
        <v>174</v>
      </c>
      <c r="B984" s="16"/>
      <c r="F984" s="21"/>
      <c r="K984" s="21"/>
    </row>
    <row r="985">
      <c r="A985" s="28" t="s">
        <v>174</v>
      </c>
      <c r="B985" s="16"/>
      <c r="F985" s="21"/>
      <c r="K985" s="21"/>
    </row>
    <row r="986">
      <c r="A986" s="28" t="s">
        <v>174</v>
      </c>
      <c r="B986" s="16"/>
      <c r="F986" s="21"/>
      <c r="K986" s="21"/>
    </row>
    <row r="987">
      <c r="A987" s="28" t="s">
        <v>174</v>
      </c>
      <c r="B987" s="16"/>
      <c r="F987" s="21"/>
      <c r="K987" s="21"/>
    </row>
    <row r="988">
      <c r="A988" s="28" t="s">
        <v>174</v>
      </c>
      <c r="B988" s="16"/>
      <c r="F988" s="21"/>
      <c r="K988" s="21"/>
    </row>
    <row r="989">
      <c r="A989" s="28" t="s">
        <v>174</v>
      </c>
      <c r="B989" s="16"/>
      <c r="F989" s="21"/>
      <c r="K989" s="21"/>
    </row>
    <row r="990">
      <c r="A990" s="28" t="s">
        <v>174</v>
      </c>
      <c r="B990" s="16"/>
      <c r="F990" s="21"/>
      <c r="K990" s="21"/>
    </row>
    <row r="991">
      <c r="A991" s="28" t="s">
        <v>174</v>
      </c>
      <c r="B991" s="16"/>
      <c r="F991" s="21"/>
      <c r="K991" s="21"/>
    </row>
    <row r="992">
      <c r="A992" s="28" t="s">
        <v>174</v>
      </c>
      <c r="B992" s="16"/>
      <c r="F992" s="21"/>
      <c r="K992" s="21"/>
    </row>
    <row r="993">
      <c r="A993" s="28" t="s">
        <v>174</v>
      </c>
      <c r="B993" s="16"/>
      <c r="F993" s="21"/>
      <c r="K993" s="21"/>
    </row>
    <row r="994">
      <c r="A994" s="28" t="s">
        <v>174</v>
      </c>
      <c r="B994" s="16"/>
      <c r="F994" s="21"/>
      <c r="K994" s="21"/>
    </row>
    <row r="995">
      <c r="A995" s="28" t="s">
        <v>174</v>
      </c>
      <c r="B995" s="16"/>
      <c r="F995" s="21"/>
      <c r="K995" s="21"/>
    </row>
    <row r="996">
      <c r="A996" s="28" t="s">
        <v>174</v>
      </c>
      <c r="B996" s="16"/>
      <c r="F996" s="21"/>
      <c r="K996" s="21"/>
    </row>
    <row r="997">
      <c r="A997" s="28" t="s">
        <v>174</v>
      </c>
      <c r="B997" s="16"/>
      <c r="F997" s="21"/>
      <c r="K997" s="21"/>
    </row>
    <row r="998">
      <c r="A998" s="28" t="s">
        <v>174</v>
      </c>
      <c r="B998" s="16"/>
      <c r="F998" s="21"/>
      <c r="K998" s="21"/>
    </row>
    <row r="999">
      <c r="A999" s="28" t="s">
        <v>174</v>
      </c>
      <c r="B999" s="16"/>
      <c r="F999" s="21"/>
      <c r="K999" s="21"/>
    </row>
    <row r="1000">
      <c r="A1000" s="28" t="s">
        <v>174</v>
      </c>
      <c r="B1000" s="16"/>
      <c r="F1000" s="21"/>
      <c r="K1000" s="21"/>
    </row>
  </sheetData>
  <dataValidations>
    <dataValidation type="list" allowBlank="1" showErrorMessage="1" sqref="F2:F1000 K2:K1000">
      <formula1>"Sandeep Kumar,Bakhshish"</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3" t="s">
        <v>0</v>
      </c>
      <c r="B1" s="53" t="s">
        <v>1924</v>
      </c>
      <c r="C1" s="53" t="s">
        <v>8</v>
      </c>
      <c r="D1" s="53" t="s">
        <v>2</v>
      </c>
      <c r="E1" s="53" t="s">
        <v>1925</v>
      </c>
      <c r="F1" s="53" t="s">
        <v>1926</v>
      </c>
      <c r="G1" s="53" t="s">
        <v>1927</v>
      </c>
      <c r="H1" s="53" t="s">
        <v>15</v>
      </c>
      <c r="I1" s="53" t="s">
        <v>1930</v>
      </c>
      <c r="J1" s="53" t="s">
        <v>1707</v>
      </c>
      <c r="K1" s="54"/>
      <c r="L1" s="54"/>
      <c r="M1" s="54"/>
      <c r="N1" s="54"/>
      <c r="O1" s="54"/>
      <c r="P1" s="54"/>
      <c r="Q1" s="54"/>
      <c r="R1" s="54"/>
      <c r="S1" s="54"/>
      <c r="T1" s="54"/>
      <c r="U1" s="54"/>
      <c r="V1" s="54"/>
      <c r="W1" s="54"/>
      <c r="X1" s="54"/>
      <c r="Y1" s="54"/>
      <c r="Z1" s="54"/>
    </row>
    <row r="2">
      <c r="A2" s="14">
        <f t="array" ref="A2:A1000">IF(C2:C1000&lt;&gt;"",IF(A2:A1000="",TODAY(),A2:A1000),"")</f>
        <v>0</v>
      </c>
      <c r="B2" s="19" t="str">
        <f t="array" ref="B2:B1000">IF(C2:C1000&lt;&gt;"","MQ-"&amp;TEXT(ROW(C2:C1000)-1,"000"),)</f>
        <v>MQ-001</v>
      </c>
      <c r="C2" s="19" t="s">
        <v>1948</v>
      </c>
      <c r="D2" s="19" t="s">
        <v>1750</v>
      </c>
      <c r="E2" s="19" t="s">
        <v>1949</v>
      </c>
      <c r="F2" s="25">
        <v>15000.0</v>
      </c>
      <c r="G2" s="55">
        <v>45524.0</v>
      </c>
      <c r="H2" s="19" t="s">
        <v>1950</v>
      </c>
      <c r="I2" s="16"/>
      <c r="J2" s="16"/>
    </row>
    <row r="3">
      <c r="A3" s="55">
        <v>46232.0</v>
      </c>
      <c r="B3" s="16" t="s">
        <v>1953</v>
      </c>
      <c r="C3" s="19" t="s">
        <v>1955</v>
      </c>
      <c r="D3" s="19" t="s">
        <v>1765</v>
      </c>
      <c r="E3" s="19" t="s">
        <v>1956</v>
      </c>
      <c r="F3" s="25">
        <v>25000.0</v>
      </c>
      <c r="G3" s="55">
        <v>45526.0</v>
      </c>
      <c r="H3" s="19" t="s">
        <v>1957</v>
      </c>
      <c r="I3" s="16"/>
      <c r="J3" s="16"/>
    </row>
    <row r="4">
      <c r="A4" s="55">
        <v>46232.0</v>
      </c>
      <c r="B4" s="16" t="s">
        <v>1958</v>
      </c>
      <c r="C4" s="19" t="s">
        <v>1959</v>
      </c>
      <c r="D4" s="19" t="s">
        <v>1960</v>
      </c>
      <c r="E4" s="19" t="s">
        <v>1961</v>
      </c>
      <c r="F4" s="25">
        <v>50000.0</v>
      </c>
      <c r="G4" s="55">
        <v>45529.0</v>
      </c>
      <c r="H4" s="19" t="s">
        <v>1962</v>
      </c>
      <c r="I4" s="16"/>
      <c r="J4" s="16"/>
    </row>
    <row r="5">
      <c r="A5" s="16" t="s">
        <v>174</v>
      </c>
      <c r="B5" s="16"/>
      <c r="H5" s="16"/>
      <c r="I5" s="16"/>
      <c r="J5" s="16"/>
    </row>
    <row r="6">
      <c r="A6" s="16" t="s">
        <v>174</v>
      </c>
      <c r="B6" s="16"/>
      <c r="H6" s="16"/>
      <c r="I6" s="16"/>
      <c r="J6" s="16"/>
    </row>
    <row r="7">
      <c r="A7" s="16" t="s">
        <v>174</v>
      </c>
      <c r="B7" s="16"/>
      <c r="H7" s="16"/>
      <c r="I7" s="16"/>
      <c r="J7" s="16"/>
    </row>
    <row r="8">
      <c r="A8" s="16" t="s">
        <v>174</v>
      </c>
      <c r="B8" s="16"/>
      <c r="H8" s="16"/>
      <c r="I8" s="16"/>
      <c r="J8" s="16"/>
    </row>
    <row r="9">
      <c r="A9" s="16" t="s">
        <v>174</v>
      </c>
      <c r="B9" s="16"/>
      <c r="H9" s="16"/>
      <c r="I9" s="16"/>
      <c r="J9" s="16"/>
    </row>
    <row r="10">
      <c r="A10" s="16" t="s">
        <v>174</v>
      </c>
      <c r="B10" s="16"/>
      <c r="H10" s="16"/>
      <c r="I10" s="16"/>
      <c r="J10" s="16"/>
    </row>
    <row r="11">
      <c r="A11" s="16" t="s">
        <v>174</v>
      </c>
      <c r="B11" s="16"/>
      <c r="H11" s="16"/>
      <c r="I11" s="16"/>
      <c r="J11" s="16"/>
    </row>
    <row r="12">
      <c r="A12" s="16" t="s">
        <v>174</v>
      </c>
      <c r="B12" s="16"/>
      <c r="H12" s="16"/>
      <c r="I12" s="16"/>
      <c r="J12" s="16"/>
    </row>
    <row r="13">
      <c r="A13" s="16" t="s">
        <v>174</v>
      </c>
      <c r="B13" s="16"/>
      <c r="H13" s="16"/>
      <c r="I13" s="16"/>
      <c r="J13" s="16"/>
    </row>
    <row r="14">
      <c r="A14" s="16" t="s">
        <v>174</v>
      </c>
      <c r="B14" s="16"/>
      <c r="H14" s="16"/>
      <c r="I14" s="16"/>
      <c r="J14" s="16"/>
    </row>
    <row r="15">
      <c r="A15" s="16" t="s">
        <v>174</v>
      </c>
      <c r="B15" s="16"/>
      <c r="H15" s="16"/>
      <c r="I15" s="16"/>
      <c r="J15" s="16"/>
    </row>
    <row r="16">
      <c r="A16" s="16" t="s">
        <v>174</v>
      </c>
      <c r="B16" s="16"/>
      <c r="H16" s="16"/>
      <c r="I16" s="16"/>
      <c r="J16" s="16"/>
    </row>
    <row r="17">
      <c r="A17" s="16" t="s">
        <v>174</v>
      </c>
      <c r="B17" s="16"/>
      <c r="H17" s="16"/>
      <c r="I17" s="16"/>
      <c r="J17" s="16"/>
    </row>
    <row r="18">
      <c r="A18" s="16" t="s">
        <v>174</v>
      </c>
      <c r="B18" s="16"/>
      <c r="H18" s="16"/>
      <c r="I18" s="16"/>
      <c r="J18" s="16"/>
    </row>
    <row r="19">
      <c r="A19" s="16" t="s">
        <v>174</v>
      </c>
      <c r="B19" s="16"/>
      <c r="H19" s="16"/>
      <c r="I19" s="16"/>
      <c r="J19" s="16"/>
    </row>
    <row r="20">
      <c r="A20" s="16" t="s">
        <v>174</v>
      </c>
      <c r="B20" s="16"/>
      <c r="H20" s="16"/>
      <c r="I20" s="16"/>
      <c r="J20" s="16"/>
    </row>
    <row r="21">
      <c r="A21" s="16" t="s">
        <v>174</v>
      </c>
      <c r="B21" s="16"/>
      <c r="H21" s="16"/>
      <c r="I21" s="16"/>
      <c r="J21" s="16"/>
    </row>
    <row r="22">
      <c r="A22" s="16" t="s">
        <v>174</v>
      </c>
      <c r="B22" s="16"/>
      <c r="H22" s="16"/>
      <c r="I22" s="16"/>
      <c r="J22" s="16"/>
    </row>
    <row r="23">
      <c r="A23" s="16" t="s">
        <v>174</v>
      </c>
      <c r="B23" s="16"/>
      <c r="H23" s="16"/>
      <c r="I23" s="16"/>
      <c r="J23" s="16"/>
    </row>
    <row r="24">
      <c r="A24" s="16" t="s">
        <v>174</v>
      </c>
      <c r="B24" s="16"/>
      <c r="H24" s="16"/>
      <c r="I24" s="16"/>
      <c r="J24" s="16"/>
    </row>
    <row r="25">
      <c r="A25" s="16" t="s">
        <v>174</v>
      </c>
      <c r="B25" s="16"/>
      <c r="H25" s="16"/>
      <c r="I25" s="16"/>
      <c r="J25" s="16"/>
    </row>
    <row r="26">
      <c r="A26" s="16" t="s">
        <v>174</v>
      </c>
      <c r="B26" s="16"/>
      <c r="H26" s="16"/>
      <c r="I26" s="16"/>
      <c r="J26" s="16"/>
    </row>
    <row r="27">
      <c r="A27" s="16" t="s">
        <v>174</v>
      </c>
      <c r="B27" s="16"/>
      <c r="H27" s="16"/>
      <c r="I27" s="16"/>
      <c r="J27" s="16"/>
    </row>
    <row r="28">
      <c r="A28" s="16" t="s">
        <v>174</v>
      </c>
      <c r="B28" s="16"/>
      <c r="H28" s="16"/>
      <c r="I28" s="16"/>
      <c r="J28" s="16"/>
    </row>
    <row r="29">
      <c r="A29" s="16" t="s">
        <v>174</v>
      </c>
      <c r="B29" s="16"/>
      <c r="H29" s="16"/>
      <c r="I29" s="16"/>
      <c r="J29" s="16"/>
    </row>
    <row r="30">
      <c r="A30" s="16" t="s">
        <v>174</v>
      </c>
      <c r="B30" s="16"/>
      <c r="H30" s="16"/>
      <c r="I30" s="16"/>
      <c r="J30" s="16"/>
    </row>
    <row r="31">
      <c r="A31" s="16" t="s">
        <v>174</v>
      </c>
      <c r="B31" s="16"/>
      <c r="H31" s="16"/>
      <c r="I31" s="16"/>
      <c r="J31" s="16"/>
    </row>
    <row r="32">
      <c r="A32" s="16" t="s">
        <v>174</v>
      </c>
      <c r="B32" s="16"/>
      <c r="H32" s="16"/>
      <c r="I32" s="16"/>
      <c r="J32" s="16"/>
    </row>
    <row r="33">
      <c r="A33" s="16" t="s">
        <v>174</v>
      </c>
      <c r="B33" s="16"/>
      <c r="H33" s="16"/>
      <c r="I33" s="16"/>
      <c r="J33" s="16"/>
    </row>
    <row r="34">
      <c r="A34" s="16" t="s">
        <v>174</v>
      </c>
      <c r="B34" s="16"/>
      <c r="H34" s="16"/>
      <c r="I34" s="16"/>
      <c r="J34" s="16"/>
    </row>
    <row r="35">
      <c r="A35" s="16" t="s">
        <v>174</v>
      </c>
      <c r="B35" s="16"/>
      <c r="H35" s="16"/>
      <c r="I35" s="16"/>
      <c r="J35" s="16"/>
    </row>
    <row r="36">
      <c r="A36" s="16" t="s">
        <v>174</v>
      </c>
      <c r="B36" s="16"/>
      <c r="H36" s="16"/>
      <c r="I36" s="16"/>
      <c r="J36" s="16"/>
    </row>
    <row r="37">
      <c r="A37" s="16" t="s">
        <v>174</v>
      </c>
      <c r="B37" s="16"/>
      <c r="H37" s="16"/>
      <c r="I37" s="16"/>
      <c r="J37" s="16"/>
    </row>
    <row r="38">
      <c r="A38" s="16" t="s">
        <v>174</v>
      </c>
      <c r="B38" s="16"/>
      <c r="H38" s="16"/>
      <c r="I38" s="16"/>
      <c r="J38" s="16"/>
    </row>
    <row r="39">
      <c r="A39" s="16" t="s">
        <v>174</v>
      </c>
      <c r="B39" s="16"/>
      <c r="H39" s="16"/>
      <c r="I39" s="16"/>
      <c r="J39" s="16"/>
    </row>
    <row r="40">
      <c r="A40" s="16" t="s">
        <v>174</v>
      </c>
      <c r="B40" s="16"/>
      <c r="H40" s="16"/>
      <c r="I40" s="16"/>
      <c r="J40" s="16"/>
    </row>
    <row r="41">
      <c r="A41" s="16" t="s">
        <v>174</v>
      </c>
      <c r="B41" s="16"/>
      <c r="H41" s="16"/>
      <c r="I41" s="16"/>
      <c r="J41" s="16"/>
    </row>
    <row r="42">
      <c r="A42" s="16" t="s">
        <v>174</v>
      </c>
      <c r="B42" s="16"/>
      <c r="H42" s="16"/>
      <c r="I42" s="16"/>
      <c r="J42" s="16"/>
    </row>
    <row r="43">
      <c r="A43" s="16" t="s">
        <v>174</v>
      </c>
      <c r="B43" s="16"/>
      <c r="H43" s="16"/>
      <c r="I43" s="16"/>
      <c r="J43" s="16"/>
    </row>
    <row r="44">
      <c r="A44" s="16" t="s">
        <v>174</v>
      </c>
      <c r="B44" s="16"/>
      <c r="H44" s="16"/>
      <c r="I44" s="16"/>
      <c r="J44" s="16"/>
    </row>
    <row r="45">
      <c r="A45" s="16" t="s">
        <v>174</v>
      </c>
      <c r="B45" s="16"/>
      <c r="H45" s="16"/>
      <c r="I45" s="16"/>
      <c r="J45" s="16"/>
    </row>
    <row r="46">
      <c r="A46" s="16" t="s">
        <v>174</v>
      </c>
      <c r="B46" s="16"/>
      <c r="H46" s="16"/>
      <c r="I46" s="16"/>
      <c r="J46" s="16"/>
    </row>
    <row r="47">
      <c r="A47" s="16" t="s">
        <v>174</v>
      </c>
      <c r="B47" s="16"/>
      <c r="H47" s="16"/>
      <c r="I47" s="16"/>
      <c r="J47" s="16"/>
    </row>
    <row r="48">
      <c r="A48" s="16" t="s">
        <v>174</v>
      </c>
      <c r="B48" s="16"/>
      <c r="H48" s="16"/>
      <c r="I48" s="16"/>
      <c r="J48" s="16"/>
    </row>
    <row r="49">
      <c r="A49" s="16" t="s">
        <v>174</v>
      </c>
      <c r="B49" s="16"/>
      <c r="H49" s="16"/>
      <c r="I49" s="16"/>
      <c r="J49" s="16"/>
    </row>
    <row r="50">
      <c r="A50" s="16" t="s">
        <v>174</v>
      </c>
      <c r="B50" s="16"/>
      <c r="H50" s="16"/>
      <c r="I50" s="16"/>
      <c r="J50" s="16"/>
    </row>
    <row r="51">
      <c r="A51" s="16" t="s">
        <v>174</v>
      </c>
      <c r="B51" s="16"/>
      <c r="H51" s="16"/>
      <c r="I51" s="16"/>
      <c r="J51" s="16"/>
    </row>
    <row r="52">
      <c r="A52" s="16" t="s">
        <v>174</v>
      </c>
      <c r="B52" s="16"/>
      <c r="H52" s="16"/>
      <c r="I52" s="16"/>
      <c r="J52" s="16"/>
    </row>
    <row r="53">
      <c r="A53" s="16" t="s">
        <v>174</v>
      </c>
      <c r="B53" s="16"/>
      <c r="H53" s="16"/>
      <c r="I53" s="16"/>
      <c r="J53" s="16"/>
    </row>
    <row r="54">
      <c r="A54" s="16" t="s">
        <v>174</v>
      </c>
      <c r="B54" s="16"/>
      <c r="H54" s="16"/>
      <c r="I54" s="16"/>
      <c r="J54" s="16"/>
    </row>
    <row r="55">
      <c r="A55" s="16" t="s">
        <v>174</v>
      </c>
      <c r="B55" s="16"/>
      <c r="H55" s="16"/>
      <c r="I55" s="16"/>
      <c r="J55" s="16"/>
    </row>
    <row r="56">
      <c r="A56" s="16" t="s">
        <v>174</v>
      </c>
      <c r="B56" s="16"/>
      <c r="H56" s="16"/>
      <c r="I56" s="16"/>
      <c r="J56" s="16"/>
    </row>
    <row r="57">
      <c r="A57" s="16" t="s">
        <v>174</v>
      </c>
      <c r="B57" s="16"/>
      <c r="H57" s="16"/>
      <c r="I57" s="16"/>
      <c r="J57" s="16"/>
    </row>
    <row r="58">
      <c r="A58" s="16" t="s">
        <v>174</v>
      </c>
      <c r="B58" s="16"/>
      <c r="H58" s="16"/>
      <c r="I58" s="16"/>
      <c r="J58" s="16"/>
    </row>
    <row r="59">
      <c r="A59" s="16" t="s">
        <v>174</v>
      </c>
      <c r="B59" s="16"/>
      <c r="H59" s="16"/>
      <c r="I59" s="16"/>
      <c r="J59" s="16"/>
    </row>
    <row r="60">
      <c r="A60" s="16" t="s">
        <v>174</v>
      </c>
      <c r="B60" s="16"/>
      <c r="H60" s="16"/>
      <c r="I60" s="16"/>
      <c r="J60" s="16"/>
    </row>
    <row r="61">
      <c r="A61" s="16" t="s">
        <v>174</v>
      </c>
      <c r="B61" s="16"/>
      <c r="H61" s="16"/>
      <c r="I61" s="16"/>
      <c r="J61" s="16"/>
    </row>
    <row r="62">
      <c r="A62" s="16" t="s">
        <v>174</v>
      </c>
      <c r="B62" s="16"/>
      <c r="H62" s="16"/>
      <c r="I62" s="16"/>
      <c r="J62" s="16"/>
    </row>
    <row r="63">
      <c r="A63" s="16" t="s">
        <v>174</v>
      </c>
      <c r="B63" s="16"/>
      <c r="H63" s="16"/>
      <c r="I63" s="16"/>
      <c r="J63" s="16"/>
    </row>
    <row r="64">
      <c r="A64" s="16" t="s">
        <v>174</v>
      </c>
      <c r="B64" s="16"/>
      <c r="H64" s="16"/>
      <c r="I64" s="16"/>
      <c r="J64" s="16"/>
    </row>
    <row r="65">
      <c r="A65" s="16" t="s">
        <v>174</v>
      </c>
      <c r="B65" s="16"/>
      <c r="H65" s="16"/>
      <c r="I65" s="16"/>
      <c r="J65" s="16"/>
    </row>
    <row r="66">
      <c r="A66" s="16" t="s">
        <v>174</v>
      </c>
      <c r="B66" s="16"/>
      <c r="H66" s="16"/>
      <c r="I66" s="16"/>
      <c r="J66" s="16"/>
    </row>
    <row r="67">
      <c r="A67" s="16" t="s">
        <v>174</v>
      </c>
      <c r="B67" s="16"/>
      <c r="H67" s="16"/>
      <c r="I67" s="16"/>
      <c r="J67" s="16"/>
    </row>
    <row r="68">
      <c r="A68" s="16" t="s">
        <v>174</v>
      </c>
      <c r="B68" s="16"/>
      <c r="H68" s="16"/>
      <c r="I68" s="16"/>
      <c r="J68" s="16"/>
    </row>
    <row r="69">
      <c r="A69" s="16" t="s">
        <v>174</v>
      </c>
      <c r="B69" s="16"/>
      <c r="H69" s="16"/>
      <c r="I69" s="16"/>
      <c r="J69" s="16"/>
    </row>
    <row r="70">
      <c r="A70" s="16" t="s">
        <v>174</v>
      </c>
      <c r="B70" s="16"/>
      <c r="H70" s="16"/>
      <c r="I70" s="16"/>
      <c r="J70" s="16"/>
    </row>
    <row r="71">
      <c r="A71" s="16" t="s">
        <v>174</v>
      </c>
      <c r="B71" s="16"/>
      <c r="H71" s="16"/>
      <c r="I71" s="16"/>
      <c r="J71" s="16"/>
    </row>
    <row r="72">
      <c r="A72" s="16" t="s">
        <v>174</v>
      </c>
      <c r="B72" s="16"/>
      <c r="H72" s="16"/>
      <c r="I72" s="16"/>
      <c r="J72" s="16"/>
    </row>
    <row r="73">
      <c r="A73" s="16" t="s">
        <v>174</v>
      </c>
      <c r="B73" s="16"/>
      <c r="H73" s="16"/>
      <c r="I73" s="16"/>
      <c r="J73" s="16"/>
    </row>
    <row r="74">
      <c r="A74" s="16" t="s">
        <v>174</v>
      </c>
      <c r="B74" s="16"/>
      <c r="H74" s="16"/>
      <c r="I74" s="16"/>
      <c r="J74" s="16"/>
    </row>
    <row r="75">
      <c r="A75" s="16" t="s">
        <v>174</v>
      </c>
      <c r="B75" s="16"/>
      <c r="H75" s="16"/>
      <c r="I75" s="16"/>
      <c r="J75" s="16"/>
    </row>
    <row r="76">
      <c r="A76" s="16" t="s">
        <v>174</v>
      </c>
      <c r="B76" s="16"/>
      <c r="H76" s="16"/>
      <c r="I76" s="16"/>
      <c r="J76" s="16"/>
    </row>
    <row r="77">
      <c r="A77" s="16" t="s">
        <v>174</v>
      </c>
      <c r="B77" s="16"/>
      <c r="H77" s="16"/>
      <c r="I77" s="16"/>
      <c r="J77" s="16"/>
    </row>
    <row r="78">
      <c r="A78" s="16" t="s">
        <v>174</v>
      </c>
      <c r="B78" s="16"/>
      <c r="H78" s="16"/>
      <c r="I78" s="16"/>
      <c r="J78" s="16"/>
    </row>
    <row r="79">
      <c r="A79" s="16" t="s">
        <v>174</v>
      </c>
      <c r="B79" s="16"/>
      <c r="H79" s="16"/>
      <c r="I79" s="16"/>
      <c r="J79" s="16"/>
    </row>
    <row r="80">
      <c r="A80" s="16" t="s">
        <v>174</v>
      </c>
      <c r="B80" s="16"/>
      <c r="H80" s="16"/>
      <c r="I80" s="16"/>
      <c r="J80" s="16"/>
    </row>
    <row r="81">
      <c r="A81" s="16" t="s">
        <v>174</v>
      </c>
      <c r="B81" s="16"/>
      <c r="H81" s="16"/>
      <c r="I81" s="16"/>
      <c r="J81" s="16"/>
    </row>
    <row r="82">
      <c r="A82" s="16" t="s">
        <v>174</v>
      </c>
      <c r="B82" s="16"/>
      <c r="H82" s="16"/>
      <c r="I82" s="16"/>
      <c r="J82" s="16"/>
    </row>
    <row r="83">
      <c r="A83" s="16" t="s">
        <v>174</v>
      </c>
      <c r="B83" s="16"/>
      <c r="H83" s="16"/>
      <c r="I83" s="16"/>
      <c r="J83" s="16"/>
    </row>
    <row r="84">
      <c r="A84" s="16" t="s">
        <v>174</v>
      </c>
      <c r="B84" s="16"/>
      <c r="H84" s="16"/>
      <c r="I84" s="16"/>
      <c r="J84" s="16"/>
    </row>
    <row r="85">
      <c r="A85" s="16" t="s">
        <v>174</v>
      </c>
      <c r="B85" s="16"/>
      <c r="H85" s="16"/>
      <c r="I85" s="16"/>
      <c r="J85" s="16"/>
    </row>
    <row r="86">
      <c r="A86" s="16" t="s">
        <v>174</v>
      </c>
      <c r="B86" s="16"/>
      <c r="H86" s="16"/>
      <c r="I86" s="16"/>
      <c r="J86" s="16"/>
    </row>
    <row r="87">
      <c r="A87" s="16" t="s">
        <v>174</v>
      </c>
      <c r="B87" s="16"/>
      <c r="H87" s="16"/>
      <c r="I87" s="16"/>
      <c r="J87" s="16"/>
    </row>
    <row r="88">
      <c r="A88" s="16" t="s">
        <v>174</v>
      </c>
      <c r="B88" s="16"/>
      <c r="H88" s="16"/>
      <c r="I88" s="16"/>
      <c r="J88" s="16"/>
    </row>
    <row r="89">
      <c r="A89" s="16" t="s">
        <v>174</v>
      </c>
      <c r="B89" s="16"/>
      <c r="H89" s="16"/>
      <c r="I89" s="16"/>
      <c r="J89" s="16"/>
    </row>
    <row r="90">
      <c r="A90" s="16" t="s">
        <v>174</v>
      </c>
      <c r="B90" s="16"/>
      <c r="H90" s="16"/>
      <c r="I90" s="16"/>
      <c r="J90" s="16"/>
    </row>
    <row r="91">
      <c r="A91" s="16" t="s">
        <v>174</v>
      </c>
      <c r="B91" s="16"/>
      <c r="H91" s="16"/>
      <c r="I91" s="16"/>
      <c r="J91" s="16"/>
    </row>
    <row r="92">
      <c r="A92" s="16" t="s">
        <v>174</v>
      </c>
      <c r="B92" s="16"/>
      <c r="H92" s="16"/>
      <c r="I92" s="16"/>
      <c r="J92" s="16"/>
    </row>
    <row r="93">
      <c r="A93" s="16" t="s">
        <v>174</v>
      </c>
      <c r="B93" s="16"/>
      <c r="H93" s="16"/>
      <c r="I93" s="16"/>
      <c r="J93" s="16"/>
    </row>
    <row r="94">
      <c r="A94" s="16" t="s">
        <v>174</v>
      </c>
      <c r="B94" s="16"/>
      <c r="H94" s="16"/>
      <c r="I94" s="16"/>
      <c r="J94" s="16"/>
    </row>
    <row r="95">
      <c r="A95" s="16" t="s">
        <v>174</v>
      </c>
      <c r="B95" s="16"/>
      <c r="H95" s="16"/>
      <c r="I95" s="16"/>
      <c r="J95" s="16"/>
    </row>
    <row r="96">
      <c r="A96" s="16" t="s">
        <v>174</v>
      </c>
      <c r="B96" s="16"/>
      <c r="H96" s="16"/>
      <c r="I96" s="16"/>
      <c r="J96" s="16"/>
    </row>
    <row r="97">
      <c r="A97" s="16" t="s">
        <v>174</v>
      </c>
      <c r="B97" s="16"/>
      <c r="H97" s="16"/>
      <c r="I97" s="16"/>
      <c r="J97" s="16"/>
    </row>
    <row r="98">
      <c r="A98" s="16" t="s">
        <v>174</v>
      </c>
      <c r="B98" s="16"/>
      <c r="H98" s="16"/>
      <c r="I98" s="16"/>
      <c r="J98" s="16"/>
    </row>
    <row r="99">
      <c r="A99" s="16" t="s">
        <v>174</v>
      </c>
      <c r="B99" s="16"/>
      <c r="H99" s="16"/>
      <c r="I99" s="16"/>
      <c r="J99" s="16"/>
    </row>
    <row r="100">
      <c r="A100" s="16" t="s">
        <v>174</v>
      </c>
      <c r="B100" s="16"/>
      <c r="H100" s="16"/>
      <c r="I100" s="16"/>
      <c r="J100" s="16"/>
    </row>
    <row r="101">
      <c r="A101" s="16" t="s">
        <v>174</v>
      </c>
      <c r="B101" s="16"/>
      <c r="H101" s="16"/>
      <c r="I101" s="16"/>
      <c r="J101" s="16"/>
    </row>
    <row r="102">
      <c r="A102" s="16" t="s">
        <v>174</v>
      </c>
      <c r="B102" s="16"/>
      <c r="H102" s="16"/>
      <c r="I102" s="16"/>
      <c r="J102" s="16"/>
    </row>
    <row r="103">
      <c r="A103" s="16" t="s">
        <v>174</v>
      </c>
      <c r="B103" s="16"/>
      <c r="H103" s="16"/>
      <c r="I103" s="16"/>
      <c r="J103" s="16"/>
    </row>
    <row r="104">
      <c r="A104" s="16" t="s">
        <v>174</v>
      </c>
      <c r="B104" s="16"/>
      <c r="H104" s="16"/>
      <c r="I104" s="16"/>
      <c r="J104" s="16"/>
    </row>
    <row r="105">
      <c r="A105" s="16" t="s">
        <v>174</v>
      </c>
      <c r="B105" s="16"/>
      <c r="H105" s="16"/>
      <c r="I105" s="16"/>
      <c r="J105" s="16"/>
    </row>
    <row r="106">
      <c r="A106" s="16" t="s">
        <v>174</v>
      </c>
      <c r="B106" s="16"/>
      <c r="H106" s="16"/>
      <c r="I106" s="16"/>
      <c r="J106" s="16"/>
    </row>
    <row r="107">
      <c r="A107" s="16" t="s">
        <v>174</v>
      </c>
      <c r="B107" s="16"/>
      <c r="H107" s="16"/>
      <c r="I107" s="16"/>
      <c r="J107" s="16"/>
    </row>
    <row r="108">
      <c r="A108" s="16" t="s">
        <v>174</v>
      </c>
      <c r="B108" s="16"/>
      <c r="H108" s="16"/>
      <c r="I108" s="16"/>
      <c r="J108" s="16"/>
    </row>
    <row r="109">
      <c r="A109" s="16" t="s">
        <v>174</v>
      </c>
      <c r="B109" s="16"/>
      <c r="H109" s="16"/>
      <c r="I109" s="16"/>
      <c r="J109" s="16"/>
    </row>
    <row r="110">
      <c r="A110" s="16" t="s">
        <v>174</v>
      </c>
      <c r="B110" s="16"/>
      <c r="H110" s="16"/>
      <c r="I110" s="16"/>
      <c r="J110" s="16"/>
    </row>
    <row r="111">
      <c r="A111" s="16" t="s">
        <v>174</v>
      </c>
      <c r="B111" s="16"/>
      <c r="H111" s="16"/>
      <c r="I111" s="16"/>
      <c r="J111" s="16"/>
    </row>
    <row r="112">
      <c r="A112" s="16" t="s">
        <v>174</v>
      </c>
      <c r="B112" s="16"/>
      <c r="H112" s="16"/>
      <c r="I112" s="16"/>
      <c r="J112" s="16"/>
    </row>
    <row r="113">
      <c r="A113" s="16" t="s">
        <v>174</v>
      </c>
      <c r="B113" s="16"/>
      <c r="H113" s="16"/>
      <c r="I113" s="16"/>
      <c r="J113" s="16"/>
    </row>
    <row r="114">
      <c r="A114" s="16" t="s">
        <v>174</v>
      </c>
      <c r="B114" s="16"/>
      <c r="H114" s="16"/>
      <c r="I114" s="16"/>
      <c r="J114" s="16"/>
    </row>
    <row r="115">
      <c r="A115" s="16" t="s">
        <v>174</v>
      </c>
      <c r="B115" s="16"/>
      <c r="H115" s="16"/>
      <c r="I115" s="16"/>
      <c r="J115" s="16"/>
    </row>
    <row r="116">
      <c r="A116" s="16" t="s">
        <v>174</v>
      </c>
      <c r="B116" s="16"/>
      <c r="H116" s="16"/>
      <c r="I116" s="16"/>
      <c r="J116" s="16"/>
    </row>
    <row r="117">
      <c r="A117" s="16" t="s">
        <v>174</v>
      </c>
      <c r="B117" s="16"/>
      <c r="H117" s="16"/>
      <c r="I117" s="16"/>
      <c r="J117" s="16"/>
    </row>
    <row r="118">
      <c r="A118" s="16" t="s">
        <v>174</v>
      </c>
      <c r="B118" s="16"/>
      <c r="H118" s="16"/>
      <c r="I118" s="16"/>
      <c r="J118" s="16"/>
    </row>
    <row r="119">
      <c r="A119" s="16" t="s">
        <v>174</v>
      </c>
      <c r="B119" s="16"/>
      <c r="H119" s="16"/>
      <c r="I119" s="16"/>
      <c r="J119" s="16"/>
    </row>
    <row r="120">
      <c r="A120" s="16" t="s">
        <v>174</v>
      </c>
      <c r="B120" s="16"/>
      <c r="H120" s="16"/>
      <c r="I120" s="16"/>
      <c r="J120" s="16"/>
    </row>
    <row r="121">
      <c r="A121" s="16" t="s">
        <v>174</v>
      </c>
      <c r="B121" s="16"/>
      <c r="H121" s="16"/>
      <c r="I121" s="16"/>
      <c r="J121" s="16"/>
    </row>
    <row r="122">
      <c r="A122" s="16" t="s">
        <v>174</v>
      </c>
      <c r="B122" s="16"/>
      <c r="H122" s="16"/>
      <c r="I122" s="16"/>
      <c r="J122" s="16"/>
    </row>
    <row r="123">
      <c r="A123" s="16" t="s">
        <v>174</v>
      </c>
      <c r="B123" s="16"/>
      <c r="H123" s="16"/>
      <c r="I123" s="16"/>
      <c r="J123" s="16"/>
    </row>
    <row r="124">
      <c r="A124" s="16" t="s">
        <v>174</v>
      </c>
      <c r="B124" s="16"/>
      <c r="H124" s="16"/>
      <c r="I124" s="16"/>
      <c r="J124" s="16"/>
    </row>
    <row r="125">
      <c r="A125" s="16" t="s">
        <v>174</v>
      </c>
      <c r="B125" s="16"/>
      <c r="H125" s="16"/>
      <c r="I125" s="16"/>
      <c r="J125" s="16"/>
    </row>
    <row r="126">
      <c r="A126" s="16" t="s">
        <v>174</v>
      </c>
      <c r="B126" s="16"/>
      <c r="H126" s="16"/>
      <c r="I126" s="16"/>
      <c r="J126" s="16"/>
    </row>
    <row r="127">
      <c r="A127" s="16" t="s">
        <v>174</v>
      </c>
      <c r="B127" s="16"/>
      <c r="H127" s="16"/>
      <c r="I127" s="16"/>
      <c r="J127" s="16"/>
    </row>
    <row r="128">
      <c r="A128" s="16" t="s">
        <v>174</v>
      </c>
      <c r="B128" s="16"/>
      <c r="H128" s="16"/>
      <c r="I128" s="16"/>
      <c r="J128" s="16"/>
    </row>
    <row r="129">
      <c r="A129" s="16" t="s">
        <v>174</v>
      </c>
      <c r="B129" s="16"/>
      <c r="H129" s="16"/>
      <c r="I129" s="16"/>
      <c r="J129" s="16"/>
    </row>
    <row r="130">
      <c r="A130" s="16" t="s">
        <v>174</v>
      </c>
      <c r="B130" s="16"/>
      <c r="H130" s="16"/>
      <c r="I130" s="16"/>
      <c r="J130" s="16"/>
    </row>
    <row r="131">
      <c r="A131" s="16" t="s">
        <v>174</v>
      </c>
      <c r="B131" s="16"/>
      <c r="H131" s="16"/>
      <c r="I131" s="16"/>
      <c r="J131" s="16"/>
    </row>
    <row r="132">
      <c r="A132" s="16" t="s">
        <v>174</v>
      </c>
      <c r="B132" s="16"/>
      <c r="H132" s="16"/>
      <c r="I132" s="16"/>
      <c r="J132" s="16"/>
    </row>
    <row r="133">
      <c r="A133" s="16" t="s">
        <v>174</v>
      </c>
      <c r="B133" s="16"/>
      <c r="H133" s="16"/>
      <c r="I133" s="16"/>
      <c r="J133" s="16"/>
    </row>
    <row r="134">
      <c r="A134" s="16" t="s">
        <v>174</v>
      </c>
      <c r="B134" s="16"/>
      <c r="H134" s="16"/>
      <c r="I134" s="16"/>
      <c r="J134" s="16"/>
    </row>
    <row r="135">
      <c r="A135" s="16" t="s">
        <v>174</v>
      </c>
      <c r="B135" s="16"/>
      <c r="H135" s="16"/>
      <c r="I135" s="16"/>
      <c r="J135" s="16"/>
    </row>
    <row r="136">
      <c r="A136" s="16" t="s">
        <v>174</v>
      </c>
      <c r="B136" s="16"/>
      <c r="H136" s="16"/>
      <c r="I136" s="16"/>
      <c r="J136" s="16"/>
    </row>
    <row r="137">
      <c r="A137" s="16" t="s">
        <v>174</v>
      </c>
      <c r="B137" s="16"/>
      <c r="H137" s="16"/>
      <c r="I137" s="16"/>
      <c r="J137" s="16"/>
    </row>
    <row r="138">
      <c r="A138" s="16" t="s">
        <v>174</v>
      </c>
      <c r="B138" s="16"/>
      <c r="H138" s="16"/>
      <c r="I138" s="16"/>
      <c r="J138" s="16"/>
    </row>
    <row r="139">
      <c r="A139" s="16" t="s">
        <v>174</v>
      </c>
      <c r="B139" s="16"/>
      <c r="H139" s="16"/>
      <c r="I139" s="16"/>
      <c r="J139" s="16"/>
    </row>
    <row r="140">
      <c r="A140" s="16" t="s">
        <v>174</v>
      </c>
      <c r="B140" s="16"/>
      <c r="H140" s="16"/>
      <c r="I140" s="16"/>
      <c r="J140" s="16"/>
    </row>
    <row r="141">
      <c r="A141" s="16" t="s">
        <v>174</v>
      </c>
      <c r="B141" s="16"/>
      <c r="H141" s="16"/>
      <c r="I141" s="16"/>
      <c r="J141" s="16"/>
    </row>
    <row r="142">
      <c r="A142" s="16" t="s">
        <v>174</v>
      </c>
      <c r="B142" s="16"/>
      <c r="H142" s="16"/>
      <c r="I142" s="16"/>
      <c r="J142" s="16"/>
    </row>
    <row r="143">
      <c r="A143" s="16" t="s">
        <v>174</v>
      </c>
      <c r="B143" s="16"/>
      <c r="H143" s="16"/>
      <c r="I143" s="16"/>
      <c r="J143" s="16"/>
    </row>
    <row r="144">
      <c r="A144" s="16" t="s">
        <v>174</v>
      </c>
      <c r="B144" s="16"/>
      <c r="H144" s="16"/>
      <c r="I144" s="16"/>
      <c r="J144" s="16"/>
    </row>
    <row r="145">
      <c r="A145" s="16" t="s">
        <v>174</v>
      </c>
      <c r="B145" s="16"/>
      <c r="H145" s="16"/>
      <c r="I145" s="16"/>
      <c r="J145" s="16"/>
    </row>
    <row r="146">
      <c r="A146" s="16" t="s">
        <v>174</v>
      </c>
      <c r="B146" s="16"/>
      <c r="H146" s="16"/>
      <c r="I146" s="16"/>
      <c r="J146" s="16"/>
    </row>
    <row r="147">
      <c r="A147" s="16" t="s">
        <v>174</v>
      </c>
      <c r="B147" s="16"/>
      <c r="H147" s="16"/>
      <c r="I147" s="16"/>
      <c r="J147" s="16"/>
    </row>
    <row r="148">
      <c r="A148" s="16" t="s">
        <v>174</v>
      </c>
      <c r="B148" s="16"/>
      <c r="H148" s="16"/>
      <c r="I148" s="16"/>
      <c r="J148" s="16"/>
    </row>
    <row r="149">
      <c r="A149" s="16" t="s">
        <v>174</v>
      </c>
      <c r="B149" s="16"/>
      <c r="H149" s="16"/>
      <c r="I149" s="16"/>
      <c r="J149" s="16"/>
    </row>
    <row r="150">
      <c r="A150" s="16" t="s">
        <v>174</v>
      </c>
      <c r="B150" s="16"/>
      <c r="H150" s="16"/>
      <c r="I150" s="16"/>
      <c r="J150" s="16"/>
    </row>
    <row r="151">
      <c r="A151" s="16" t="s">
        <v>174</v>
      </c>
      <c r="B151" s="16"/>
      <c r="H151" s="16"/>
      <c r="I151" s="16"/>
      <c r="J151" s="16"/>
    </row>
    <row r="152">
      <c r="A152" s="16" t="s">
        <v>174</v>
      </c>
      <c r="B152" s="16"/>
      <c r="H152" s="16"/>
      <c r="I152" s="16"/>
      <c r="J152" s="16"/>
    </row>
    <row r="153">
      <c r="A153" s="16" t="s">
        <v>174</v>
      </c>
      <c r="B153" s="16"/>
      <c r="H153" s="16"/>
      <c r="I153" s="16"/>
      <c r="J153" s="16"/>
    </row>
    <row r="154">
      <c r="A154" s="16" t="s">
        <v>174</v>
      </c>
      <c r="B154" s="16"/>
      <c r="H154" s="16"/>
      <c r="I154" s="16"/>
      <c r="J154" s="16"/>
    </row>
    <row r="155">
      <c r="A155" s="16" t="s">
        <v>174</v>
      </c>
      <c r="B155" s="16"/>
      <c r="H155" s="16"/>
      <c r="I155" s="16"/>
      <c r="J155" s="16"/>
    </row>
    <row r="156">
      <c r="A156" s="16" t="s">
        <v>174</v>
      </c>
      <c r="B156" s="16"/>
      <c r="H156" s="16"/>
      <c r="I156" s="16"/>
      <c r="J156" s="16"/>
    </row>
    <row r="157">
      <c r="A157" s="16" t="s">
        <v>174</v>
      </c>
      <c r="B157" s="16"/>
      <c r="H157" s="16"/>
      <c r="I157" s="16"/>
      <c r="J157" s="16"/>
    </row>
    <row r="158">
      <c r="A158" s="16" t="s">
        <v>174</v>
      </c>
      <c r="B158" s="16"/>
      <c r="H158" s="16"/>
      <c r="I158" s="16"/>
      <c r="J158" s="16"/>
    </row>
    <row r="159">
      <c r="A159" s="16" t="s">
        <v>174</v>
      </c>
      <c r="B159" s="16"/>
      <c r="H159" s="16"/>
      <c r="I159" s="16"/>
      <c r="J159" s="16"/>
    </row>
    <row r="160">
      <c r="A160" s="16" t="s">
        <v>174</v>
      </c>
      <c r="B160" s="16"/>
      <c r="H160" s="16"/>
      <c r="I160" s="16"/>
      <c r="J160" s="16"/>
    </row>
    <row r="161">
      <c r="A161" s="16" t="s">
        <v>174</v>
      </c>
      <c r="B161" s="16"/>
      <c r="H161" s="16"/>
      <c r="I161" s="16"/>
      <c r="J161" s="16"/>
    </row>
    <row r="162">
      <c r="A162" s="16" t="s">
        <v>174</v>
      </c>
      <c r="B162" s="16"/>
      <c r="H162" s="16"/>
      <c r="I162" s="16"/>
      <c r="J162" s="16"/>
    </row>
    <row r="163">
      <c r="A163" s="16" t="s">
        <v>174</v>
      </c>
      <c r="B163" s="16"/>
      <c r="H163" s="16"/>
      <c r="I163" s="16"/>
      <c r="J163" s="16"/>
    </row>
    <row r="164">
      <c r="A164" s="16" t="s">
        <v>174</v>
      </c>
      <c r="B164" s="16"/>
      <c r="H164" s="16"/>
      <c r="I164" s="16"/>
      <c r="J164" s="16"/>
    </row>
    <row r="165">
      <c r="A165" s="16" t="s">
        <v>174</v>
      </c>
      <c r="B165" s="16"/>
      <c r="H165" s="16"/>
      <c r="I165" s="16"/>
      <c r="J165" s="16"/>
    </row>
    <row r="166">
      <c r="A166" s="16" t="s">
        <v>174</v>
      </c>
      <c r="B166" s="16"/>
      <c r="H166" s="16"/>
      <c r="I166" s="16"/>
      <c r="J166" s="16"/>
    </row>
    <row r="167">
      <c r="A167" s="16" t="s">
        <v>174</v>
      </c>
      <c r="B167" s="16"/>
      <c r="H167" s="16"/>
      <c r="I167" s="16"/>
      <c r="J167" s="16"/>
    </row>
    <row r="168">
      <c r="A168" s="16" t="s">
        <v>174</v>
      </c>
      <c r="B168" s="16"/>
      <c r="H168" s="16"/>
      <c r="I168" s="16"/>
      <c r="J168" s="16"/>
    </row>
    <row r="169">
      <c r="A169" s="16" t="s">
        <v>174</v>
      </c>
      <c r="B169" s="16"/>
      <c r="H169" s="16"/>
      <c r="I169" s="16"/>
      <c r="J169" s="16"/>
    </row>
    <row r="170">
      <c r="A170" s="16" t="s">
        <v>174</v>
      </c>
      <c r="B170" s="16"/>
      <c r="H170" s="16"/>
      <c r="I170" s="16"/>
      <c r="J170" s="16"/>
    </row>
    <row r="171">
      <c r="A171" s="16" t="s">
        <v>174</v>
      </c>
      <c r="B171" s="16"/>
      <c r="H171" s="16"/>
      <c r="I171" s="16"/>
      <c r="J171" s="16"/>
    </row>
    <row r="172">
      <c r="A172" s="16" t="s">
        <v>174</v>
      </c>
      <c r="B172" s="16"/>
      <c r="H172" s="16"/>
      <c r="I172" s="16"/>
      <c r="J172" s="16"/>
    </row>
    <row r="173">
      <c r="A173" s="16" t="s">
        <v>174</v>
      </c>
      <c r="B173" s="16"/>
      <c r="H173" s="16"/>
      <c r="I173" s="16"/>
      <c r="J173" s="16"/>
    </row>
    <row r="174">
      <c r="A174" s="16" t="s">
        <v>174</v>
      </c>
      <c r="B174" s="16"/>
      <c r="H174" s="16"/>
      <c r="I174" s="16"/>
      <c r="J174" s="16"/>
    </row>
    <row r="175">
      <c r="A175" s="16" t="s">
        <v>174</v>
      </c>
      <c r="B175" s="16"/>
      <c r="H175" s="16"/>
      <c r="I175" s="16"/>
      <c r="J175" s="16"/>
    </row>
    <row r="176">
      <c r="A176" s="16" t="s">
        <v>174</v>
      </c>
      <c r="B176" s="16"/>
      <c r="H176" s="16"/>
      <c r="I176" s="16"/>
      <c r="J176" s="16"/>
    </row>
    <row r="177">
      <c r="A177" s="16" t="s">
        <v>174</v>
      </c>
      <c r="B177" s="16"/>
      <c r="H177" s="16"/>
      <c r="I177" s="16"/>
      <c r="J177" s="16"/>
    </row>
    <row r="178">
      <c r="A178" s="16" t="s">
        <v>174</v>
      </c>
      <c r="B178" s="16"/>
      <c r="H178" s="16"/>
      <c r="I178" s="16"/>
      <c r="J178" s="16"/>
    </row>
    <row r="179">
      <c r="A179" s="16" t="s">
        <v>174</v>
      </c>
      <c r="B179" s="16"/>
      <c r="H179" s="16"/>
      <c r="I179" s="16"/>
      <c r="J179" s="16"/>
    </row>
    <row r="180">
      <c r="A180" s="16" t="s">
        <v>174</v>
      </c>
      <c r="B180" s="16"/>
      <c r="H180" s="16"/>
      <c r="I180" s="16"/>
      <c r="J180" s="16"/>
    </row>
    <row r="181">
      <c r="A181" s="16" t="s">
        <v>174</v>
      </c>
      <c r="B181" s="16"/>
      <c r="H181" s="16"/>
      <c r="I181" s="16"/>
      <c r="J181" s="16"/>
    </row>
    <row r="182">
      <c r="A182" s="16" t="s">
        <v>174</v>
      </c>
      <c r="B182" s="16"/>
      <c r="H182" s="16"/>
      <c r="I182" s="16"/>
      <c r="J182" s="16"/>
    </row>
    <row r="183">
      <c r="A183" s="16" t="s">
        <v>174</v>
      </c>
      <c r="B183" s="16"/>
      <c r="H183" s="16"/>
      <c r="I183" s="16"/>
      <c r="J183" s="16"/>
    </row>
    <row r="184">
      <c r="A184" s="16" t="s">
        <v>174</v>
      </c>
      <c r="B184" s="16"/>
      <c r="H184" s="16"/>
      <c r="I184" s="16"/>
      <c r="J184" s="16"/>
    </row>
    <row r="185">
      <c r="A185" s="16" t="s">
        <v>174</v>
      </c>
      <c r="B185" s="16"/>
      <c r="H185" s="16"/>
      <c r="I185" s="16"/>
      <c r="J185" s="16"/>
    </row>
    <row r="186">
      <c r="A186" s="16" t="s">
        <v>174</v>
      </c>
      <c r="B186" s="16"/>
      <c r="H186" s="16"/>
      <c r="I186" s="16"/>
      <c r="J186" s="16"/>
    </row>
    <row r="187">
      <c r="A187" s="16" t="s">
        <v>174</v>
      </c>
      <c r="B187" s="16"/>
      <c r="H187" s="16"/>
      <c r="I187" s="16"/>
      <c r="J187" s="16"/>
    </row>
    <row r="188">
      <c r="A188" s="16" t="s">
        <v>174</v>
      </c>
      <c r="B188" s="16"/>
      <c r="H188" s="16"/>
      <c r="I188" s="16"/>
      <c r="J188" s="16"/>
    </row>
    <row r="189">
      <c r="A189" s="16" t="s">
        <v>174</v>
      </c>
      <c r="B189" s="16"/>
      <c r="H189" s="16"/>
      <c r="I189" s="16"/>
      <c r="J189" s="16"/>
    </row>
    <row r="190">
      <c r="A190" s="16" t="s">
        <v>174</v>
      </c>
      <c r="B190" s="16"/>
      <c r="H190" s="16"/>
      <c r="I190" s="16"/>
      <c r="J190" s="16"/>
    </row>
    <row r="191">
      <c r="A191" s="16" t="s">
        <v>174</v>
      </c>
      <c r="B191" s="16"/>
      <c r="H191" s="16"/>
      <c r="I191" s="16"/>
      <c r="J191" s="16"/>
    </row>
    <row r="192">
      <c r="A192" s="16" t="s">
        <v>174</v>
      </c>
      <c r="B192" s="16"/>
      <c r="H192" s="16"/>
      <c r="I192" s="16"/>
      <c r="J192" s="16"/>
    </row>
    <row r="193">
      <c r="A193" s="16" t="s">
        <v>174</v>
      </c>
      <c r="B193" s="16"/>
      <c r="H193" s="16"/>
      <c r="I193" s="16"/>
      <c r="J193" s="16"/>
    </row>
    <row r="194">
      <c r="A194" s="16" t="s">
        <v>174</v>
      </c>
      <c r="B194" s="16"/>
      <c r="H194" s="16"/>
      <c r="I194" s="16"/>
      <c r="J194" s="16"/>
    </row>
    <row r="195">
      <c r="A195" s="16" t="s">
        <v>174</v>
      </c>
      <c r="B195" s="16"/>
      <c r="H195" s="16"/>
      <c r="I195" s="16"/>
      <c r="J195" s="16"/>
    </row>
    <row r="196">
      <c r="A196" s="16" t="s">
        <v>174</v>
      </c>
      <c r="B196" s="16"/>
      <c r="H196" s="16"/>
      <c r="I196" s="16"/>
      <c r="J196" s="16"/>
    </row>
    <row r="197">
      <c r="A197" s="16" t="s">
        <v>174</v>
      </c>
      <c r="B197" s="16"/>
      <c r="H197" s="16"/>
      <c r="I197" s="16"/>
      <c r="J197" s="16"/>
    </row>
    <row r="198">
      <c r="A198" s="16" t="s">
        <v>174</v>
      </c>
      <c r="B198" s="16"/>
      <c r="H198" s="16"/>
      <c r="I198" s="16"/>
      <c r="J198" s="16"/>
    </row>
    <row r="199">
      <c r="A199" s="16" t="s">
        <v>174</v>
      </c>
      <c r="B199" s="16"/>
      <c r="H199" s="16"/>
      <c r="I199" s="16"/>
      <c r="J199" s="16"/>
    </row>
    <row r="200">
      <c r="A200" s="16" t="s">
        <v>174</v>
      </c>
      <c r="B200" s="16"/>
      <c r="H200" s="16"/>
      <c r="I200" s="16"/>
      <c r="J200" s="16"/>
    </row>
    <row r="201">
      <c r="A201" s="16" t="s">
        <v>174</v>
      </c>
      <c r="B201" s="16"/>
      <c r="H201" s="16"/>
      <c r="I201" s="16"/>
      <c r="J201" s="16"/>
    </row>
    <row r="202">
      <c r="A202" s="16" t="s">
        <v>174</v>
      </c>
      <c r="B202" s="16"/>
      <c r="H202" s="16"/>
      <c r="I202" s="16"/>
      <c r="J202" s="16"/>
    </row>
    <row r="203">
      <c r="A203" s="16" t="s">
        <v>174</v>
      </c>
      <c r="B203" s="16"/>
      <c r="H203" s="16"/>
      <c r="I203" s="16"/>
      <c r="J203" s="16"/>
    </row>
    <row r="204">
      <c r="A204" s="16" t="s">
        <v>174</v>
      </c>
      <c r="B204" s="16"/>
      <c r="H204" s="16"/>
      <c r="I204" s="16"/>
      <c r="J204" s="16"/>
    </row>
    <row r="205">
      <c r="A205" s="16" t="s">
        <v>174</v>
      </c>
      <c r="B205" s="16"/>
      <c r="H205" s="16"/>
      <c r="I205" s="16"/>
      <c r="J205" s="16"/>
    </row>
    <row r="206">
      <c r="A206" s="16" t="s">
        <v>174</v>
      </c>
      <c r="B206" s="16"/>
      <c r="H206" s="16"/>
      <c r="I206" s="16"/>
      <c r="J206" s="16"/>
    </row>
    <row r="207">
      <c r="A207" s="16" t="s">
        <v>174</v>
      </c>
      <c r="B207" s="16"/>
      <c r="H207" s="16"/>
      <c r="I207" s="16"/>
      <c r="J207" s="16"/>
    </row>
    <row r="208">
      <c r="A208" s="16" t="s">
        <v>174</v>
      </c>
      <c r="B208" s="16"/>
      <c r="H208" s="16"/>
      <c r="I208" s="16"/>
      <c r="J208" s="16"/>
    </row>
    <row r="209">
      <c r="A209" s="16" t="s">
        <v>174</v>
      </c>
      <c r="B209" s="16"/>
      <c r="H209" s="16"/>
      <c r="I209" s="16"/>
      <c r="J209" s="16"/>
    </row>
    <row r="210">
      <c r="A210" s="16" t="s">
        <v>174</v>
      </c>
      <c r="B210" s="16"/>
      <c r="H210" s="16"/>
      <c r="I210" s="16"/>
      <c r="J210" s="16"/>
    </row>
    <row r="211">
      <c r="A211" s="16" t="s">
        <v>174</v>
      </c>
      <c r="B211" s="16"/>
      <c r="H211" s="16"/>
      <c r="I211" s="16"/>
      <c r="J211" s="16"/>
    </row>
    <row r="212">
      <c r="A212" s="16" t="s">
        <v>174</v>
      </c>
      <c r="B212" s="16"/>
      <c r="H212" s="16"/>
      <c r="I212" s="16"/>
      <c r="J212" s="16"/>
    </row>
    <row r="213">
      <c r="A213" s="16" t="s">
        <v>174</v>
      </c>
      <c r="B213" s="16"/>
      <c r="H213" s="16"/>
      <c r="I213" s="16"/>
      <c r="J213" s="16"/>
    </row>
    <row r="214">
      <c r="A214" s="16" t="s">
        <v>174</v>
      </c>
      <c r="B214" s="16"/>
      <c r="H214" s="16"/>
      <c r="I214" s="16"/>
      <c r="J214" s="16"/>
    </row>
    <row r="215">
      <c r="A215" s="16" t="s">
        <v>174</v>
      </c>
      <c r="B215" s="16"/>
      <c r="H215" s="16"/>
      <c r="I215" s="16"/>
      <c r="J215" s="16"/>
    </row>
    <row r="216">
      <c r="A216" s="16" t="s">
        <v>174</v>
      </c>
      <c r="B216" s="16"/>
      <c r="H216" s="16"/>
      <c r="I216" s="16"/>
      <c r="J216" s="16"/>
    </row>
    <row r="217">
      <c r="A217" s="16" t="s">
        <v>174</v>
      </c>
      <c r="B217" s="16"/>
      <c r="H217" s="16"/>
      <c r="I217" s="16"/>
      <c r="J217" s="16"/>
    </row>
    <row r="218">
      <c r="A218" s="16" t="s">
        <v>174</v>
      </c>
      <c r="B218" s="16"/>
      <c r="H218" s="16"/>
      <c r="I218" s="16"/>
      <c r="J218" s="16"/>
    </row>
    <row r="219">
      <c r="A219" s="16" t="s">
        <v>174</v>
      </c>
      <c r="B219" s="16"/>
      <c r="H219" s="16"/>
      <c r="I219" s="16"/>
      <c r="J219" s="16"/>
    </row>
    <row r="220">
      <c r="A220" s="16" t="s">
        <v>174</v>
      </c>
      <c r="B220" s="16"/>
      <c r="H220" s="16"/>
      <c r="I220" s="16"/>
      <c r="J220" s="16"/>
    </row>
    <row r="221">
      <c r="A221" s="16" t="s">
        <v>174</v>
      </c>
      <c r="B221" s="16"/>
      <c r="H221" s="16"/>
      <c r="I221" s="16"/>
      <c r="J221" s="16"/>
    </row>
    <row r="222">
      <c r="A222" s="16" t="s">
        <v>174</v>
      </c>
      <c r="B222" s="16"/>
      <c r="H222" s="16"/>
      <c r="I222" s="16"/>
      <c r="J222" s="16"/>
    </row>
    <row r="223">
      <c r="A223" s="16" t="s">
        <v>174</v>
      </c>
      <c r="B223" s="16"/>
      <c r="H223" s="16"/>
      <c r="I223" s="16"/>
      <c r="J223" s="16"/>
    </row>
    <row r="224">
      <c r="A224" s="16" t="s">
        <v>174</v>
      </c>
      <c r="B224" s="16"/>
      <c r="H224" s="16"/>
      <c r="I224" s="16"/>
      <c r="J224" s="16"/>
    </row>
    <row r="225">
      <c r="A225" s="16" t="s">
        <v>174</v>
      </c>
      <c r="B225" s="16"/>
      <c r="H225" s="16"/>
      <c r="I225" s="16"/>
      <c r="J225" s="16"/>
    </row>
    <row r="226">
      <c r="A226" s="16" t="s">
        <v>174</v>
      </c>
      <c r="B226" s="16"/>
      <c r="H226" s="16"/>
      <c r="I226" s="16"/>
      <c r="J226" s="16"/>
    </row>
    <row r="227">
      <c r="A227" s="16" t="s">
        <v>174</v>
      </c>
      <c r="B227" s="16"/>
      <c r="H227" s="16"/>
      <c r="I227" s="16"/>
      <c r="J227" s="16"/>
    </row>
    <row r="228">
      <c r="A228" s="16" t="s">
        <v>174</v>
      </c>
      <c r="B228" s="16"/>
      <c r="H228" s="16"/>
      <c r="I228" s="16"/>
      <c r="J228" s="16"/>
    </row>
    <row r="229">
      <c r="A229" s="16" t="s">
        <v>174</v>
      </c>
      <c r="B229" s="16"/>
      <c r="H229" s="16"/>
      <c r="I229" s="16"/>
      <c r="J229" s="16"/>
    </row>
    <row r="230">
      <c r="A230" s="16" t="s">
        <v>174</v>
      </c>
      <c r="B230" s="16"/>
      <c r="H230" s="16"/>
      <c r="I230" s="16"/>
      <c r="J230" s="16"/>
    </row>
    <row r="231">
      <c r="A231" s="16" t="s">
        <v>174</v>
      </c>
      <c r="B231" s="16"/>
      <c r="H231" s="16"/>
      <c r="I231" s="16"/>
      <c r="J231" s="16"/>
    </row>
    <row r="232">
      <c r="A232" s="16" t="s">
        <v>174</v>
      </c>
      <c r="B232" s="16"/>
      <c r="H232" s="16"/>
      <c r="I232" s="16"/>
      <c r="J232" s="16"/>
    </row>
    <row r="233">
      <c r="A233" s="16" t="s">
        <v>174</v>
      </c>
      <c r="B233" s="16"/>
      <c r="H233" s="16"/>
      <c r="I233" s="16"/>
      <c r="J233" s="16"/>
    </row>
    <row r="234">
      <c r="A234" s="16" t="s">
        <v>174</v>
      </c>
      <c r="B234" s="16"/>
      <c r="H234" s="16"/>
      <c r="I234" s="16"/>
      <c r="J234" s="16"/>
    </row>
    <row r="235">
      <c r="A235" s="16" t="s">
        <v>174</v>
      </c>
      <c r="B235" s="16"/>
      <c r="H235" s="16"/>
      <c r="I235" s="16"/>
      <c r="J235" s="16"/>
    </row>
    <row r="236">
      <c r="A236" s="16" t="s">
        <v>174</v>
      </c>
      <c r="B236" s="16"/>
      <c r="H236" s="16"/>
      <c r="I236" s="16"/>
      <c r="J236" s="16"/>
    </row>
    <row r="237">
      <c r="A237" s="16" t="s">
        <v>174</v>
      </c>
      <c r="B237" s="16"/>
      <c r="H237" s="16"/>
      <c r="I237" s="16"/>
      <c r="J237" s="16"/>
    </row>
    <row r="238">
      <c r="A238" s="16" t="s">
        <v>174</v>
      </c>
      <c r="B238" s="16"/>
      <c r="H238" s="16"/>
      <c r="I238" s="16"/>
      <c r="J238" s="16"/>
    </row>
    <row r="239">
      <c r="A239" s="16" t="s">
        <v>174</v>
      </c>
      <c r="B239" s="16"/>
      <c r="H239" s="16"/>
      <c r="I239" s="16"/>
      <c r="J239" s="16"/>
    </row>
    <row r="240">
      <c r="A240" s="16" t="s">
        <v>174</v>
      </c>
      <c r="B240" s="16"/>
      <c r="H240" s="16"/>
      <c r="I240" s="16"/>
      <c r="J240" s="16"/>
    </row>
    <row r="241">
      <c r="A241" s="16" t="s">
        <v>174</v>
      </c>
      <c r="B241" s="16"/>
      <c r="H241" s="16"/>
      <c r="I241" s="16"/>
      <c r="J241" s="16"/>
    </row>
    <row r="242">
      <c r="A242" s="16" t="s">
        <v>174</v>
      </c>
      <c r="B242" s="16"/>
      <c r="H242" s="16"/>
      <c r="I242" s="16"/>
      <c r="J242" s="16"/>
    </row>
    <row r="243">
      <c r="A243" s="16" t="s">
        <v>174</v>
      </c>
      <c r="B243" s="16"/>
      <c r="H243" s="16"/>
      <c r="I243" s="16"/>
      <c r="J243" s="16"/>
    </row>
    <row r="244">
      <c r="A244" s="16" t="s">
        <v>174</v>
      </c>
      <c r="B244" s="16"/>
      <c r="H244" s="16"/>
      <c r="I244" s="16"/>
      <c r="J244" s="16"/>
    </row>
    <row r="245">
      <c r="A245" s="16" t="s">
        <v>174</v>
      </c>
      <c r="B245" s="16"/>
      <c r="H245" s="16"/>
      <c r="I245" s="16"/>
      <c r="J245" s="16"/>
    </row>
    <row r="246">
      <c r="A246" s="16" t="s">
        <v>174</v>
      </c>
      <c r="B246" s="16"/>
      <c r="H246" s="16"/>
      <c r="I246" s="16"/>
      <c r="J246" s="16"/>
    </row>
    <row r="247">
      <c r="A247" s="16" t="s">
        <v>174</v>
      </c>
      <c r="B247" s="16"/>
      <c r="H247" s="16"/>
      <c r="I247" s="16"/>
      <c r="J247" s="16"/>
    </row>
    <row r="248">
      <c r="A248" s="16" t="s">
        <v>174</v>
      </c>
      <c r="B248" s="16"/>
      <c r="H248" s="16"/>
      <c r="I248" s="16"/>
      <c r="J248" s="16"/>
    </row>
    <row r="249">
      <c r="A249" s="16" t="s">
        <v>174</v>
      </c>
      <c r="B249" s="16"/>
      <c r="H249" s="16"/>
      <c r="I249" s="16"/>
      <c r="J249" s="16"/>
    </row>
    <row r="250">
      <c r="A250" s="16" t="s">
        <v>174</v>
      </c>
      <c r="B250" s="16"/>
      <c r="H250" s="16"/>
      <c r="I250" s="16"/>
      <c r="J250" s="16"/>
    </row>
    <row r="251">
      <c r="A251" s="16" t="s">
        <v>174</v>
      </c>
      <c r="B251" s="16"/>
      <c r="H251" s="16"/>
      <c r="I251" s="16"/>
      <c r="J251" s="16"/>
    </row>
    <row r="252">
      <c r="A252" s="16" t="s">
        <v>174</v>
      </c>
      <c r="B252" s="16"/>
      <c r="H252" s="16"/>
      <c r="I252" s="16"/>
      <c r="J252" s="16"/>
    </row>
    <row r="253">
      <c r="A253" s="16" t="s">
        <v>174</v>
      </c>
      <c r="B253" s="16"/>
      <c r="H253" s="16"/>
      <c r="I253" s="16"/>
      <c r="J253" s="16"/>
    </row>
    <row r="254">
      <c r="A254" s="16" t="s">
        <v>174</v>
      </c>
      <c r="B254" s="16"/>
      <c r="H254" s="16"/>
      <c r="I254" s="16"/>
      <c r="J254" s="16"/>
    </row>
    <row r="255">
      <c r="A255" s="16" t="s">
        <v>174</v>
      </c>
      <c r="B255" s="16"/>
      <c r="H255" s="16"/>
      <c r="I255" s="16"/>
      <c r="J255" s="16"/>
    </row>
    <row r="256">
      <c r="A256" s="16" t="s">
        <v>174</v>
      </c>
      <c r="B256" s="16"/>
      <c r="H256" s="16"/>
      <c r="I256" s="16"/>
      <c r="J256" s="16"/>
    </row>
    <row r="257">
      <c r="A257" s="16" t="s">
        <v>174</v>
      </c>
      <c r="B257" s="16"/>
      <c r="H257" s="16"/>
      <c r="I257" s="16"/>
      <c r="J257" s="16"/>
    </row>
    <row r="258">
      <c r="A258" s="16" t="s">
        <v>174</v>
      </c>
      <c r="B258" s="16"/>
      <c r="H258" s="16"/>
      <c r="I258" s="16"/>
      <c r="J258" s="16"/>
    </row>
    <row r="259">
      <c r="A259" s="16" t="s">
        <v>174</v>
      </c>
      <c r="B259" s="16"/>
      <c r="H259" s="16"/>
      <c r="I259" s="16"/>
      <c r="J259" s="16"/>
    </row>
    <row r="260">
      <c r="A260" s="16" t="s">
        <v>174</v>
      </c>
      <c r="B260" s="16"/>
      <c r="H260" s="16"/>
      <c r="I260" s="16"/>
      <c r="J260" s="16"/>
    </row>
    <row r="261">
      <c r="A261" s="16" t="s">
        <v>174</v>
      </c>
      <c r="B261" s="16"/>
      <c r="H261" s="16"/>
      <c r="I261" s="16"/>
      <c r="J261" s="16"/>
    </row>
    <row r="262">
      <c r="A262" s="16" t="s">
        <v>174</v>
      </c>
      <c r="B262" s="16"/>
      <c r="H262" s="16"/>
      <c r="I262" s="16"/>
      <c r="J262" s="16"/>
    </row>
    <row r="263">
      <c r="A263" s="16" t="s">
        <v>174</v>
      </c>
      <c r="B263" s="16"/>
      <c r="H263" s="16"/>
      <c r="I263" s="16"/>
      <c r="J263" s="16"/>
    </row>
    <row r="264">
      <c r="A264" s="16" t="s">
        <v>174</v>
      </c>
      <c r="B264" s="16"/>
      <c r="H264" s="16"/>
      <c r="I264" s="16"/>
      <c r="J264" s="16"/>
    </row>
    <row r="265">
      <c r="A265" s="16" t="s">
        <v>174</v>
      </c>
      <c r="B265" s="16"/>
      <c r="H265" s="16"/>
      <c r="I265" s="16"/>
      <c r="J265" s="16"/>
    </row>
    <row r="266">
      <c r="A266" s="16" t="s">
        <v>174</v>
      </c>
      <c r="B266" s="16"/>
      <c r="H266" s="16"/>
      <c r="I266" s="16"/>
      <c r="J266" s="16"/>
    </row>
    <row r="267">
      <c r="A267" s="16" t="s">
        <v>174</v>
      </c>
      <c r="B267" s="16"/>
      <c r="H267" s="16"/>
      <c r="I267" s="16"/>
      <c r="J267" s="16"/>
    </row>
    <row r="268">
      <c r="A268" s="16" t="s">
        <v>174</v>
      </c>
      <c r="B268" s="16"/>
      <c r="H268" s="16"/>
      <c r="I268" s="16"/>
      <c r="J268" s="16"/>
    </row>
    <row r="269">
      <c r="A269" s="16" t="s">
        <v>174</v>
      </c>
      <c r="B269" s="16"/>
      <c r="H269" s="16"/>
      <c r="I269" s="16"/>
      <c r="J269" s="16"/>
    </row>
    <row r="270">
      <c r="A270" s="16" t="s">
        <v>174</v>
      </c>
      <c r="B270" s="16"/>
      <c r="H270" s="16"/>
      <c r="I270" s="16"/>
      <c r="J270" s="16"/>
    </row>
    <row r="271">
      <c r="A271" s="16" t="s">
        <v>174</v>
      </c>
      <c r="B271" s="16"/>
      <c r="H271" s="16"/>
      <c r="I271" s="16"/>
      <c r="J271" s="16"/>
    </row>
    <row r="272">
      <c r="A272" s="16" t="s">
        <v>174</v>
      </c>
      <c r="B272" s="16"/>
      <c r="H272" s="16"/>
      <c r="I272" s="16"/>
      <c r="J272" s="16"/>
    </row>
    <row r="273">
      <c r="A273" s="16" t="s">
        <v>174</v>
      </c>
      <c r="B273" s="16"/>
      <c r="H273" s="16"/>
      <c r="I273" s="16"/>
      <c r="J273" s="16"/>
    </row>
    <row r="274">
      <c r="A274" s="16" t="s">
        <v>174</v>
      </c>
      <c r="B274" s="16"/>
      <c r="H274" s="16"/>
      <c r="I274" s="16"/>
      <c r="J274" s="16"/>
    </row>
    <row r="275">
      <c r="A275" s="16" t="s">
        <v>174</v>
      </c>
      <c r="B275" s="16"/>
      <c r="H275" s="16"/>
      <c r="I275" s="16"/>
      <c r="J275" s="16"/>
    </row>
    <row r="276">
      <c r="A276" s="16" t="s">
        <v>174</v>
      </c>
      <c r="B276" s="16"/>
      <c r="H276" s="16"/>
      <c r="I276" s="16"/>
      <c r="J276" s="16"/>
    </row>
    <row r="277">
      <c r="A277" s="16" t="s">
        <v>174</v>
      </c>
      <c r="B277" s="16"/>
      <c r="H277" s="16"/>
      <c r="I277" s="16"/>
      <c r="J277" s="16"/>
    </row>
    <row r="278">
      <c r="A278" s="16" t="s">
        <v>174</v>
      </c>
      <c r="B278" s="16"/>
      <c r="H278" s="16"/>
      <c r="I278" s="16"/>
      <c r="J278" s="16"/>
    </row>
    <row r="279">
      <c r="A279" s="16" t="s">
        <v>174</v>
      </c>
      <c r="B279" s="16"/>
      <c r="H279" s="16"/>
      <c r="I279" s="16"/>
      <c r="J279" s="16"/>
    </row>
    <row r="280">
      <c r="A280" s="16" t="s">
        <v>174</v>
      </c>
      <c r="B280" s="16"/>
      <c r="H280" s="16"/>
      <c r="I280" s="16"/>
      <c r="J280" s="16"/>
    </row>
    <row r="281">
      <c r="A281" s="16" t="s">
        <v>174</v>
      </c>
      <c r="B281" s="16"/>
      <c r="H281" s="16"/>
      <c r="I281" s="16"/>
      <c r="J281" s="16"/>
    </row>
    <row r="282">
      <c r="A282" s="16" t="s">
        <v>174</v>
      </c>
      <c r="B282" s="16"/>
      <c r="H282" s="16"/>
      <c r="I282" s="16"/>
      <c r="J282" s="16"/>
    </row>
    <row r="283">
      <c r="A283" s="16" t="s">
        <v>174</v>
      </c>
      <c r="B283" s="16"/>
      <c r="H283" s="16"/>
      <c r="I283" s="16"/>
      <c r="J283" s="16"/>
    </row>
    <row r="284">
      <c r="A284" s="16" t="s">
        <v>174</v>
      </c>
      <c r="B284" s="16"/>
      <c r="H284" s="16"/>
      <c r="I284" s="16"/>
      <c r="J284" s="16"/>
    </row>
    <row r="285">
      <c r="A285" s="16" t="s">
        <v>174</v>
      </c>
      <c r="B285" s="16"/>
      <c r="H285" s="16"/>
      <c r="I285" s="16"/>
      <c r="J285" s="16"/>
    </row>
    <row r="286">
      <c r="A286" s="16" t="s">
        <v>174</v>
      </c>
      <c r="B286" s="16"/>
      <c r="H286" s="16"/>
      <c r="I286" s="16"/>
      <c r="J286" s="16"/>
    </row>
    <row r="287">
      <c r="A287" s="16" t="s">
        <v>174</v>
      </c>
      <c r="B287" s="16"/>
      <c r="H287" s="16"/>
      <c r="I287" s="16"/>
      <c r="J287" s="16"/>
    </row>
    <row r="288">
      <c r="A288" s="16" t="s">
        <v>174</v>
      </c>
      <c r="B288" s="16"/>
      <c r="H288" s="16"/>
      <c r="I288" s="16"/>
      <c r="J288" s="16"/>
    </row>
    <row r="289">
      <c r="A289" s="16" t="s">
        <v>174</v>
      </c>
      <c r="B289" s="16"/>
      <c r="H289" s="16"/>
      <c r="I289" s="16"/>
      <c r="J289" s="16"/>
    </row>
    <row r="290">
      <c r="A290" s="16" t="s">
        <v>174</v>
      </c>
      <c r="B290" s="16"/>
      <c r="H290" s="16"/>
      <c r="I290" s="16"/>
      <c r="J290" s="16"/>
    </row>
    <row r="291">
      <c r="A291" s="16" t="s">
        <v>174</v>
      </c>
      <c r="B291" s="16"/>
      <c r="H291" s="16"/>
      <c r="I291" s="16"/>
      <c r="J291" s="16"/>
    </row>
    <row r="292">
      <c r="A292" s="16" t="s">
        <v>174</v>
      </c>
      <c r="B292" s="16"/>
      <c r="H292" s="16"/>
      <c r="I292" s="16"/>
      <c r="J292" s="16"/>
    </row>
    <row r="293">
      <c r="A293" s="16" t="s">
        <v>174</v>
      </c>
      <c r="B293" s="16"/>
      <c r="H293" s="16"/>
      <c r="I293" s="16"/>
      <c r="J293" s="16"/>
    </row>
    <row r="294">
      <c r="A294" s="16" t="s">
        <v>174</v>
      </c>
      <c r="B294" s="16"/>
      <c r="H294" s="16"/>
      <c r="I294" s="16"/>
      <c r="J294" s="16"/>
    </row>
    <row r="295">
      <c r="A295" s="16" t="s">
        <v>174</v>
      </c>
      <c r="B295" s="16"/>
      <c r="H295" s="16"/>
      <c r="I295" s="16"/>
      <c r="J295" s="16"/>
    </row>
    <row r="296">
      <c r="A296" s="16" t="s">
        <v>174</v>
      </c>
      <c r="B296" s="16"/>
      <c r="H296" s="16"/>
      <c r="I296" s="16"/>
      <c r="J296" s="16"/>
    </row>
    <row r="297">
      <c r="A297" s="16" t="s">
        <v>174</v>
      </c>
      <c r="B297" s="16"/>
      <c r="H297" s="16"/>
      <c r="I297" s="16"/>
      <c r="J297" s="16"/>
    </row>
    <row r="298">
      <c r="A298" s="16" t="s">
        <v>174</v>
      </c>
      <c r="B298" s="16"/>
      <c r="H298" s="16"/>
      <c r="I298" s="16"/>
      <c r="J298" s="16"/>
    </row>
    <row r="299">
      <c r="A299" s="16" t="s">
        <v>174</v>
      </c>
      <c r="B299" s="16"/>
      <c r="H299" s="16"/>
      <c r="I299" s="16"/>
      <c r="J299" s="16"/>
    </row>
    <row r="300">
      <c r="A300" s="16" t="s">
        <v>174</v>
      </c>
      <c r="B300" s="16"/>
      <c r="H300" s="16"/>
      <c r="I300" s="16"/>
      <c r="J300" s="16"/>
    </row>
    <row r="301">
      <c r="A301" s="16" t="s">
        <v>174</v>
      </c>
      <c r="B301" s="16"/>
      <c r="H301" s="16"/>
      <c r="I301" s="16"/>
      <c r="J301" s="16"/>
    </row>
    <row r="302">
      <c r="A302" s="16" t="s">
        <v>174</v>
      </c>
      <c r="B302" s="16"/>
      <c r="H302" s="16"/>
      <c r="I302" s="16"/>
      <c r="J302" s="16"/>
    </row>
    <row r="303">
      <c r="A303" s="16" t="s">
        <v>174</v>
      </c>
      <c r="B303" s="16"/>
      <c r="H303" s="16"/>
      <c r="I303" s="16"/>
      <c r="J303" s="16"/>
    </row>
    <row r="304">
      <c r="A304" s="16" t="s">
        <v>174</v>
      </c>
      <c r="B304" s="16"/>
      <c r="H304" s="16"/>
      <c r="I304" s="16"/>
      <c r="J304" s="16"/>
    </row>
    <row r="305">
      <c r="A305" s="16" t="s">
        <v>174</v>
      </c>
      <c r="B305" s="16"/>
      <c r="H305" s="16"/>
      <c r="I305" s="16"/>
      <c r="J305" s="16"/>
    </row>
    <row r="306">
      <c r="A306" s="16" t="s">
        <v>174</v>
      </c>
      <c r="B306" s="16"/>
      <c r="H306" s="16"/>
      <c r="I306" s="16"/>
      <c r="J306" s="16"/>
    </row>
    <row r="307">
      <c r="A307" s="16" t="s">
        <v>174</v>
      </c>
      <c r="B307" s="16"/>
      <c r="H307" s="16"/>
      <c r="I307" s="16"/>
      <c r="J307" s="16"/>
    </row>
    <row r="308">
      <c r="A308" s="16" t="s">
        <v>174</v>
      </c>
      <c r="B308" s="16"/>
      <c r="H308" s="16"/>
      <c r="I308" s="16"/>
      <c r="J308" s="16"/>
    </row>
    <row r="309">
      <c r="A309" s="16" t="s">
        <v>174</v>
      </c>
      <c r="B309" s="16"/>
      <c r="H309" s="16"/>
      <c r="I309" s="16"/>
      <c r="J309" s="16"/>
    </row>
    <row r="310">
      <c r="A310" s="16" t="s">
        <v>174</v>
      </c>
      <c r="B310" s="16"/>
      <c r="H310" s="16"/>
      <c r="I310" s="16"/>
      <c r="J310" s="16"/>
    </row>
    <row r="311">
      <c r="A311" s="16" t="s">
        <v>174</v>
      </c>
      <c r="B311" s="16"/>
      <c r="H311" s="16"/>
      <c r="I311" s="16"/>
      <c r="J311" s="16"/>
    </row>
    <row r="312">
      <c r="A312" s="16" t="s">
        <v>174</v>
      </c>
      <c r="B312" s="16"/>
      <c r="H312" s="16"/>
      <c r="I312" s="16"/>
      <c r="J312" s="16"/>
    </row>
    <row r="313">
      <c r="A313" s="16" t="s">
        <v>174</v>
      </c>
      <c r="B313" s="16"/>
      <c r="H313" s="16"/>
      <c r="I313" s="16"/>
      <c r="J313" s="16"/>
    </row>
    <row r="314">
      <c r="A314" s="16" t="s">
        <v>174</v>
      </c>
      <c r="B314" s="16"/>
      <c r="H314" s="16"/>
      <c r="I314" s="16"/>
      <c r="J314" s="16"/>
    </row>
    <row r="315">
      <c r="A315" s="16" t="s">
        <v>174</v>
      </c>
      <c r="B315" s="16"/>
      <c r="H315" s="16"/>
      <c r="I315" s="16"/>
      <c r="J315" s="16"/>
    </row>
    <row r="316">
      <c r="A316" s="16" t="s">
        <v>174</v>
      </c>
      <c r="B316" s="16"/>
      <c r="H316" s="16"/>
      <c r="I316" s="16"/>
      <c r="J316" s="16"/>
    </row>
    <row r="317">
      <c r="A317" s="16" t="s">
        <v>174</v>
      </c>
      <c r="B317" s="16"/>
      <c r="H317" s="16"/>
      <c r="I317" s="16"/>
      <c r="J317" s="16"/>
    </row>
    <row r="318">
      <c r="A318" s="16" t="s">
        <v>174</v>
      </c>
      <c r="B318" s="16"/>
      <c r="H318" s="16"/>
      <c r="I318" s="16"/>
      <c r="J318" s="16"/>
    </row>
    <row r="319">
      <c r="A319" s="16" t="s">
        <v>174</v>
      </c>
      <c r="B319" s="16"/>
      <c r="H319" s="16"/>
      <c r="I319" s="16"/>
      <c r="J319" s="16"/>
    </row>
    <row r="320">
      <c r="A320" s="16" t="s">
        <v>174</v>
      </c>
      <c r="B320" s="16"/>
      <c r="H320" s="16"/>
      <c r="I320" s="16"/>
      <c r="J320" s="16"/>
    </row>
    <row r="321">
      <c r="A321" s="16" t="s">
        <v>174</v>
      </c>
      <c r="B321" s="16"/>
      <c r="H321" s="16"/>
      <c r="I321" s="16"/>
      <c r="J321" s="16"/>
    </row>
    <row r="322">
      <c r="A322" s="16" t="s">
        <v>174</v>
      </c>
      <c r="B322" s="16"/>
      <c r="H322" s="16"/>
      <c r="I322" s="16"/>
      <c r="J322" s="16"/>
    </row>
    <row r="323">
      <c r="A323" s="16" t="s">
        <v>174</v>
      </c>
      <c r="B323" s="16"/>
      <c r="H323" s="16"/>
      <c r="I323" s="16"/>
      <c r="J323" s="16"/>
    </row>
    <row r="324">
      <c r="A324" s="16" t="s">
        <v>174</v>
      </c>
      <c r="B324" s="16"/>
      <c r="H324" s="16"/>
      <c r="I324" s="16"/>
      <c r="J324" s="16"/>
    </row>
    <row r="325">
      <c r="A325" s="16" t="s">
        <v>174</v>
      </c>
      <c r="B325" s="16"/>
      <c r="H325" s="16"/>
      <c r="I325" s="16"/>
      <c r="J325" s="16"/>
    </row>
    <row r="326">
      <c r="A326" s="16" t="s">
        <v>174</v>
      </c>
      <c r="B326" s="16"/>
      <c r="H326" s="16"/>
      <c r="I326" s="16"/>
      <c r="J326" s="16"/>
    </row>
    <row r="327">
      <c r="A327" s="16" t="s">
        <v>174</v>
      </c>
      <c r="B327" s="16"/>
      <c r="H327" s="16"/>
      <c r="I327" s="16"/>
      <c r="J327" s="16"/>
    </row>
    <row r="328">
      <c r="A328" s="16" t="s">
        <v>174</v>
      </c>
      <c r="B328" s="16"/>
      <c r="H328" s="16"/>
      <c r="I328" s="16"/>
      <c r="J328" s="16"/>
    </row>
    <row r="329">
      <c r="A329" s="16" t="s">
        <v>174</v>
      </c>
      <c r="B329" s="16"/>
      <c r="H329" s="16"/>
      <c r="I329" s="16"/>
      <c r="J329" s="16"/>
    </row>
    <row r="330">
      <c r="A330" s="16" t="s">
        <v>174</v>
      </c>
      <c r="B330" s="16"/>
      <c r="H330" s="16"/>
      <c r="I330" s="16"/>
      <c r="J330" s="16"/>
    </row>
    <row r="331">
      <c r="A331" s="16" t="s">
        <v>174</v>
      </c>
      <c r="B331" s="16"/>
      <c r="H331" s="16"/>
      <c r="I331" s="16"/>
      <c r="J331" s="16"/>
    </row>
    <row r="332">
      <c r="A332" s="16" t="s">
        <v>174</v>
      </c>
      <c r="B332" s="16"/>
      <c r="H332" s="16"/>
      <c r="I332" s="16"/>
      <c r="J332" s="16"/>
    </row>
    <row r="333">
      <c r="A333" s="16" t="s">
        <v>174</v>
      </c>
      <c r="B333" s="16"/>
      <c r="H333" s="16"/>
      <c r="I333" s="16"/>
      <c r="J333" s="16"/>
    </row>
    <row r="334">
      <c r="A334" s="16" t="s">
        <v>174</v>
      </c>
      <c r="B334" s="16"/>
      <c r="H334" s="16"/>
      <c r="I334" s="16"/>
      <c r="J334" s="16"/>
    </row>
    <row r="335">
      <c r="A335" s="16" t="s">
        <v>174</v>
      </c>
      <c r="B335" s="16"/>
      <c r="H335" s="16"/>
      <c r="I335" s="16"/>
      <c r="J335" s="16"/>
    </row>
    <row r="336">
      <c r="A336" s="16" t="s">
        <v>174</v>
      </c>
      <c r="B336" s="16"/>
      <c r="H336" s="16"/>
      <c r="I336" s="16"/>
      <c r="J336" s="16"/>
    </row>
    <row r="337">
      <c r="A337" s="16" t="s">
        <v>174</v>
      </c>
      <c r="B337" s="16"/>
      <c r="H337" s="16"/>
      <c r="I337" s="16"/>
      <c r="J337" s="16"/>
    </row>
    <row r="338">
      <c r="A338" s="16" t="s">
        <v>174</v>
      </c>
      <c r="B338" s="16"/>
      <c r="H338" s="16"/>
      <c r="I338" s="16"/>
      <c r="J338" s="16"/>
    </row>
    <row r="339">
      <c r="A339" s="16" t="s">
        <v>174</v>
      </c>
      <c r="B339" s="16"/>
      <c r="H339" s="16"/>
      <c r="I339" s="16"/>
      <c r="J339" s="16"/>
    </row>
    <row r="340">
      <c r="A340" s="16" t="s">
        <v>174</v>
      </c>
      <c r="B340" s="16"/>
      <c r="H340" s="16"/>
      <c r="I340" s="16"/>
      <c r="J340" s="16"/>
    </row>
    <row r="341">
      <c r="A341" s="16" t="s">
        <v>174</v>
      </c>
      <c r="B341" s="16"/>
      <c r="H341" s="16"/>
      <c r="I341" s="16"/>
      <c r="J341" s="16"/>
    </row>
    <row r="342">
      <c r="A342" s="16" t="s">
        <v>174</v>
      </c>
      <c r="B342" s="16"/>
      <c r="H342" s="16"/>
      <c r="I342" s="16"/>
      <c r="J342" s="16"/>
    </row>
    <row r="343">
      <c r="A343" s="16" t="s">
        <v>174</v>
      </c>
      <c r="B343" s="16"/>
      <c r="H343" s="16"/>
      <c r="I343" s="16"/>
      <c r="J343" s="16"/>
    </row>
    <row r="344">
      <c r="A344" s="16" t="s">
        <v>174</v>
      </c>
      <c r="B344" s="16"/>
      <c r="H344" s="16"/>
      <c r="I344" s="16"/>
      <c r="J344" s="16"/>
    </row>
    <row r="345">
      <c r="A345" s="16" t="s">
        <v>174</v>
      </c>
      <c r="B345" s="16"/>
      <c r="H345" s="16"/>
      <c r="I345" s="16"/>
      <c r="J345" s="16"/>
    </row>
    <row r="346">
      <c r="A346" s="16" t="s">
        <v>174</v>
      </c>
      <c r="B346" s="16"/>
      <c r="H346" s="16"/>
      <c r="I346" s="16"/>
      <c r="J346" s="16"/>
    </row>
    <row r="347">
      <c r="A347" s="16" t="s">
        <v>174</v>
      </c>
      <c r="B347" s="16"/>
      <c r="H347" s="16"/>
      <c r="I347" s="16"/>
      <c r="J347" s="16"/>
    </row>
    <row r="348">
      <c r="A348" s="16" t="s">
        <v>174</v>
      </c>
      <c r="B348" s="16"/>
      <c r="H348" s="16"/>
      <c r="I348" s="16"/>
      <c r="J348" s="16"/>
    </row>
    <row r="349">
      <c r="A349" s="16" t="s">
        <v>174</v>
      </c>
      <c r="B349" s="16"/>
      <c r="H349" s="16"/>
      <c r="I349" s="16"/>
      <c r="J349" s="16"/>
    </row>
    <row r="350">
      <c r="A350" s="16" t="s">
        <v>174</v>
      </c>
      <c r="B350" s="16"/>
      <c r="H350" s="16"/>
      <c r="I350" s="16"/>
      <c r="J350" s="16"/>
    </row>
    <row r="351">
      <c r="A351" s="16" t="s">
        <v>174</v>
      </c>
      <c r="B351" s="16"/>
      <c r="H351" s="16"/>
      <c r="I351" s="16"/>
      <c r="J351" s="16"/>
    </row>
    <row r="352">
      <c r="A352" s="16" t="s">
        <v>174</v>
      </c>
      <c r="B352" s="16"/>
      <c r="H352" s="16"/>
      <c r="I352" s="16"/>
      <c r="J352" s="16"/>
    </row>
    <row r="353">
      <c r="A353" s="16" t="s">
        <v>174</v>
      </c>
      <c r="B353" s="16"/>
      <c r="H353" s="16"/>
      <c r="I353" s="16"/>
      <c r="J353" s="16"/>
    </row>
    <row r="354">
      <c r="A354" s="16" t="s">
        <v>174</v>
      </c>
      <c r="B354" s="16"/>
      <c r="H354" s="16"/>
      <c r="I354" s="16"/>
      <c r="J354" s="16"/>
    </row>
    <row r="355">
      <c r="A355" s="16" t="s">
        <v>174</v>
      </c>
      <c r="B355" s="16"/>
      <c r="H355" s="16"/>
      <c r="I355" s="16"/>
      <c r="J355" s="16"/>
    </row>
    <row r="356">
      <c r="A356" s="16" t="s">
        <v>174</v>
      </c>
      <c r="B356" s="16"/>
      <c r="H356" s="16"/>
      <c r="I356" s="16"/>
      <c r="J356" s="16"/>
    </row>
    <row r="357">
      <c r="A357" s="16" t="s">
        <v>174</v>
      </c>
      <c r="B357" s="16"/>
      <c r="H357" s="16"/>
      <c r="I357" s="16"/>
      <c r="J357" s="16"/>
    </row>
    <row r="358">
      <c r="A358" s="16" t="s">
        <v>174</v>
      </c>
      <c r="B358" s="16"/>
      <c r="H358" s="16"/>
      <c r="I358" s="16"/>
      <c r="J358" s="16"/>
    </row>
    <row r="359">
      <c r="A359" s="16" t="s">
        <v>174</v>
      </c>
      <c r="B359" s="16"/>
      <c r="H359" s="16"/>
      <c r="I359" s="16"/>
      <c r="J359" s="16"/>
    </row>
    <row r="360">
      <c r="A360" s="16" t="s">
        <v>174</v>
      </c>
      <c r="B360" s="16"/>
      <c r="H360" s="16"/>
      <c r="I360" s="16"/>
      <c r="J360" s="16"/>
    </row>
    <row r="361">
      <c r="A361" s="16" t="s">
        <v>174</v>
      </c>
      <c r="B361" s="16"/>
      <c r="H361" s="16"/>
      <c r="I361" s="16"/>
      <c r="J361" s="16"/>
    </row>
    <row r="362">
      <c r="A362" s="16" t="s">
        <v>174</v>
      </c>
      <c r="B362" s="16"/>
      <c r="H362" s="16"/>
      <c r="I362" s="16"/>
      <c r="J362" s="16"/>
    </row>
    <row r="363">
      <c r="A363" s="16" t="s">
        <v>174</v>
      </c>
      <c r="B363" s="16"/>
      <c r="H363" s="16"/>
      <c r="I363" s="16"/>
      <c r="J363" s="16"/>
    </row>
    <row r="364">
      <c r="A364" s="16" t="s">
        <v>174</v>
      </c>
      <c r="B364" s="16"/>
      <c r="H364" s="16"/>
      <c r="I364" s="16"/>
      <c r="J364" s="16"/>
    </row>
    <row r="365">
      <c r="A365" s="16" t="s">
        <v>174</v>
      </c>
      <c r="B365" s="16"/>
      <c r="H365" s="16"/>
      <c r="I365" s="16"/>
      <c r="J365" s="16"/>
    </row>
    <row r="366">
      <c r="A366" s="16" t="s">
        <v>174</v>
      </c>
      <c r="B366" s="16"/>
      <c r="H366" s="16"/>
      <c r="I366" s="16"/>
      <c r="J366" s="16"/>
    </row>
    <row r="367">
      <c r="A367" s="16" t="s">
        <v>174</v>
      </c>
      <c r="B367" s="16"/>
      <c r="H367" s="16"/>
      <c r="I367" s="16"/>
      <c r="J367" s="16"/>
    </row>
    <row r="368">
      <c r="A368" s="16" t="s">
        <v>174</v>
      </c>
      <c r="B368" s="16"/>
      <c r="H368" s="16"/>
      <c r="I368" s="16"/>
      <c r="J368" s="16"/>
    </row>
    <row r="369">
      <c r="A369" s="16" t="s">
        <v>174</v>
      </c>
      <c r="B369" s="16"/>
      <c r="H369" s="16"/>
      <c r="I369" s="16"/>
      <c r="J369" s="16"/>
    </row>
    <row r="370">
      <c r="A370" s="16" t="s">
        <v>174</v>
      </c>
      <c r="B370" s="16"/>
      <c r="H370" s="16"/>
      <c r="I370" s="16"/>
      <c r="J370" s="16"/>
    </row>
    <row r="371">
      <c r="A371" s="16" t="s">
        <v>174</v>
      </c>
      <c r="B371" s="16"/>
      <c r="H371" s="16"/>
      <c r="I371" s="16"/>
      <c r="J371" s="16"/>
    </row>
    <row r="372">
      <c r="A372" s="16" t="s">
        <v>174</v>
      </c>
      <c r="B372" s="16"/>
      <c r="H372" s="16"/>
      <c r="I372" s="16"/>
      <c r="J372" s="16"/>
    </row>
    <row r="373">
      <c r="A373" s="16" t="s">
        <v>174</v>
      </c>
      <c r="B373" s="16"/>
      <c r="H373" s="16"/>
      <c r="I373" s="16"/>
      <c r="J373" s="16"/>
    </row>
    <row r="374">
      <c r="A374" s="16" t="s">
        <v>174</v>
      </c>
      <c r="B374" s="16"/>
      <c r="H374" s="16"/>
      <c r="I374" s="16"/>
      <c r="J374" s="16"/>
    </row>
    <row r="375">
      <c r="A375" s="16" t="s">
        <v>174</v>
      </c>
      <c r="B375" s="16"/>
      <c r="H375" s="16"/>
      <c r="I375" s="16"/>
      <c r="J375" s="16"/>
    </row>
    <row r="376">
      <c r="A376" s="16" t="s">
        <v>174</v>
      </c>
      <c r="B376" s="16"/>
      <c r="H376" s="16"/>
      <c r="I376" s="16"/>
      <c r="J376" s="16"/>
    </row>
    <row r="377">
      <c r="A377" s="16" t="s">
        <v>174</v>
      </c>
      <c r="B377" s="16"/>
      <c r="H377" s="16"/>
      <c r="I377" s="16"/>
      <c r="J377" s="16"/>
    </row>
    <row r="378">
      <c r="A378" s="16" t="s">
        <v>174</v>
      </c>
      <c r="B378" s="16"/>
      <c r="H378" s="16"/>
      <c r="I378" s="16"/>
      <c r="J378" s="16"/>
    </row>
    <row r="379">
      <c r="A379" s="16" t="s">
        <v>174</v>
      </c>
      <c r="B379" s="16"/>
      <c r="H379" s="16"/>
      <c r="I379" s="16"/>
      <c r="J379" s="16"/>
    </row>
    <row r="380">
      <c r="A380" s="16" t="s">
        <v>174</v>
      </c>
      <c r="B380" s="16"/>
      <c r="H380" s="16"/>
      <c r="I380" s="16"/>
      <c r="J380" s="16"/>
    </row>
    <row r="381">
      <c r="A381" s="16" t="s">
        <v>174</v>
      </c>
      <c r="B381" s="16"/>
      <c r="H381" s="16"/>
      <c r="I381" s="16"/>
      <c r="J381" s="16"/>
    </row>
    <row r="382">
      <c r="A382" s="16" t="s">
        <v>174</v>
      </c>
      <c r="B382" s="16"/>
      <c r="H382" s="16"/>
      <c r="I382" s="16"/>
      <c r="J382" s="16"/>
    </row>
    <row r="383">
      <c r="A383" s="16" t="s">
        <v>174</v>
      </c>
      <c r="B383" s="16"/>
      <c r="H383" s="16"/>
      <c r="I383" s="16"/>
      <c r="J383" s="16"/>
    </row>
    <row r="384">
      <c r="A384" s="16" t="s">
        <v>174</v>
      </c>
      <c r="B384" s="16"/>
      <c r="H384" s="16"/>
      <c r="I384" s="16"/>
      <c r="J384" s="16"/>
    </row>
    <row r="385">
      <c r="A385" s="16" t="s">
        <v>174</v>
      </c>
      <c r="B385" s="16"/>
      <c r="H385" s="16"/>
      <c r="I385" s="16"/>
      <c r="J385" s="16"/>
    </row>
    <row r="386">
      <c r="A386" s="16" t="s">
        <v>174</v>
      </c>
      <c r="B386" s="16"/>
      <c r="H386" s="16"/>
      <c r="I386" s="16"/>
      <c r="J386" s="16"/>
    </row>
    <row r="387">
      <c r="A387" s="16" t="s">
        <v>174</v>
      </c>
      <c r="B387" s="16"/>
      <c r="H387" s="16"/>
      <c r="I387" s="16"/>
      <c r="J387" s="16"/>
    </row>
    <row r="388">
      <c r="A388" s="16" t="s">
        <v>174</v>
      </c>
      <c r="B388" s="16"/>
      <c r="H388" s="16"/>
      <c r="I388" s="16"/>
      <c r="J388" s="16"/>
    </row>
    <row r="389">
      <c r="A389" s="16" t="s">
        <v>174</v>
      </c>
      <c r="B389" s="16"/>
      <c r="H389" s="16"/>
      <c r="I389" s="16"/>
      <c r="J389" s="16"/>
    </row>
    <row r="390">
      <c r="A390" s="16" t="s">
        <v>174</v>
      </c>
      <c r="B390" s="16"/>
      <c r="H390" s="16"/>
      <c r="I390" s="16"/>
      <c r="J390" s="16"/>
    </row>
    <row r="391">
      <c r="A391" s="16" t="s">
        <v>174</v>
      </c>
      <c r="B391" s="16"/>
      <c r="H391" s="16"/>
      <c r="I391" s="16"/>
      <c r="J391" s="16"/>
    </row>
    <row r="392">
      <c r="A392" s="16" t="s">
        <v>174</v>
      </c>
      <c r="B392" s="16"/>
      <c r="H392" s="16"/>
      <c r="I392" s="16"/>
      <c r="J392" s="16"/>
    </row>
    <row r="393">
      <c r="A393" s="16" t="s">
        <v>174</v>
      </c>
      <c r="B393" s="16"/>
      <c r="H393" s="16"/>
      <c r="I393" s="16"/>
      <c r="J393" s="16"/>
    </row>
    <row r="394">
      <c r="A394" s="16" t="s">
        <v>174</v>
      </c>
      <c r="B394" s="16"/>
      <c r="H394" s="16"/>
      <c r="I394" s="16"/>
      <c r="J394" s="16"/>
    </row>
    <row r="395">
      <c r="A395" s="16" t="s">
        <v>174</v>
      </c>
      <c r="B395" s="16"/>
      <c r="H395" s="16"/>
      <c r="I395" s="16"/>
      <c r="J395" s="16"/>
    </row>
    <row r="396">
      <c r="A396" s="16" t="s">
        <v>174</v>
      </c>
      <c r="B396" s="16"/>
      <c r="H396" s="16"/>
      <c r="I396" s="16"/>
      <c r="J396" s="16"/>
    </row>
    <row r="397">
      <c r="A397" s="16" t="s">
        <v>174</v>
      </c>
      <c r="B397" s="16"/>
      <c r="H397" s="16"/>
      <c r="I397" s="16"/>
      <c r="J397" s="16"/>
    </row>
    <row r="398">
      <c r="A398" s="16" t="s">
        <v>174</v>
      </c>
      <c r="B398" s="16"/>
      <c r="H398" s="16"/>
      <c r="I398" s="16"/>
      <c r="J398" s="16"/>
    </row>
    <row r="399">
      <c r="A399" s="16" t="s">
        <v>174</v>
      </c>
      <c r="B399" s="16"/>
      <c r="H399" s="16"/>
      <c r="I399" s="16"/>
      <c r="J399" s="16"/>
    </row>
    <row r="400">
      <c r="A400" s="16" t="s">
        <v>174</v>
      </c>
      <c r="B400" s="16"/>
      <c r="H400" s="16"/>
      <c r="I400" s="16"/>
      <c r="J400" s="16"/>
    </row>
    <row r="401">
      <c r="A401" s="16" t="s">
        <v>174</v>
      </c>
      <c r="B401" s="16"/>
      <c r="H401" s="16"/>
      <c r="I401" s="16"/>
      <c r="J401" s="16"/>
    </row>
    <row r="402">
      <c r="A402" s="16" t="s">
        <v>174</v>
      </c>
      <c r="B402" s="16"/>
      <c r="H402" s="16"/>
      <c r="I402" s="16"/>
      <c r="J402" s="16"/>
    </row>
    <row r="403">
      <c r="A403" s="16" t="s">
        <v>174</v>
      </c>
      <c r="B403" s="16"/>
      <c r="H403" s="16"/>
      <c r="I403" s="16"/>
      <c r="J403" s="16"/>
    </row>
    <row r="404">
      <c r="A404" s="16" t="s">
        <v>174</v>
      </c>
      <c r="B404" s="16"/>
      <c r="H404" s="16"/>
      <c r="I404" s="16"/>
      <c r="J404" s="16"/>
    </row>
    <row r="405">
      <c r="A405" s="16" t="s">
        <v>174</v>
      </c>
      <c r="B405" s="16"/>
      <c r="H405" s="16"/>
      <c r="I405" s="16"/>
      <c r="J405" s="16"/>
    </row>
    <row r="406">
      <c r="A406" s="16" t="s">
        <v>174</v>
      </c>
      <c r="B406" s="16"/>
      <c r="H406" s="16"/>
      <c r="I406" s="16"/>
      <c r="J406" s="16"/>
    </row>
    <row r="407">
      <c r="A407" s="16" t="s">
        <v>174</v>
      </c>
      <c r="B407" s="16"/>
      <c r="H407" s="16"/>
      <c r="I407" s="16"/>
      <c r="J407" s="16"/>
    </row>
    <row r="408">
      <c r="A408" s="16" t="s">
        <v>174</v>
      </c>
      <c r="B408" s="16"/>
      <c r="H408" s="16"/>
      <c r="I408" s="16"/>
      <c r="J408" s="16"/>
    </row>
    <row r="409">
      <c r="A409" s="16" t="s">
        <v>174</v>
      </c>
      <c r="B409" s="16"/>
      <c r="H409" s="16"/>
      <c r="I409" s="16"/>
      <c r="J409" s="16"/>
    </row>
    <row r="410">
      <c r="A410" s="16" t="s">
        <v>174</v>
      </c>
      <c r="B410" s="16"/>
      <c r="H410" s="16"/>
      <c r="I410" s="16"/>
      <c r="J410" s="16"/>
    </row>
    <row r="411">
      <c r="A411" s="16" t="s">
        <v>174</v>
      </c>
      <c r="B411" s="16"/>
      <c r="H411" s="16"/>
      <c r="I411" s="16"/>
      <c r="J411" s="16"/>
    </row>
    <row r="412">
      <c r="A412" s="16" t="s">
        <v>174</v>
      </c>
      <c r="B412" s="16"/>
      <c r="H412" s="16"/>
      <c r="I412" s="16"/>
      <c r="J412" s="16"/>
    </row>
    <row r="413">
      <c r="A413" s="16" t="s">
        <v>174</v>
      </c>
      <c r="B413" s="16"/>
      <c r="H413" s="16"/>
      <c r="I413" s="16"/>
      <c r="J413" s="16"/>
    </row>
    <row r="414">
      <c r="A414" s="16" t="s">
        <v>174</v>
      </c>
      <c r="B414" s="16"/>
      <c r="H414" s="16"/>
      <c r="I414" s="16"/>
      <c r="J414" s="16"/>
    </row>
    <row r="415">
      <c r="A415" s="16" t="s">
        <v>174</v>
      </c>
      <c r="B415" s="16"/>
      <c r="H415" s="16"/>
      <c r="I415" s="16"/>
      <c r="J415" s="16"/>
    </row>
    <row r="416">
      <c r="A416" s="16" t="s">
        <v>174</v>
      </c>
      <c r="B416" s="16"/>
      <c r="H416" s="16"/>
      <c r="I416" s="16"/>
      <c r="J416" s="16"/>
    </row>
    <row r="417">
      <c r="A417" s="16" t="s">
        <v>174</v>
      </c>
      <c r="B417" s="16"/>
      <c r="H417" s="16"/>
      <c r="I417" s="16"/>
      <c r="J417" s="16"/>
    </row>
    <row r="418">
      <c r="A418" s="16" t="s">
        <v>174</v>
      </c>
      <c r="B418" s="16"/>
      <c r="H418" s="16"/>
      <c r="I418" s="16"/>
      <c r="J418" s="16"/>
    </row>
    <row r="419">
      <c r="A419" s="16" t="s">
        <v>174</v>
      </c>
      <c r="B419" s="16"/>
      <c r="H419" s="16"/>
      <c r="I419" s="16"/>
      <c r="J419" s="16"/>
    </row>
    <row r="420">
      <c r="A420" s="16" t="s">
        <v>174</v>
      </c>
      <c r="B420" s="16"/>
      <c r="H420" s="16"/>
      <c r="I420" s="16"/>
      <c r="J420" s="16"/>
    </row>
    <row r="421">
      <c r="A421" s="16" t="s">
        <v>174</v>
      </c>
      <c r="B421" s="16"/>
      <c r="H421" s="16"/>
      <c r="I421" s="16"/>
      <c r="J421" s="16"/>
    </row>
    <row r="422">
      <c r="A422" s="16" t="s">
        <v>174</v>
      </c>
      <c r="B422" s="16"/>
      <c r="H422" s="16"/>
      <c r="I422" s="16"/>
      <c r="J422" s="16"/>
    </row>
    <row r="423">
      <c r="A423" s="16" t="s">
        <v>174</v>
      </c>
      <c r="B423" s="16"/>
      <c r="H423" s="16"/>
      <c r="I423" s="16"/>
      <c r="J423" s="16"/>
    </row>
    <row r="424">
      <c r="A424" s="16" t="s">
        <v>174</v>
      </c>
      <c r="B424" s="16"/>
      <c r="H424" s="16"/>
      <c r="I424" s="16"/>
      <c r="J424" s="16"/>
    </row>
    <row r="425">
      <c r="A425" s="16" t="s">
        <v>174</v>
      </c>
      <c r="B425" s="16"/>
      <c r="H425" s="16"/>
      <c r="I425" s="16"/>
      <c r="J425" s="16"/>
    </row>
    <row r="426">
      <c r="A426" s="16" t="s">
        <v>174</v>
      </c>
      <c r="B426" s="16"/>
      <c r="H426" s="16"/>
      <c r="I426" s="16"/>
      <c r="J426" s="16"/>
    </row>
    <row r="427">
      <c r="A427" s="16" t="s">
        <v>174</v>
      </c>
      <c r="B427" s="16"/>
      <c r="H427" s="16"/>
      <c r="I427" s="16"/>
      <c r="J427" s="16"/>
    </row>
    <row r="428">
      <c r="A428" s="16" t="s">
        <v>174</v>
      </c>
      <c r="B428" s="16"/>
      <c r="H428" s="16"/>
      <c r="I428" s="16"/>
      <c r="J428" s="16"/>
    </row>
    <row r="429">
      <c r="A429" s="16" t="s">
        <v>174</v>
      </c>
      <c r="B429" s="16"/>
      <c r="H429" s="16"/>
      <c r="I429" s="16"/>
      <c r="J429" s="16"/>
    </row>
    <row r="430">
      <c r="A430" s="16" t="s">
        <v>174</v>
      </c>
      <c r="B430" s="16"/>
      <c r="H430" s="16"/>
      <c r="I430" s="16"/>
      <c r="J430" s="16"/>
    </row>
    <row r="431">
      <c r="A431" s="16" t="s">
        <v>174</v>
      </c>
      <c r="B431" s="16"/>
      <c r="H431" s="16"/>
      <c r="I431" s="16"/>
      <c r="J431" s="16"/>
    </row>
    <row r="432">
      <c r="A432" s="16" t="s">
        <v>174</v>
      </c>
      <c r="B432" s="16"/>
      <c r="H432" s="16"/>
      <c r="I432" s="16"/>
      <c r="J432" s="16"/>
    </row>
    <row r="433">
      <c r="A433" s="16" t="s">
        <v>174</v>
      </c>
      <c r="B433" s="16"/>
      <c r="H433" s="16"/>
      <c r="I433" s="16"/>
      <c r="J433" s="16"/>
    </row>
    <row r="434">
      <c r="A434" s="16" t="s">
        <v>174</v>
      </c>
      <c r="B434" s="16"/>
      <c r="H434" s="16"/>
      <c r="I434" s="16"/>
      <c r="J434" s="16"/>
    </row>
    <row r="435">
      <c r="A435" s="16" t="s">
        <v>174</v>
      </c>
      <c r="B435" s="16"/>
      <c r="H435" s="16"/>
      <c r="I435" s="16"/>
      <c r="J435" s="16"/>
    </row>
    <row r="436">
      <c r="A436" s="16" t="s">
        <v>174</v>
      </c>
      <c r="B436" s="16"/>
      <c r="H436" s="16"/>
      <c r="I436" s="16"/>
      <c r="J436" s="16"/>
    </row>
    <row r="437">
      <c r="A437" s="16" t="s">
        <v>174</v>
      </c>
      <c r="B437" s="16"/>
      <c r="H437" s="16"/>
      <c r="I437" s="16"/>
      <c r="J437" s="16"/>
    </row>
    <row r="438">
      <c r="A438" s="16" t="s">
        <v>174</v>
      </c>
      <c r="B438" s="16"/>
      <c r="H438" s="16"/>
      <c r="I438" s="16"/>
      <c r="J438" s="16"/>
    </row>
    <row r="439">
      <c r="A439" s="16" t="s">
        <v>174</v>
      </c>
      <c r="B439" s="16"/>
      <c r="H439" s="16"/>
      <c r="I439" s="16"/>
      <c r="J439" s="16"/>
    </row>
    <row r="440">
      <c r="A440" s="16" t="s">
        <v>174</v>
      </c>
      <c r="B440" s="16"/>
      <c r="H440" s="16"/>
      <c r="I440" s="16"/>
      <c r="J440" s="16"/>
    </row>
    <row r="441">
      <c r="A441" s="16" t="s">
        <v>174</v>
      </c>
      <c r="B441" s="16"/>
      <c r="H441" s="16"/>
      <c r="I441" s="16"/>
      <c r="J441" s="16"/>
    </row>
    <row r="442">
      <c r="A442" s="16" t="s">
        <v>174</v>
      </c>
      <c r="B442" s="16"/>
      <c r="H442" s="16"/>
      <c r="I442" s="16"/>
      <c r="J442" s="16"/>
    </row>
    <row r="443">
      <c r="A443" s="16" t="s">
        <v>174</v>
      </c>
      <c r="B443" s="16"/>
      <c r="H443" s="16"/>
      <c r="I443" s="16"/>
      <c r="J443" s="16"/>
    </row>
    <row r="444">
      <c r="A444" s="16" t="s">
        <v>174</v>
      </c>
      <c r="B444" s="16"/>
      <c r="H444" s="16"/>
      <c r="I444" s="16"/>
      <c r="J444" s="16"/>
    </row>
    <row r="445">
      <c r="A445" s="16" t="s">
        <v>174</v>
      </c>
      <c r="B445" s="16"/>
      <c r="H445" s="16"/>
      <c r="I445" s="16"/>
      <c r="J445" s="16"/>
    </row>
    <row r="446">
      <c r="A446" s="16" t="s">
        <v>174</v>
      </c>
      <c r="B446" s="16"/>
      <c r="H446" s="16"/>
      <c r="I446" s="16"/>
      <c r="J446" s="16"/>
    </row>
    <row r="447">
      <c r="A447" s="16" t="s">
        <v>174</v>
      </c>
      <c r="B447" s="16"/>
      <c r="H447" s="16"/>
      <c r="I447" s="16"/>
      <c r="J447" s="16"/>
    </row>
    <row r="448">
      <c r="A448" s="16" t="s">
        <v>174</v>
      </c>
      <c r="B448" s="16"/>
      <c r="H448" s="16"/>
      <c r="I448" s="16"/>
      <c r="J448" s="16"/>
    </row>
    <row r="449">
      <c r="A449" s="16" t="s">
        <v>174</v>
      </c>
      <c r="B449" s="16"/>
      <c r="H449" s="16"/>
      <c r="I449" s="16"/>
      <c r="J449" s="16"/>
    </row>
    <row r="450">
      <c r="A450" s="16" t="s">
        <v>174</v>
      </c>
      <c r="B450" s="16"/>
      <c r="H450" s="16"/>
      <c r="I450" s="16"/>
      <c r="J450" s="16"/>
    </row>
    <row r="451">
      <c r="A451" s="16" t="s">
        <v>174</v>
      </c>
      <c r="B451" s="16"/>
      <c r="H451" s="16"/>
      <c r="I451" s="16"/>
      <c r="J451" s="16"/>
    </row>
    <row r="452">
      <c r="A452" s="16" t="s">
        <v>174</v>
      </c>
      <c r="B452" s="16"/>
      <c r="H452" s="16"/>
      <c r="I452" s="16"/>
      <c r="J452" s="16"/>
    </row>
    <row r="453">
      <c r="A453" s="16" t="s">
        <v>174</v>
      </c>
      <c r="B453" s="16"/>
      <c r="H453" s="16"/>
      <c r="I453" s="16"/>
      <c r="J453" s="16"/>
    </row>
    <row r="454">
      <c r="A454" s="16" t="s">
        <v>174</v>
      </c>
      <c r="B454" s="16"/>
      <c r="H454" s="16"/>
      <c r="I454" s="16"/>
      <c r="J454" s="16"/>
    </row>
    <row r="455">
      <c r="A455" s="16" t="s">
        <v>174</v>
      </c>
      <c r="B455" s="16"/>
      <c r="H455" s="16"/>
      <c r="I455" s="16"/>
      <c r="J455" s="16"/>
    </row>
    <row r="456">
      <c r="A456" s="16" t="s">
        <v>174</v>
      </c>
      <c r="B456" s="16"/>
      <c r="H456" s="16"/>
      <c r="I456" s="16"/>
      <c r="J456" s="16"/>
    </row>
    <row r="457">
      <c r="A457" s="16" t="s">
        <v>174</v>
      </c>
      <c r="B457" s="16"/>
      <c r="H457" s="16"/>
      <c r="I457" s="16"/>
      <c r="J457" s="16"/>
    </row>
    <row r="458">
      <c r="A458" s="16" t="s">
        <v>174</v>
      </c>
      <c r="B458" s="16"/>
      <c r="H458" s="16"/>
      <c r="I458" s="16"/>
      <c r="J458" s="16"/>
    </row>
    <row r="459">
      <c r="A459" s="16" t="s">
        <v>174</v>
      </c>
      <c r="B459" s="16"/>
      <c r="H459" s="16"/>
      <c r="I459" s="16"/>
      <c r="J459" s="16"/>
    </row>
    <row r="460">
      <c r="A460" s="16" t="s">
        <v>174</v>
      </c>
      <c r="B460" s="16"/>
      <c r="H460" s="16"/>
      <c r="I460" s="16"/>
      <c r="J460" s="16"/>
    </row>
    <row r="461">
      <c r="A461" s="16" t="s">
        <v>174</v>
      </c>
      <c r="B461" s="16"/>
      <c r="H461" s="16"/>
      <c r="I461" s="16"/>
      <c r="J461" s="16"/>
    </row>
    <row r="462">
      <c r="A462" s="16" t="s">
        <v>174</v>
      </c>
      <c r="B462" s="16"/>
      <c r="H462" s="16"/>
      <c r="I462" s="16"/>
      <c r="J462" s="16"/>
    </row>
    <row r="463">
      <c r="A463" s="16" t="s">
        <v>174</v>
      </c>
      <c r="B463" s="16"/>
      <c r="H463" s="16"/>
      <c r="I463" s="16"/>
      <c r="J463" s="16"/>
    </row>
    <row r="464">
      <c r="A464" s="16" t="s">
        <v>174</v>
      </c>
      <c r="B464" s="16"/>
      <c r="H464" s="16"/>
      <c r="I464" s="16"/>
      <c r="J464" s="16"/>
    </row>
    <row r="465">
      <c r="A465" s="16" t="s">
        <v>174</v>
      </c>
      <c r="B465" s="16"/>
      <c r="H465" s="16"/>
      <c r="I465" s="16"/>
      <c r="J465" s="16"/>
    </row>
    <row r="466">
      <c r="A466" s="16" t="s">
        <v>174</v>
      </c>
      <c r="B466" s="16"/>
      <c r="H466" s="16"/>
      <c r="I466" s="16"/>
      <c r="J466" s="16"/>
    </row>
    <row r="467">
      <c r="A467" s="16" t="s">
        <v>174</v>
      </c>
      <c r="B467" s="16"/>
      <c r="H467" s="16"/>
      <c r="I467" s="16"/>
      <c r="J467" s="16"/>
    </row>
    <row r="468">
      <c r="A468" s="16" t="s">
        <v>174</v>
      </c>
      <c r="B468" s="16"/>
      <c r="H468" s="16"/>
      <c r="I468" s="16"/>
      <c r="J468" s="16"/>
    </row>
    <row r="469">
      <c r="A469" s="16" t="s">
        <v>174</v>
      </c>
      <c r="B469" s="16"/>
      <c r="H469" s="16"/>
      <c r="I469" s="16"/>
      <c r="J469" s="16"/>
    </row>
    <row r="470">
      <c r="A470" s="16" t="s">
        <v>174</v>
      </c>
      <c r="B470" s="16"/>
      <c r="H470" s="16"/>
      <c r="I470" s="16"/>
      <c r="J470" s="16"/>
    </row>
    <row r="471">
      <c r="A471" s="16" t="s">
        <v>174</v>
      </c>
      <c r="B471" s="16"/>
      <c r="H471" s="16"/>
      <c r="I471" s="16"/>
      <c r="J471" s="16"/>
    </row>
    <row r="472">
      <c r="A472" s="16" t="s">
        <v>174</v>
      </c>
      <c r="B472" s="16"/>
      <c r="H472" s="16"/>
      <c r="I472" s="16"/>
      <c r="J472" s="16"/>
    </row>
    <row r="473">
      <c r="A473" s="16" t="s">
        <v>174</v>
      </c>
      <c r="B473" s="16"/>
      <c r="H473" s="16"/>
      <c r="I473" s="16"/>
      <c r="J473" s="16"/>
    </row>
    <row r="474">
      <c r="A474" s="16" t="s">
        <v>174</v>
      </c>
      <c r="B474" s="16"/>
      <c r="H474" s="16"/>
      <c r="I474" s="16"/>
      <c r="J474" s="16"/>
    </row>
    <row r="475">
      <c r="A475" s="16" t="s">
        <v>174</v>
      </c>
      <c r="B475" s="16"/>
      <c r="H475" s="16"/>
      <c r="I475" s="16"/>
      <c r="J475" s="16"/>
    </row>
    <row r="476">
      <c r="A476" s="16" t="s">
        <v>174</v>
      </c>
      <c r="B476" s="16"/>
      <c r="H476" s="16"/>
      <c r="I476" s="16"/>
      <c r="J476" s="16"/>
    </row>
    <row r="477">
      <c r="A477" s="16" t="s">
        <v>174</v>
      </c>
      <c r="B477" s="16"/>
      <c r="H477" s="16"/>
      <c r="I477" s="16"/>
      <c r="J477" s="16"/>
    </row>
    <row r="478">
      <c r="A478" s="16" t="s">
        <v>174</v>
      </c>
      <c r="B478" s="16"/>
      <c r="H478" s="16"/>
      <c r="I478" s="16"/>
      <c r="J478" s="16"/>
    </row>
    <row r="479">
      <c r="A479" s="16" t="s">
        <v>174</v>
      </c>
      <c r="B479" s="16"/>
      <c r="H479" s="16"/>
      <c r="I479" s="16"/>
      <c r="J479" s="16"/>
    </row>
    <row r="480">
      <c r="A480" s="16" t="s">
        <v>174</v>
      </c>
      <c r="B480" s="16"/>
      <c r="H480" s="16"/>
      <c r="I480" s="16"/>
      <c r="J480" s="16"/>
    </row>
    <row r="481">
      <c r="A481" s="16" t="s">
        <v>174</v>
      </c>
      <c r="B481" s="16"/>
      <c r="H481" s="16"/>
      <c r="I481" s="16"/>
      <c r="J481" s="16"/>
    </row>
    <row r="482">
      <c r="A482" s="16" t="s">
        <v>174</v>
      </c>
      <c r="B482" s="16"/>
      <c r="H482" s="16"/>
      <c r="I482" s="16"/>
      <c r="J482" s="16"/>
    </row>
    <row r="483">
      <c r="A483" s="16" t="s">
        <v>174</v>
      </c>
      <c r="B483" s="16"/>
      <c r="H483" s="16"/>
      <c r="I483" s="16"/>
      <c r="J483" s="16"/>
    </row>
    <row r="484">
      <c r="A484" s="16" t="s">
        <v>174</v>
      </c>
      <c r="B484" s="16"/>
      <c r="H484" s="16"/>
      <c r="I484" s="16"/>
      <c r="J484" s="16"/>
    </row>
    <row r="485">
      <c r="A485" s="16" t="s">
        <v>174</v>
      </c>
      <c r="B485" s="16"/>
      <c r="H485" s="16"/>
      <c r="I485" s="16"/>
      <c r="J485" s="16"/>
    </row>
    <row r="486">
      <c r="A486" s="16" t="s">
        <v>174</v>
      </c>
      <c r="B486" s="16"/>
      <c r="H486" s="16"/>
      <c r="I486" s="16"/>
      <c r="J486" s="16"/>
    </row>
    <row r="487">
      <c r="A487" s="16" t="s">
        <v>174</v>
      </c>
      <c r="B487" s="16"/>
      <c r="H487" s="16"/>
      <c r="I487" s="16"/>
      <c r="J487" s="16"/>
    </row>
    <row r="488">
      <c r="A488" s="16" t="s">
        <v>174</v>
      </c>
      <c r="B488" s="16"/>
      <c r="H488" s="16"/>
      <c r="I488" s="16"/>
      <c r="J488" s="16"/>
    </row>
    <row r="489">
      <c r="A489" s="16" t="s">
        <v>174</v>
      </c>
      <c r="B489" s="16"/>
      <c r="H489" s="16"/>
      <c r="I489" s="16"/>
      <c r="J489" s="16"/>
    </row>
    <row r="490">
      <c r="A490" s="16" t="s">
        <v>174</v>
      </c>
      <c r="B490" s="16"/>
      <c r="H490" s="16"/>
      <c r="I490" s="16"/>
      <c r="J490" s="16"/>
    </row>
    <row r="491">
      <c r="A491" s="16" t="s">
        <v>174</v>
      </c>
      <c r="B491" s="16"/>
      <c r="H491" s="16"/>
      <c r="I491" s="16"/>
      <c r="J491" s="16"/>
    </row>
    <row r="492">
      <c r="A492" s="16" t="s">
        <v>174</v>
      </c>
      <c r="B492" s="16"/>
      <c r="H492" s="16"/>
      <c r="I492" s="16"/>
      <c r="J492" s="16"/>
    </row>
    <row r="493">
      <c r="A493" s="16" t="s">
        <v>174</v>
      </c>
      <c r="B493" s="16"/>
      <c r="H493" s="16"/>
      <c r="I493" s="16"/>
      <c r="J493" s="16"/>
    </row>
    <row r="494">
      <c r="A494" s="16" t="s">
        <v>174</v>
      </c>
      <c r="B494" s="16"/>
      <c r="H494" s="16"/>
      <c r="I494" s="16"/>
      <c r="J494" s="16"/>
    </row>
    <row r="495">
      <c r="A495" s="16" t="s">
        <v>174</v>
      </c>
      <c r="B495" s="16"/>
      <c r="H495" s="16"/>
      <c r="I495" s="16"/>
      <c r="J495" s="16"/>
    </row>
    <row r="496">
      <c r="A496" s="16" t="s">
        <v>174</v>
      </c>
      <c r="B496" s="16"/>
      <c r="H496" s="16"/>
      <c r="I496" s="16"/>
      <c r="J496" s="16"/>
    </row>
    <row r="497">
      <c r="A497" s="16" t="s">
        <v>174</v>
      </c>
      <c r="B497" s="16"/>
      <c r="H497" s="16"/>
      <c r="I497" s="16"/>
      <c r="J497" s="16"/>
    </row>
    <row r="498">
      <c r="A498" s="16" t="s">
        <v>174</v>
      </c>
      <c r="B498" s="16"/>
      <c r="H498" s="16"/>
      <c r="I498" s="16"/>
      <c r="J498" s="16"/>
    </row>
    <row r="499">
      <c r="A499" s="16" t="s">
        <v>174</v>
      </c>
      <c r="B499" s="16"/>
      <c r="H499" s="16"/>
      <c r="I499" s="16"/>
      <c r="J499" s="16"/>
    </row>
    <row r="500">
      <c r="A500" s="16" t="s">
        <v>174</v>
      </c>
      <c r="B500" s="16"/>
      <c r="H500" s="16"/>
      <c r="I500" s="16"/>
      <c r="J500" s="16"/>
    </row>
    <row r="501">
      <c r="A501" s="16" t="s">
        <v>174</v>
      </c>
      <c r="B501" s="16"/>
      <c r="H501" s="16"/>
      <c r="I501" s="16"/>
      <c r="J501" s="16"/>
    </row>
    <row r="502">
      <c r="A502" s="16" t="s">
        <v>174</v>
      </c>
      <c r="B502" s="16"/>
      <c r="H502" s="16"/>
      <c r="I502" s="16"/>
      <c r="J502" s="16"/>
    </row>
    <row r="503">
      <c r="A503" s="16" t="s">
        <v>174</v>
      </c>
      <c r="B503" s="16"/>
      <c r="H503" s="16"/>
      <c r="I503" s="16"/>
      <c r="J503" s="16"/>
    </row>
    <row r="504">
      <c r="A504" s="16" t="s">
        <v>174</v>
      </c>
      <c r="B504" s="16"/>
      <c r="H504" s="16"/>
      <c r="I504" s="16"/>
      <c r="J504" s="16"/>
    </row>
    <row r="505">
      <c r="A505" s="16" t="s">
        <v>174</v>
      </c>
      <c r="B505" s="16"/>
      <c r="H505" s="16"/>
      <c r="I505" s="16"/>
      <c r="J505" s="16"/>
    </row>
    <row r="506">
      <c r="A506" s="16" t="s">
        <v>174</v>
      </c>
      <c r="B506" s="16"/>
      <c r="H506" s="16"/>
      <c r="I506" s="16"/>
      <c r="J506" s="16"/>
    </row>
    <row r="507">
      <c r="A507" s="16" t="s">
        <v>174</v>
      </c>
      <c r="B507" s="16"/>
      <c r="H507" s="16"/>
      <c r="I507" s="16"/>
      <c r="J507" s="16"/>
    </row>
    <row r="508">
      <c r="A508" s="16" t="s">
        <v>174</v>
      </c>
      <c r="B508" s="16"/>
      <c r="H508" s="16"/>
      <c r="I508" s="16"/>
      <c r="J508" s="16"/>
    </row>
    <row r="509">
      <c r="A509" s="16" t="s">
        <v>174</v>
      </c>
      <c r="B509" s="16"/>
      <c r="H509" s="16"/>
      <c r="I509" s="16"/>
      <c r="J509" s="16"/>
    </row>
    <row r="510">
      <c r="A510" s="16" t="s">
        <v>174</v>
      </c>
      <c r="B510" s="16"/>
      <c r="H510" s="16"/>
      <c r="I510" s="16"/>
      <c r="J510" s="16"/>
    </row>
    <row r="511">
      <c r="A511" s="16" t="s">
        <v>174</v>
      </c>
      <c r="B511" s="16"/>
      <c r="H511" s="16"/>
      <c r="I511" s="16"/>
      <c r="J511" s="16"/>
    </row>
    <row r="512">
      <c r="A512" s="16" t="s">
        <v>174</v>
      </c>
      <c r="B512" s="16"/>
      <c r="H512" s="16"/>
      <c r="I512" s="16"/>
      <c r="J512" s="16"/>
    </row>
    <row r="513">
      <c r="A513" s="16" t="s">
        <v>174</v>
      </c>
      <c r="B513" s="16"/>
      <c r="H513" s="16"/>
      <c r="I513" s="16"/>
      <c r="J513" s="16"/>
    </row>
    <row r="514">
      <c r="A514" s="16" t="s">
        <v>174</v>
      </c>
      <c r="B514" s="16"/>
      <c r="H514" s="16"/>
      <c r="I514" s="16"/>
      <c r="J514" s="16"/>
    </row>
    <row r="515">
      <c r="A515" s="16" t="s">
        <v>174</v>
      </c>
      <c r="B515" s="16"/>
      <c r="H515" s="16"/>
      <c r="I515" s="16"/>
      <c r="J515" s="16"/>
    </row>
    <row r="516">
      <c r="A516" s="16" t="s">
        <v>174</v>
      </c>
      <c r="B516" s="16"/>
      <c r="H516" s="16"/>
      <c r="I516" s="16"/>
      <c r="J516" s="16"/>
    </row>
    <row r="517">
      <c r="A517" s="16" t="s">
        <v>174</v>
      </c>
      <c r="B517" s="16"/>
      <c r="H517" s="16"/>
      <c r="I517" s="16"/>
      <c r="J517" s="16"/>
    </row>
    <row r="518">
      <c r="A518" s="16" t="s">
        <v>174</v>
      </c>
      <c r="B518" s="16"/>
      <c r="H518" s="16"/>
      <c r="I518" s="16"/>
      <c r="J518" s="16"/>
    </row>
    <row r="519">
      <c r="A519" s="16" t="s">
        <v>174</v>
      </c>
      <c r="B519" s="16"/>
      <c r="H519" s="16"/>
      <c r="I519" s="16"/>
      <c r="J519" s="16"/>
    </row>
    <row r="520">
      <c r="A520" s="16" t="s">
        <v>174</v>
      </c>
      <c r="B520" s="16"/>
      <c r="H520" s="16"/>
      <c r="I520" s="16"/>
      <c r="J520" s="16"/>
    </row>
    <row r="521">
      <c r="A521" s="16" t="s">
        <v>174</v>
      </c>
      <c r="B521" s="16"/>
      <c r="H521" s="16"/>
      <c r="I521" s="16"/>
      <c r="J521" s="16"/>
    </row>
    <row r="522">
      <c r="A522" s="16" t="s">
        <v>174</v>
      </c>
      <c r="B522" s="16"/>
      <c r="H522" s="16"/>
      <c r="I522" s="16"/>
      <c r="J522" s="16"/>
    </row>
    <row r="523">
      <c r="A523" s="16" t="s">
        <v>174</v>
      </c>
      <c r="B523" s="16"/>
      <c r="H523" s="16"/>
      <c r="I523" s="16"/>
      <c r="J523" s="16"/>
    </row>
    <row r="524">
      <c r="A524" s="16" t="s">
        <v>174</v>
      </c>
      <c r="B524" s="16"/>
      <c r="H524" s="16"/>
      <c r="I524" s="16"/>
      <c r="J524" s="16"/>
    </row>
    <row r="525">
      <c r="A525" s="16" t="s">
        <v>174</v>
      </c>
      <c r="B525" s="16"/>
      <c r="H525" s="16"/>
      <c r="I525" s="16"/>
      <c r="J525" s="16"/>
    </row>
    <row r="526">
      <c r="A526" s="16" t="s">
        <v>174</v>
      </c>
      <c r="B526" s="16"/>
      <c r="H526" s="16"/>
      <c r="I526" s="16"/>
      <c r="J526" s="16"/>
    </row>
    <row r="527">
      <c r="A527" s="16" t="s">
        <v>174</v>
      </c>
      <c r="B527" s="16"/>
      <c r="H527" s="16"/>
      <c r="I527" s="16"/>
      <c r="J527" s="16"/>
    </row>
    <row r="528">
      <c r="A528" s="16" t="s">
        <v>174</v>
      </c>
      <c r="B528" s="16"/>
      <c r="H528" s="16"/>
      <c r="I528" s="16"/>
      <c r="J528" s="16"/>
    </row>
    <row r="529">
      <c r="A529" s="16" t="s">
        <v>174</v>
      </c>
      <c r="B529" s="16"/>
      <c r="H529" s="16"/>
      <c r="I529" s="16"/>
      <c r="J529" s="16"/>
    </row>
    <row r="530">
      <c r="A530" s="16" t="s">
        <v>174</v>
      </c>
      <c r="B530" s="16"/>
      <c r="H530" s="16"/>
      <c r="I530" s="16"/>
      <c r="J530" s="16"/>
    </row>
    <row r="531">
      <c r="A531" s="16" t="s">
        <v>174</v>
      </c>
      <c r="B531" s="16"/>
      <c r="H531" s="16"/>
      <c r="I531" s="16"/>
      <c r="J531" s="16"/>
    </row>
    <row r="532">
      <c r="A532" s="16" t="s">
        <v>174</v>
      </c>
      <c r="B532" s="16"/>
      <c r="H532" s="16"/>
      <c r="I532" s="16"/>
      <c r="J532" s="16"/>
    </row>
    <row r="533">
      <c r="A533" s="16" t="s">
        <v>174</v>
      </c>
      <c r="B533" s="16"/>
      <c r="H533" s="16"/>
      <c r="I533" s="16"/>
      <c r="J533" s="16"/>
    </row>
    <row r="534">
      <c r="A534" s="16" t="s">
        <v>174</v>
      </c>
      <c r="B534" s="16"/>
      <c r="H534" s="16"/>
      <c r="I534" s="16"/>
      <c r="J534" s="16"/>
    </row>
    <row r="535">
      <c r="A535" s="16" t="s">
        <v>174</v>
      </c>
      <c r="B535" s="16"/>
      <c r="H535" s="16"/>
      <c r="I535" s="16"/>
      <c r="J535" s="16"/>
    </row>
    <row r="536">
      <c r="A536" s="16" t="s">
        <v>174</v>
      </c>
      <c r="B536" s="16"/>
      <c r="H536" s="16"/>
      <c r="I536" s="16"/>
      <c r="J536" s="16"/>
    </row>
    <row r="537">
      <c r="A537" s="16" t="s">
        <v>174</v>
      </c>
      <c r="B537" s="16"/>
      <c r="H537" s="16"/>
      <c r="I537" s="16"/>
      <c r="J537" s="16"/>
    </row>
    <row r="538">
      <c r="A538" s="16" t="s">
        <v>174</v>
      </c>
      <c r="B538" s="16"/>
      <c r="H538" s="16"/>
      <c r="I538" s="16"/>
      <c r="J538" s="16"/>
    </row>
    <row r="539">
      <c r="A539" s="16" t="s">
        <v>174</v>
      </c>
      <c r="B539" s="16"/>
      <c r="H539" s="16"/>
      <c r="I539" s="16"/>
      <c r="J539" s="16"/>
    </row>
    <row r="540">
      <c r="A540" s="16" t="s">
        <v>174</v>
      </c>
      <c r="B540" s="16"/>
      <c r="H540" s="16"/>
      <c r="I540" s="16"/>
      <c r="J540" s="16"/>
    </row>
    <row r="541">
      <c r="A541" s="16" t="s">
        <v>174</v>
      </c>
      <c r="B541" s="16"/>
      <c r="H541" s="16"/>
      <c r="I541" s="16"/>
      <c r="J541" s="16"/>
    </row>
    <row r="542">
      <c r="A542" s="16" t="s">
        <v>174</v>
      </c>
      <c r="B542" s="16"/>
      <c r="H542" s="16"/>
      <c r="I542" s="16"/>
      <c r="J542" s="16"/>
    </row>
    <row r="543">
      <c r="A543" s="16" t="s">
        <v>174</v>
      </c>
      <c r="B543" s="16"/>
      <c r="H543" s="16"/>
      <c r="I543" s="16"/>
      <c r="J543" s="16"/>
    </row>
    <row r="544">
      <c r="A544" s="16" t="s">
        <v>174</v>
      </c>
      <c r="B544" s="16"/>
      <c r="H544" s="16"/>
      <c r="I544" s="16"/>
      <c r="J544" s="16"/>
    </row>
    <row r="545">
      <c r="A545" s="16" t="s">
        <v>174</v>
      </c>
      <c r="B545" s="16"/>
      <c r="H545" s="16"/>
      <c r="I545" s="16"/>
      <c r="J545" s="16"/>
    </row>
    <row r="546">
      <c r="A546" s="16" t="s">
        <v>174</v>
      </c>
      <c r="B546" s="16"/>
      <c r="H546" s="16"/>
      <c r="I546" s="16"/>
      <c r="J546" s="16"/>
    </row>
    <row r="547">
      <c r="A547" s="16" t="s">
        <v>174</v>
      </c>
      <c r="B547" s="16"/>
      <c r="H547" s="16"/>
      <c r="I547" s="16"/>
      <c r="J547" s="16"/>
    </row>
    <row r="548">
      <c r="A548" s="16" t="s">
        <v>174</v>
      </c>
      <c r="B548" s="16"/>
      <c r="H548" s="16"/>
      <c r="I548" s="16"/>
      <c r="J548" s="16"/>
    </row>
    <row r="549">
      <c r="A549" s="16" t="s">
        <v>174</v>
      </c>
      <c r="B549" s="16"/>
      <c r="H549" s="16"/>
      <c r="I549" s="16"/>
      <c r="J549" s="16"/>
    </row>
    <row r="550">
      <c r="A550" s="16" t="s">
        <v>174</v>
      </c>
      <c r="B550" s="16"/>
      <c r="H550" s="16"/>
      <c r="I550" s="16"/>
      <c r="J550" s="16"/>
    </row>
    <row r="551">
      <c r="A551" s="16" t="s">
        <v>174</v>
      </c>
      <c r="B551" s="16"/>
      <c r="H551" s="16"/>
      <c r="I551" s="16"/>
      <c r="J551" s="16"/>
    </row>
    <row r="552">
      <c r="A552" s="16" t="s">
        <v>174</v>
      </c>
      <c r="B552" s="16"/>
      <c r="H552" s="16"/>
      <c r="I552" s="16"/>
      <c r="J552" s="16"/>
    </row>
    <row r="553">
      <c r="A553" s="16" t="s">
        <v>174</v>
      </c>
      <c r="B553" s="16"/>
      <c r="H553" s="16"/>
      <c r="I553" s="16"/>
      <c r="J553" s="16"/>
    </row>
    <row r="554">
      <c r="A554" s="16" t="s">
        <v>174</v>
      </c>
      <c r="B554" s="16"/>
      <c r="H554" s="16"/>
      <c r="I554" s="16"/>
      <c r="J554" s="16"/>
    </row>
    <row r="555">
      <c r="A555" s="16" t="s">
        <v>174</v>
      </c>
      <c r="B555" s="16"/>
      <c r="H555" s="16"/>
      <c r="I555" s="16"/>
      <c r="J555" s="16"/>
    </row>
    <row r="556">
      <c r="A556" s="16" t="s">
        <v>174</v>
      </c>
      <c r="B556" s="16"/>
      <c r="H556" s="16"/>
      <c r="I556" s="16"/>
      <c r="J556" s="16"/>
    </row>
    <row r="557">
      <c r="A557" s="16" t="s">
        <v>174</v>
      </c>
      <c r="B557" s="16"/>
      <c r="H557" s="16"/>
      <c r="I557" s="16"/>
      <c r="J557" s="16"/>
    </row>
    <row r="558">
      <c r="A558" s="16" t="s">
        <v>174</v>
      </c>
      <c r="B558" s="16"/>
      <c r="H558" s="16"/>
      <c r="I558" s="16"/>
      <c r="J558" s="16"/>
    </row>
    <row r="559">
      <c r="A559" s="16" t="s">
        <v>174</v>
      </c>
      <c r="B559" s="16"/>
      <c r="H559" s="16"/>
      <c r="I559" s="16"/>
      <c r="J559" s="16"/>
    </row>
    <row r="560">
      <c r="A560" s="16" t="s">
        <v>174</v>
      </c>
      <c r="B560" s="16"/>
      <c r="H560" s="16"/>
      <c r="I560" s="16"/>
      <c r="J560" s="16"/>
    </row>
    <row r="561">
      <c r="A561" s="16" t="s">
        <v>174</v>
      </c>
      <c r="B561" s="16"/>
      <c r="H561" s="16"/>
      <c r="I561" s="16"/>
      <c r="J561" s="16"/>
    </row>
    <row r="562">
      <c r="A562" s="16" t="s">
        <v>174</v>
      </c>
      <c r="B562" s="16"/>
      <c r="H562" s="16"/>
      <c r="I562" s="16"/>
      <c r="J562" s="16"/>
    </row>
    <row r="563">
      <c r="A563" s="16" t="s">
        <v>174</v>
      </c>
      <c r="B563" s="16"/>
      <c r="H563" s="16"/>
      <c r="I563" s="16"/>
      <c r="J563" s="16"/>
    </row>
    <row r="564">
      <c r="A564" s="16" t="s">
        <v>174</v>
      </c>
      <c r="B564" s="16"/>
      <c r="H564" s="16"/>
      <c r="I564" s="16"/>
      <c r="J564" s="16"/>
    </row>
    <row r="565">
      <c r="A565" s="16" t="s">
        <v>174</v>
      </c>
      <c r="B565" s="16"/>
      <c r="H565" s="16"/>
      <c r="I565" s="16"/>
      <c r="J565" s="16"/>
    </row>
    <row r="566">
      <c r="A566" s="16" t="s">
        <v>174</v>
      </c>
      <c r="B566" s="16"/>
      <c r="H566" s="16"/>
      <c r="I566" s="16"/>
      <c r="J566" s="16"/>
    </row>
    <row r="567">
      <c r="A567" s="16" t="s">
        <v>174</v>
      </c>
      <c r="B567" s="16"/>
      <c r="H567" s="16"/>
      <c r="I567" s="16"/>
      <c r="J567" s="16"/>
    </row>
    <row r="568">
      <c r="A568" s="16" t="s">
        <v>174</v>
      </c>
      <c r="B568" s="16"/>
      <c r="H568" s="16"/>
      <c r="I568" s="16"/>
      <c r="J568" s="16"/>
    </row>
    <row r="569">
      <c r="A569" s="16" t="s">
        <v>174</v>
      </c>
      <c r="B569" s="16"/>
      <c r="H569" s="16"/>
      <c r="I569" s="16"/>
      <c r="J569" s="16"/>
    </row>
    <row r="570">
      <c r="A570" s="16" t="s">
        <v>174</v>
      </c>
      <c r="B570" s="16"/>
      <c r="H570" s="16"/>
      <c r="I570" s="16"/>
      <c r="J570" s="16"/>
    </row>
    <row r="571">
      <c r="A571" s="16" t="s">
        <v>174</v>
      </c>
      <c r="B571" s="16"/>
      <c r="H571" s="16"/>
      <c r="I571" s="16"/>
      <c r="J571" s="16"/>
    </row>
    <row r="572">
      <c r="A572" s="16" t="s">
        <v>174</v>
      </c>
      <c r="B572" s="16"/>
      <c r="H572" s="16"/>
      <c r="I572" s="16"/>
      <c r="J572" s="16"/>
    </row>
    <row r="573">
      <c r="A573" s="16" t="s">
        <v>174</v>
      </c>
      <c r="B573" s="16"/>
      <c r="H573" s="16"/>
      <c r="I573" s="16"/>
      <c r="J573" s="16"/>
    </row>
    <row r="574">
      <c r="A574" s="16" t="s">
        <v>174</v>
      </c>
      <c r="B574" s="16"/>
      <c r="H574" s="16"/>
      <c r="I574" s="16"/>
      <c r="J574" s="16"/>
    </row>
    <row r="575">
      <c r="A575" s="16" t="s">
        <v>174</v>
      </c>
      <c r="B575" s="16"/>
      <c r="H575" s="16"/>
      <c r="I575" s="16"/>
      <c r="J575" s="16"/>
    </row>
    <row r="576">
      <c r="A576" s="16" t="s">
        <v>174</v>
      </c>
      <c r="B576" s="16"/>
      <c r="H576" s="16"/>
      <c r="I576" s="16"/>
      <c r="J576" s="16"/>
    </row>
    <row r="577">
      <c r="A577" s="16" t="s">
        <v>174</v>
      </c>
      <c r="B577" s="16"/>
      <c r="H577" s="16"/>
      <c r="I577" s="16"/>
      <c r="J577" s="16"/>
    </row>
    <row r="578">
      <c r="A578" s="16" t="s">
        <v>174</v>
      </c>
      <c r="B578" s="16"/>
      <c r="H578" s="16"/>
      <c r="I578" s="16"/>
      <c r="J578" s="16"/>
    </row>
    <row r="579">
      <c r="A579" s="16" t="s">
        <v>174</v>
      </c>
      <c r="B579" s="16"/>
      <c r="H579" s="16"/>
      <c r="I579" s="16"/>
      <c r="J579" s="16"/>
    </row>
    <row r="580">
      <c r="A580" s="16" t="s">
        <v>174</v>
      </c>
      <c r="B580" s="16"/>
      <c r="H580" s="16"/>
      <c r="I580" s="16"/>
      <c r="J580" s="16"/>
    </row>
    <row r="581">
      <c r="A581" s="16" t="s">
        <v>174</v>
      </c>
      <c r="B581" s="16"/>
      <c r="H581" s="16"/>
      <c r="I581" s="16"/>
      <c r="J581" s="16"/>
    </row>
    <row r="582">
      <c r="A582" s="16" t="s">
        <v>174</v>
      </c>
      <c r="B582" s="16"/>
      <c r="H582" s="16"/>
      <c r="I582" s="16"/>
      <c r="J582" s="16"/>
    </row>
    <row r="583">
      <c r="A583" s="16" t="s">
        <v>174</v>
      </c>
      <c r="B583" s="16"/>
      <c r="H583" s="16"/>
      <c r="I583" s="16"/>
      <c r="J583" s="16"/>
    </row>
    <row r="584">
      <c r="A584" s="16" t="s">
        <v>174</v>
      </c>
      <c r="B584" s="16"/>
      <c r="H584" s="16"/>
      <c r="I584" s="16"/>
      <c r="J584" s="16"/>
    </row>
    <row r="585">
      <c r="A585" s="16" t="s">
        <v>174</v>
      </c>
      <c r="B585" s="16"/>
      <c r="H585" s="16"/>
      <c r="I585" s="16"/>
      <c r="J585" s="16"/>
    </row>
    <row r="586">
      <c r="A586" s="16" t="s">
        <v>174</v>
      </c>
      <c r="B586" s="16"/>
      <c r="H586" s="16"/>
      <c r="I586" s="16"/>
      <c r="J586" s="16"/>
    </row>
    <row r="587">
      <c r="A587" s="16" t="s">
        <v>174</v>
      </c>
      <c r="B587" s="16"/>
      <c r="H587" s="16"/>
      <c r="I587" s="16"/>
      <c r="J587" s="16"/>
    </row>
    <row r="588">
      <c r="A588" s="16" t="s">
        <v>174</v>
      </c>
      <c r="B588" s="16"/>
      <c r="H588" s="16"/>
      <c r="I588" s="16"/>
      <c r="J588" s="16"/>
    </row>
    <row r="589">
      <c r="A589" s="16" t="s">
        <v>174</v>
      </c>
      <c r="B589" s="16"/>
      <c r="H589" s="16"/>
      <c r="I589" s="16"/>
      <c r="J589" s="16"/>
    </row>
    <row r="590">
      <c r="A590" s="16" t="s">
        <v>174</v>
      </c>
      <c r="B590" s="16"/>
      <c r="H590" s="16"/>
      <c r="I590" s="16"/>
      <c r="J590" s="16"/>
    </row>
    <row r="591">
      <c r="A591" s="16" t="s">
        <v>174</v>
      </c>
      <c r="B591" s="16"/>
      <c r="H591" s="16"/>
      <c r="I591" s="16"/>
      <c r="J591" s="16"/>
    </row>
    <row r="592">
      <c r="A592" s="16" t="s">
        <v>174</v>
      </c>
      <c r="B592" s="16"/>
      <c r="H592" s="16"/>
      <c r="I592" s="16"/>
      <c r="J592" s="16"/>
    </row>
    <row r="593">
      <c r="A593" s="16" t="s">
        <v>174</v>
      </c>
      <c r="B593" s="16"/>
      <c r="H593" s="16"/>
      <c r="I593" s="16"/>
      <c r="J593" s="16"/>
    </row>
    <row r="594">
      <c r="A594" s="16" t="s">
        <v>174</v>
      </c>
      <c r="B594" s="16"/>
      <c r="H594" s="16"/>
      <c r="I594" s="16"/>
      <c r="J594" s="16"/>
    </row>
    <row r="595">
      <c r="A595" s="16" t="s">
        <v>174</v>
      </c>
      <c r="B595" s="16"/>
      <c r="H595" s="16"/>
      <c r="I595" s="16"/>
      <c r="J595" s="16"/>
    </row>
    <row r="596">
      <c r="A596" s="16" t="s">
        <v>174</v>
      </c>
      <c r="B596" s="16"/>
      <c r="H596" s="16"/>
      <c r="I596" s="16"/>
      <c r="J596" s="16"/>
    </row>
    <row r="597">
      <c r="A597" s="16" t="s">
        <v>174</v>
      </c>
      <c r="B597" s="16"/>
      <c r="H597" s="16"/>
      <c r="I597" s="16"/>
      <c r="J597" s="16"/>
    </row>
    <row r="598">
      <c r="A598" s="16" t="s">
        <v>174</v>
      </c>
      <c r="B598" s="16"/>
      <c r="H598" s="16"/>
      <c r="I598" s="16"/>
      <c r="J598" s="16"/>
    </row>
    <row r="599">
      <c r="A599" s="16" t="s">
        <v>174</v>
      </c>
      <c r="B599" s="16"/>
      <c r="H599" s="16"/>
      <c r="I599" s="16"/>
      <c r="J599" s="16"/>
    </row>
    <row r="600">
      <c r="A600" s="16" t="s">
        <v>174</v>
      </c>
      <c r="B600" s="16"/>
      <c r="H600" s="16"/>
      <c r="I600" s="16"/>
      <c r="J600" s="16"/>
    </row>
    <row r="601">
      <c r="A601" s="16" t="s">
        <v>174</v>
      </c>
      <c r="B601" s="16"/>
      <c r="H601" s="16"/>
      <c r="I601" s="16"/>
      <c r="J601" s="16"/>
    </row>
    <row r="602">
      <c r="A602" s="16" t="s">
        <v>174</v>
      </c>
      <c r="B602" s="16"/>
      <c r="H602" s="16"/>
      <c r="I602" s="16"/>
      <c r="J602" s="16"/>
    </row>
    <row r="603">
      <c r="A603" s="16" t="s">
        <v>174</v>
      </c>
      <c r="B603" s="16"/>
      <c r="H603" s="16"/>
      <c r="I603" s="16"/>
      <c r="J603" s="16"/>
    </row>
    <row r="604">
      <c r="A604" s="16" t="s">
        <v>174</v>
      </c>
      <c r="B604" s="16"/>
      <c r="H604" s="16"/>
      <c r="I604" s="16"/>
      <c r="J604" s="16"/>
    </row>
    <row r="605">
      <c r="A605" s="16" t="s">
        <v>174</v>
      </c>
      <c r="B605" s="16"/>
      <c r="H605" s="16"/>
      <c r="I605" s="16"/>
      <c r="J605" s="16"/>
    </row>
    <row r="606">
      <c r="A606" s="16" t="s">
        <v>174</v>
      </c>
      <c r="B606" s="16"/>
      <c r="H606" s="16"/>
      <c r="I606" s="16"/>
      <c r="J606" s="16"/>
    </row>
    <row r="607">
      <c r="A607" s="16" t="s">
        <v>174</v>
      </c>
      <c r="B607" s="16"/>
      <c r="H607" s="16"/>
      <c r="I607" s="16"/>
      <c r="J607" s="16"/>
    </row>
    <row r="608">
      <c r="A608" s="16" t="s">
        <v>174</v>
      </c>
      <c r="B608" s="16"/>
      <c r="H608" s="16"/>
      <c r="I608" s="16"/>
      <c r="J608" s="16"/>
    </row>
    <row r="609">
      <c r="A609" s="16" t="s">
        <v>174</v>
      </c>
      <c r="B609" s="16"/>
      <c r="H609" s="16"/>
      <c r="I609" s="16"/>
      <c r="J609" s="16"/>
    </row>
    <row r="610">
      <c r="A610" s="16" t="s">
        <v>174</v>
      </c>
      <c r="B610" s="16"/>
      <c r="H610" s="16"/>
      <c r="I610" s="16"/>
      <c r="J610" s="16"/>
    </row>
    <row r="611">
      <c r="A611" s="16" t="s">
        <v>174</v>
      </c>
      <c r="B611" s="16"/>
      <c r="H611" s="16"/>
      <c r="I611" s="16"/>
      <c r="J611" s="16"/>
    </row>
    <row r="612">
      <c r="A612" s="16" t="s">
        <v>174</v>
      </c>
      <c r="B612" s="16"/>
      <c r="H612" s="16"/>
      <c r="I612" s="16"/>
      <c r="J612" s="16"/>
    </row>
    <row r="613">
      <c r="A613" s="16" t="s">
        <v>174</v>
      </c>
      <c r="B613" s="16"/>
      <c r="H613" s="16"/>
      <c r="I613" s="16"/>
      <c r="J613" s="16"/>
    </row>
    <row r="614">
      <c r="A614" s="16" t="s">
        <v>174</v>
      </c>
      <c r="B614" s="16"/>
      <c r="H614" s="16"/>
      <c r="I614" s="16"/>
      <c r="J614" s="16"/>
    </row>
    <row r="615">
      <c r="A615" s="16" t="s">
        <v>174</v>
      </c>
      <c r="B615" s="16"/>
      <c r="H615" s="16"/>
      <c r="I615" s="16"/>
      <c r="J615" s="16"/>
    </row>
    <row r="616">
      <c r="A616" s="16" t="s">
        <v>174</v>
      </c>
      <c r="B616" s="16"/>
      <c r="H616" s="16"/>
      <c r="I616" s="16"/>
      <c r="J616" s="16"/>
    </row>
    <row r="617">
      <c r="A617" s="16" t="s">
        <v>174</v>
      </c>
      <c r="B617" s="16"/>
      <c r="H617" s="16"/>
      <c r="I617" s="16"/>
      <c r="J617" s="16"/>
    </row>
    <row r="618">
      <c r="A618" s="16" t="s">
        <v>174</v>
      </c>
      <c r="B618" s="16"/>
      <c r="H618" s="16"/>
      <c r="I618" s="16"/>
      <c r="J618" s="16"/>
    </row>
    <row r="619">
      <c r="A619" s="16" t="s">
        <v>174</v>
      </c>
      <c r="B619" s="16"/>
      <c r="H619" s="16"/>
      <c r="I619" s="16"/>
      <c r="J619" s="16"/>
    </row>
    <row r="620">
      <c r="A620" s="16" t="s">
        <v>174</v>
      </c>
      <c r="B620" s="16"/>
      <c r="H620" s="16"/>
      <c r="I620" s="16"/>
      <c r="J620" s="16"/>
    </row>
    <row r="621">
      <c r="A621" s="16" t="s">
        <v>174</v>
      </c>
      <c r="B621" s="16"/>
      <c r="H621" s="16"/>
      <c r="I621" s="16"/>
      <c r="J621" s="16"/>
    </row>
    <row r="622">
      <c r="A622" s="16" t="s">
        <v>174</v>
      </c>
      <c r="B622" s="16"/>
      <c r="H622" s="16"/>
      <c r="I622" s="16"/>
      <c r="J622" s="16"/>
    </row>
    <row r="623">
      <c r="A623" s="16" t="s">
        <v>174</v>
      </c>
      <c r="B623" s="16"/>
      <c r="H623" s="16"/>
      <c r="I623" s="16"/>
      <c r="J623" s="16"/>
    </row>
    <row r="624">
      <c r="A624" s="16" t="s">
        <v>174</v>
      </c>
      <c r="B624" s="16"/>
      <c r="H624" s="16"/>
      <c r="I624" s="16"/>
      <c r="J624" s="16"/>
    </row>
    <row r="625">
      <c r="A625" s="16" t="s">
        <v>174</v>
      </c>
      <c r="B625" s="16"/>
      <c r="H625" s="16"/>
      <c r="I625" s="16"/>
      <c r="J625" s="16"/>
    </row>
    <row r="626">
      <c r="A626" s="16" t="s">
        <v>174</v>
      </c>
      <c r="B626" s="16"/>
      <c r="H626" s="16"/>
      <c r="I626" s="16"/>
      <c r="J626" s="16"/>
    </row>
    <row r="627">
      <c r="A627" s="16" t="s">
        <v>174</v>
      </c>
      <c r="B627" s="16"/>
      <c r="H627" s="16"/>
      <c r="I627" s="16"/>
      <c r="J627" s="16"/>
    </row>
    <row r="628">
      <c r="A628" s="16" t="s">
        <v>174</v>
      </c>
      <c r="B628" s="16"/>
      <c r="H628" s="16"/>
      <c r="I628" s="16"/>
      <c r="J628" s="16"/>
    </row>
    <row r="629">
      <c r="A629" s="16" t="s">
        <v>174</v>
      </c>
      <c r="B629" s="16"/>
      <c r="H629" s="16"/>
      <c r="I629" s="16"/>
      <c r="J629" s="16"/>
    </row>
    <row r="630">
      <c r="A630" s="16" t="s">
        <v>174</v>
      </c>
      <c r="B630" s="16"/>
      <c r="H630" s="16"/>
      <c r="I630" s="16"/>
      <c r="J630" s="16"/>
    </row>
    <row r="631">
      <c r="A631" s="16" t="s">
        <v>174</v>
      </c>
      <c r="B631" s="16"/>
      <c r="H631" s="16"/>
      <c r="I631" s="16"/>
      <c r="J631" s="16"/>
    </row>
    <row r="632">
      <c r="A632" s="16" t="s">
        <v>174</v>
      </c>
      <c r="B632" s="16"/>
      <c r="H632" s="16"/>
      <c r="I632" s="16"/>
      <c r="J632" s="16"/>
    </row>
    <row r="633">
      <c r="A633" s="16" t="s">
        <v>174</v>
      </c>
      <c r="B633" s="16"/>
      <c r="H633" s="16"/>
      <c r="I633" s="16"/>
      <c r="J633" s="16"/>
    </row>
    <row r="634">
      <c r="A634" s="16" t="s">
        <v>174</v>
      </c>
      <c r="B634" s="16"/>
      <c r="H634" s="16"/>
      <c r="I634" s="16"/>
      <c r="J634" s="16"/>
    </row>
    <row r="635">
      <c r="A635" s="16" t="s">
        <v>174</v>
      </c>
      <c r="B635" s="16"/>
      <c r="H635" s="16"/>
      <c r="I635" s="16"/>
      <c r="J635" s="16"/>
    </row>
    <row r="636">
      <c r="A636" s="16" t="s">
        <v>174</v>
      </c>
      <c r="B636" s="16"/>
      <c r="H636" s="16"/>
      <c r="I636" s="16"/>
      <c r="J636" s="16"/>
    </row>
    <row r="637">
      <c r="A637" s="16" t="s">
        <v>174</v>
      </c>
      <c r="B637" s="16"/>
      <c r="H637" s="16"/>
      <c r="I637" s="16"/>
      <c r="J637" s="16"/>
    </row>
    <row r="638">
      <c r="A638" s="16" t="s">
        <v>174</v>
      </c>
      <c r="B638" s="16"/>
      <c r="H638" s="16"/>
      <c r="I638" s="16"/>
      <c r="J638" s="16"/>
    </row>
    <row r="639">
      <c r="A639" s="16" t="s">
        <v>174</v>
      </c>
      <c r="B639" s="16"/>
      <c r="H639" s="16"/>
      <c r="I639" s="16"/>
      <c r="J639" s="16"/>
    </row>
    <row r="640">
      <c r="A640" s="16" t="s">
        <v>174</v>
      </c>
      <c r="B640" s="16"/>
      <c r="H640" s="16"/>
      <c r="I640" s="16"/>
      <c r="J640" s="16"/>
    </row>
    <row r="641">
      <c r="A641" s="16" t="s">
        <v>174</v>
      </c>
      <c r="B641" s="16"/>
      <c r="H641" s="16"/>
      <c r="I641" s="16"/>
      <c r="J641" s="16"/>
    </row>
    <row r="642">
      <c r="A642" s="16" t="s">
        <v>174</v>
      </c>
      <c r="B642" s="16"/>
      <c r="H642" s="16"/>
      <c r="I642" s="16"/>
      <c r="J642" s="16"/>
    </row>
    <row r="643">
      <c r="A643" s="16" t="s">
        <v>174</v>
      </c>
      <c r="B643" s="16"/>
      <c r="H643" s="16"/>
      <c r="I643" s="16"/>
      <c r="J643" s="16"/>
    </row>
    <row r="644">
      <c r="A644" s="16" t="s">
        <v>174</v>
      </c>
      <c r="B644" s="16"/>
      <c r="H644" s="16"/>
      <c r="I644" s="16"/>
      <c r="J644" s="16"/>
    </row>
    <row r="645">
      <c r="A645" s="16" t="s">
        <v>174</v>
      </c>
      <c r="B645" s="16"/>
      <c r="H645" s="16"/>
      <c r="I645" s="16"/>
      <c r="J645" s="16"/>
    </row>
    <row r="646">
      <c r="A646" s="16" t="s">
        <v>174</v>
      </c>
      <c r="B646" s="16"/>
      <c r="H646" s="16"/>
      <c r="I646" s="16"/>
      <c r="J646" s="16"/>
    </row>
    <row r="647">
      <c r="A647" s="16" t="s">
        <v>174</v>
      </c>
      <c r="B647" s="16"/>
      <c r="H647" s="16"/>
      <c r="I647" s="16"/>
      <c r="J647" s="16"/>
    </row>
    <row r="648">
      <c r="A648" s="16" t="s">
        <v>174</v>
      </c>
      <c r="B648" s="16"/>
      <c r="H648" s="16"/>
      <c r="I648" s="16"/>
      <c r="J648" s="16"/>
    </row>
    <row r="649">
      <c r="A649" s="16" t="s">
        <v>174</v>
      </c>
      <c r="B649" s="16"/>
      <c r="H649" s="16"/>
      <c r="I649" s="16"/>
      <c r="J649" s="16"/>
    </row>
    <row r="650">
      <c r="A650" s="16" t="s">
        <v>174</v>
      </c>
      <c r="B650" s="16"/>
      <c r="H650" s="16"/>
      <c r="I650" s="16"/>
      <c r="J650" s="16"/>
    </row>
    <row r="651">
      <c r="A651" s="16" t="s">
        <v>174</v>
      </c>
      <c r="B651" s="16"/>
      <c r="H651" s="16"/>
      <c r="I651" s="16"/>
      <c r="J651" s="16"/>
    </row>
    <row r="652">
      <c r="A652" s="16" t="s">
        <v>174</v>
      </c>
      <c r="B652" s="16"/>
      <c r="H652" s="16"/>
      <c r="I652" s="16"/>
      <c r="J652" s="16"/>
    </row>
    <row r="653">
      <c r="A653" s="16" t="s">
        <v>174</v>
      </c>
      <c r="B653" s="16"/>
      <c r="H653" s="16"/>
      <c r="I653" s="16"/>
      <c r="J653" s="16"/>
    </row>
    <row r="654">
      <c r="A654" s="16" t="s">
        <v>174</v>
      </c>
      <c r="B654" s="16"/>
      <c r="H654" s="16"/>
      <c r="I654" s="16"/>
      <c r="J654" s="16"/>
    </row>
    <row r="655">
      <c r="A655" s="16" t="s">
        <v>174</v>
      </c>
      <c r="B655" s="16"/>
      <c r="H655" s="16"/>
      <c r="I655" s="16"/>
      <c r="J655" s="16"/>
    </row>
    <row r="656">
      <c r="A656" s="16" t="s">
        <v>174</v>
      </c>
      <c r="B656" s="16"/>
      <c r="H656" s="16"/>
      <c r="I656" s="16"/>
      <c r="J656" s="16"/>
    </row>
    <row r="657">
      <c r="A657" s="16" t="s">
        <v>174</v>
      </c>
      <c r="B657" s="16"/>
      <c r="H657" s="16"/>
      <c r="I657" s="16"/>
      <c r="J657" s="16"/>
    </row>
    <row r="658">
      <c r="A658" s="16" t="s">
        <v>174</v>
      </c>
      <c r="B658" s="16"/>
      <c r="H658" s="16"/>
      <c r="I658" s="16"/>
      <c r="J658" s="16"/>
    </row>
    <row r="659">
      <c r="A659" s="16" t="s">
        <v>174</v>
      </c>
      <c r="B659" s="16"/>
      <c r="H659" s="16"/>
      <c r="I659" s="16"/>
      <c r="J659" s="16"/>
    </row>
    <row r="660">
      <c r="A660" s="16" t="s">
        <v>174</v>
      </c>
      <c r="B660" s="16"/>
      <c r="H660" s="16"/>
      <c r="I660" s="16"/>
      <c r="J660" s="16"/>
    </row>
    <row r="661">
      <c r="A661" s="16" t="s">
        <v>174</v>
      </c>
      <c r="B661" s="16"/>
      <c r="H661" s="16"/>
      <c r="I661" s="16"/>
      <c r="J661" s="16"/>
    </row>
    <row r="662">
      <c r="A662" s="16" t="s">
        <v>174</v>
      </c>
      <c r="B662" s="16"/>
      <c r="H662" s="16"/>
      <c r="I662" s="16"/>
      <c r="J662" s="16"/>
    </row>
    <row r="663">
      <c r="A663" s="16" t="s">
        <v>174</v>
      </c>
      <c r="B663" s="16"/>
      <c r="H663" s="16"/>
      <c r="I663" s="16"/>
      <c r="J663" s="16"/>
    </row>
    <row r="664">
      <c r="A664" s="16" t="s">
        <v>174</v>
      </c>
      <c r="B664" s="16"/>
      <c r="H664" s="16"/>
      <c r="I664" s="16"/>
      <c r="J664" s="16"/>
    </row>
    <row r="665">
      <c r="A665" s="16" t="s">
        <v>174</v>
      </c>
      <c r="B665" s="16"/>
      <c r="H665" s="16"/>
      <c r="I665" s="16"/>
      <c r="J665" s="16"/>
    </row>
    <row r="666">
      <c r="A666" s="16" t="s">
        <v>174</v>
      </c>
      <c r="B666" s="16"/>
      <c r="H666" s="16"/>
      <c r="I666" s="16"/>
      <c r="J666" s="16"/>
    </row>
    <row r="667">
      <c r="A667" s="16" t="s">
        <v>174</v>
      </c>
      <c r="B667" s="16"/>
      <c r="H667" s="16"/>
      <c r="I667" s="16"/>
      <c r="J667" s="16"/>
    </row>
    <row r="668">
      <c r="A668" s="16" t="s">
        <v>174</v>
      </c>
      <c r="B668" s="16"/>
      <c r="H668" s="16"/>
      <c r="I668" s="16"/>
      <c r="J668" s="16"/>
    </row>
    <row r="669">
      <c r="A669" s="16" t="s">
        <v>174</v>
      </c>
      <c r="B669" s="16"/>
      <c r="H669" s="16"/>
      <c r="I669" s="16"/>
      <c r="J669" s="16"/>
    </row>
    <row r="670">
      <c r="A670" s="16" t="s">
        <v>174</v>
      </c>
      <c r="B670" s="16"/>
      <c r="H670" s="16"/>
      <c r="I670" s="16"/>
      <c r="J670" s="16"/>
    </row>
    <row r="671">
      <c r="A671" s="16" t="s">
        <v>174</v>
      </c>
      <c r="B671" s="16"/>
      <c r="H671" s="16"/>
      <c r="I671" s="16"/>
      <c r="J671" s="16"/>
    </row>
    <row r="672">
      <c r="A672" s="16" t="s">
        <v>174</v>
      </c>
      <c r="B672" s="16"/>
      <c r="H672" s="16"/>
      <c r="I672" s="16"/>
      <c r="J672" s="16"/>
    </row>
    <row r="673">
      <c r="A673" s="16" t="s">
        <v>174</v>
      </c>
      <c r="B673" s="16"/>
      <c r="H673" s="16"/>
      <c r="I673" s="16"/>
      <c r="J673" s="16"/>
    </row>
    <row r="674">
      <c r="A674" s="16" t="s">
        <v>174</v>
      </c>
      <c r="B674" s="16"/>
      <c r="H674" s="16"/>
      <c r="I674" s="16"/>
      <c r="J674" s="16"/>
    </row>
    <row r="675">
      <c r="A675" s="16" t="s">
        <v>174</v>
      </c>
      <c r="B675" s="16"/>
      <c r="H675" s="16"/>
      <c r="I675" s="16"/>
      <c r="J675" s="16"/>
    </row>
    <row r="676">
      <c r="A676" s="16" t="s">
        <v>174</v>
      </c>
      <c r="B676" s="16"/>
      <c r="H676" s="16"/>
      <c r="I676" s="16"/>
      <c r="J676" s="16"/>
    </row>
    <row r="677">
      <c r="A677" s="16" t="s">
        <v>174</v>
      </c>
      <c r="B677" s="16"/>
      <c r="H677" s="16"/>
      <c r="I677" s="16"/>
      <c r="J677" s="16"/>
    </row>
    <row r="678">
      <c r="A678" s="16" t="s">
        <v>174</v>
      </c>
      <c r="B678" s="16"/>
      <c r="H678" s="16"/>
      <c r="I678" s="16"/>
      <c r="J678" s="16"/>
    </row>
    <row r="679">
      <c r="A679" s="16" t="s">
        <v>174</v>
      </c>
      <c r="B679" s="16"/>
      <c r="H679" s="16"/>
      <c r="I679" s="16"/>
      <c r="J679" s="16"/>
    </row>
    <row r="680">
      <c r="A680" s="16" t="s">
        <v>174</v>
      </c>
      <c r="B680" s="16"/>
      <c r="H680" s="16"/>
      <c r="I680" s="16"/>
      <c r="J680" s="16"/>
    </row>
    <row r="681">
      <c r="A681" s="16" t="s">
        <v>174</v>
      </c>
      <c r="B681" s="16"/>
      <c r="H681" s="16"/>
      <c r="I681" s="16"/>
      <c r="J681" s="16"/>
    </row>
    <row r="682">
      <c r="A682" s="16" t="s">
        <v>174</v>
      </c>
      <c r="B682" s="16"/>
      <c r="H682" s="16"/>
      <c r="I682" s="16"/>
      <c r="J682" s="16"/>
    </row>
    <row r="683">
      <c r="A683" s="16" t="s">
        <v>174</v>
      </c>
      <c r="B683" s="16"/>
      <c r="H683" s="16"/>
      <c r="I683" s="16"/>
      <c r="J683" s="16"/>
    </row>
    <row r="684">
      <c r="A684" s="16" t="s">
        <v>174</v>
      </c>
      <c r="B684" s="16"/>
      <c r="H684" s="16"/>
      <c r="I684" s="16"/>
      <c r="J684" s="16"/>
    </row>
    <row r="685">
      <c r="A685" s="16" t="s">
        <v>174</v>
      </c>
      <c r="B685" s="16"/>
      <c r="H685" s="16"/>
      <c r="I685" s="16"/>
      <c r="J685" s="16"/>
    </row>
    <row r="686">
      <c r="A686" s="16" t="s">
        <v>174</v>
      </c>
      <c r="B686" s="16"/>
      <c r="H686" s="16"/>
      <c r="I686" s="16"/>
      <c r="J686" s="16"/>
    </row>
    <row r="687">
      <c r="A687" s="16" t="s">
        <v>174</v>
      </c>
      <c r="B687" s="16"/>
      <c r="H687" s="16"/>
      <c r="I687" s="16"/>
      <c r="J687" s="16"/>
    </row>
    <row r="688">
      <c r="A688" s="16" t="s">
        <v>174</v>
      </c>
      <c r="B688" s="16"/>
      <c r="H688" s="16"/>
      <c r="I688" s="16"/>
      <c r="J688" s="16"/>
    </row>
    <row r="689">
      <c r="A689" s="16" t="s">
        <v>174</v>
      </c>
      <c r="B689" s="16"/>
      <c r="H689" s="16"/>
      <c r="I689" s="16"/>
      <c r="J689" s="16"/>
    </row>
    <row r="690">
      <c r="A690" s="16" t="s">
        <v>174</v>
      </c>
      <c r="B690" s="16"/>
      <c r="H690" s="16"/>
      <c r="I690" s="16"/>
      <c r="J690" s="16"/>
    </row>
    <row r="691">
      <c r="A691" s="16" t="s">
        <v>174</v>
      </c>
      <c r="B691" s="16"/>
      <c r="H691" s="16"/>
      <c r="I691" s="16"/>
      <c r="J691" s="16"/>
    </row>
    <row r="692">
      <c r="A692" s="16" t="s">
        <v>174</v>
      </c>
      <c r="B692" s="16"/>
      <c r="H692" s="16"/>
      <c r="I692" s="16"/>
      <c r="J692" s="16"/>
    </row>
    <row r="693">
      <c r="A693" s="16" t="s">
        <v>174</v>
      </c>
      <c r="B693" s="16"/>
      <c r="H693" s="16"/>
      <c r="I693" s="16"/>
      <c r="J693" s="16"/>
    </row>
    <row r="694">
      <c r="A694" s="16" t="s">
        <v>174</v>
      </c>
      <c r="B694" s="16"/>
      <c r="H694" s="16"/>
      <c r="I694" s="16"/>
      <c r="J694" s="16"/>
    </row>
    <row r="695">
      <c r="A695" s="16" t="s">
        <v>174</v>
      </c>
      <c r="B695" s="16"/>
      <c r="H695" s="16"/>
      <c r="I695" s="16"/>
      <c r="J695" s="16"/>
    </row>
    <row r="696">
      <c r="A696" s="16" t="s">
        <v>174</v>
      </c>
      <c r="B696" s="16"/>
      <c r="H696" s="16"/>
      <c r="I696" s="16"/>
      <c r="J696" s="16"/>
    </row>
    <row r="697">
      <c r="A697" s="16" t="s">
        <v>174</v>
      </c>
      <c r="B697" s="16"/>
      <c r="H697" s="16"/>
      <c r="I697" s="16"/>
      <c r="J697" s="16"/>
    </row>
    <row r="698">
      <c r="A698" s="16" t="s">
        <v>174</v>
      </c>
      <c r="B698" s="16"/>
      <c r="H698" s="16"/>
      <c r="I698" s="16"/>
      <c r="J698" s="16"/>
    </row>
    <row r="699">
      <c r="A699" s="16" t="s">
        <v>174</v>
      </c>
      <c r="B699" s="16"/>
      <c r="H699" s="16"/>
      <c r="I699" s="16"/>
      <c r="J699" s="16"/>
    </row>
    <row r="700">
      <c r="A700" s="16" t="s">
        <v>174</v>
      </c>
      <c r="B700" s="16"/>
      <c r="H700" s="16"/>
      <c r="I700" s="16"/>
      <c r="J700" s="16"/>
    </row>
    <row r="701">
      <c r="A701" s="16" t="s">
        <v>174</v>
      </c>
      <c r="B701" s="16"/>
      <c r="H701" s="16"/>
      <c r="I701" s="16"/>
      <c r="J701" s="16"/>
    </row>
    <row r="702">
      <c r="A702" s="16" t="s">
        <v>174</v>
      </c>
      <c r="B702" s="16"/>
      <c r="H702" s="16"/>
      <c r="I702" s="16"/>
      <c r="J702" s="16"/>
    </row>
    <row r="703">
      <c r="A703" s="16" t="s">
        <v>174</v>
      </c>
      <c r="B703" s="16"/>
      <c r="H703" s="16"/>
      <c r="I703" s="16"/>
      <c r="J703" s="16"/>
    </row>
    <row r="704">
      <c r="A704" s="16" t="s">
        <v>174</v>
      </c>
      <c r="B704" s="16"/>
      <c r="H704" s="16"/>
      <c r="I704" s="16"/>
      <c r="J704" s="16"/>
    </row>
    <row r="705">
      <c r="A705" s="16" t="s">
        <v>174</v>
      </c>
      <c r="B705" s="16"/>
      <c r="H705" s="16"/>
      <c r="I705" s="16"/>
      <c r="J705" s="16"/>
    </row>
    <row r="706">
      <c r="A706" s="16" t="s">
        <v>174</v>
      </c>
      <c r="B706" s="16"/>
      <c r="H706" s="16"/>
      <c r="I706" s="16"/>
      <c r="J706" s="16"/>
    </row>
    <row r="707">
      <c r="A707" s="16" t="s">
        <v>174</v>
      </c>
      <c r="B707" s="16"/>
      <c r="H707" s="16"/>
      <c r="I707" s="16"/>
      <c r="J707" s="16"/>
    </row>
    <row r="708">
      <c r="A708" s="16" t="s">
        <v>174</v>
      </c>
      <c r="B708" s="16"/>
      <c r="H708" s="16"/>
      <c r="I708" s="16"/>
      <c r="J708" s="16"/>
    </row>
    <row r="709">
      <c r="A709" s="16" t="s">
        <v>174</v>
      </c>
      <c r="B709" s="16"/>
      <c r="H709" s="16"/>
      <c r="I709" s="16"/>
      <c r="J709" s="16"/>
    </row>
    <row r="710">
      <c r="A710" s="16" t="s">
        <v>174</v>
      </c>
      <c r="B710" s="16"/>
      <c r="H710" s="16"/>
      <c r="I710" s="16"/>
      <c r="J710" s="16"/>
    </row>
    <row r="711">
      <c r="A711" s="16" t="s">
        <v>174</v>
      </c>
      <c r="B711" s="16"/>
      <c r="H711" s="16"/>
      <c r="I711" s="16"/>
      <c r="J711" s="16"/>
    </row>
    <row r="712">
      <c r="A712" s="16" t="s">
        <v>174</v>
      </c>
      <c r="B712" s="16"/>
      <c r="H712" s="16"/>
      <c r="I712" s="16"/>
      <c r="J712" s="16"/>
    </row>
    <row r="713">
      <c r="A713" s="16" t="s">
        <v>174</v>
      </c>
      <c r="B713" s="16"/>
      <c r="H713" s="16"/>
      <c r="I713" s="16"/>
      <c r="J713" s="16"/>
    </row>
    <row r="714">
      <c r="A714" s="16" t="s">
        <v>174</v>
      </c>
      <c r="B714" s="16"/>
      <c r="H714" s="16"/>
      <c r="I714" s="16"/>
      <c r="J714" s="16"/>
    </row>
    <row r="715">
      <c r="A715" s="16" t="s">
        <v>174</v>
      </c>
      <c r="B715" s="16"/>
      <c r="H715" s="16"/>
      <c r="I715" s="16"/>
      <c r="J715" s="16"/>
    </row>
    <row r="716">
      <c r="A716" s="16" t="s">
        <v>174</v>
      </c>
      <c r="B716" s="16"/>
      <c r="H716" s="16"/>
      <c r="I716" s="16"/>
      <c r="J716" s="16"/>
    </row>
    <row r="717">
      <c r="A717" s="16" t="s">
        <v>174</v>
      </c>
      <c r="B717" s="16"/>
      <c r="H717" s="16"/>
      <c r="I717" s="16"/>
      <c r="J717" s="16"/>
    </row>
    <row r="718">
      <c r="A718" s="16" t="s">
        <v>174</v>
      </c>
      <c r="B718" s="16"/>
      <c r="H718" s="16"/>
      <c r="I718" s="16"/>
      <c r="J718" s="16"/>
    </row>
    <row r="719">
      <c r="A719" s="16" t="s">
        <v>174</v>
      </c>
      <c r="B719" s="16"/>
      <c r="H719" s="16"/>
      <c r="I719" s="16"/>
      <c r="J719" s="16"/>
    </row>
    <row r="720">
      <c r="A720" s="16" t="s">
        <v>174</v>
      </c>
      <c r="B720" s="16"/>
      <c r="H720" s="16"/>
      <c r="I720" s="16"/>
      <c r="J720" s="16"/>
    </row>
    <row r="721">
      <c r="A721" s="16" t="s">
        <v>174</v>
      </c>
      <c r="B721" s="16"/>
      <c r="H721" s="16"/>
      <c r="I721" s="16"/>
      <c r="J721" s="16"/>
    </row>
    <row r="722">
      <c r="A722" s="16" t="s">
        <v>174</v>
      </c>
      <c r="B722" s="16"/>
      <c r="H722" s="16"/>
      <c r="I722" s="16"/>
      <c r="J722" s="16"/>
    </row>
    <row r="723">
      <c r="A723" s="16" t="s">
        <v>174</v>
      </c>
      <c r="B723" s="16"/>
      <c r="H723" s="16"/>
      <c r="I723" s="16"/>
      <c r="J723" s="16"/>
    </row>
    <row r="724">
      <c r="A724" s="16" t="s">
        <v>174</v>
      </c>
      <c r="B724" s="16"/>
      <c r="H724" s="16"/>
      <c r="I724" s="16"/>
      <c r="J724" s="16"/>
    </row>
    <row r="725">
      <c r="A725" s="16" t="s">
        <v>174</v>
      </c>
      <c r="B725" s="16"/>
      <c r="H725" s="16"/>
      <c r="I725" s="16"/>
      <c r="J725" s="16"/>
    </row>
    <row r="726">
      <c r="A726" s="16" t="s">
        <v>174</v>
      </c>
      <c r="B726" s="16"/>
      <c r="H726" s="16"/>
      <c r="I726" s="16"/>
      <c r="J726" s="16"/>
    </row>
    <row r="727">
      <c r="A727" s="16" t="s">
        <v>174</v>
      </c>
      <c r="B727" s="16"/>
      <c r="H727" s="16"/>
      <c r="I727" s="16"/>
      <c r="J727" s="16"/>
    </row>
    <row r="728">
      <c r="A728" s="16" t="s">
        <v>174</v>
      </c>
      <c r="B728" s="16"/>
      <c r="H728" s="16"/>
      <c r="I728" s="16"/>
      <c r="J728" s="16"/>
    </row>
    <row r="729">
      <c r="A729" s="16" t="s">
        <v>174</v>
      </c>
      <c r="B729" s="16"/>
      <c r="H729" s="16"/>
      <c r="I729" s="16"/>
      <c r="J729" s="16"/>
    </row>
    <row r="730">
      <c r="A730" s="16" t="s">
        <v>174</v>
      </c>
      <c r="B730" s="16"/>
      <c r="H730" s="16"/>
      <c r="I730" s="16"/>
      <c r="J730" s="16"/>
    </row>
    <row r="731">
      <c r="A731" s="16" t="s">
        <v>174</v>
      </c>
      <c r="B731" s="16"/>
      <c r="H731" s="16"/>
      <c r="I731" s="16"/>
      <c r="J731" s="16"/>
    </row>
    <row r="732">
      <c r="A732" s="16" t="s">
        <v>174</v>
      </c>
      <c r="B732" s="16"/>
      <c r="H732" s="16"/>
      <c r="I732" s="16"/>
      <c r="J732" s="16"/>
    </row>
    <row r="733">
      <c r="A733" s="16" t="s">
        <v>174</v>
      </c>
      <c r="B733" s="16"/>
      <c r="H733" s="16"/>
      <c r="I733" s="16"/>
      <c r="J733" s="16"/>
    </row>
    <row r="734">
      <c r="A734" s="16" t="s">
        <v>174</v>
      </c>
      <c r="B734" s="16"/>
      <c r="H734" s="16"/>
      <c r="I734" s="16"/>
      <c r="J734" s="16"/>
    </row>
    <row r="735">
      <c r="A735" s="16" t="s">
        <v>174</v>
      </c>
      <c r="B735" s="16"/>
      <c r="H735" s="16"/>
      <c r="I735" s="16"/>
      <c r="J735" s="16"/>
    </row>
    <row r="736">
      <c r="A736" s="16" t="s">
        <v>174</v>
      </c>
      <c r="B736" s="16"/>
      <c r="H736" s="16"/>
      <c r="I736" s="16"/>
      <c r="J736" s="16"/>
    </row>
    <row r="737">
      <c r="A737" s="16" t="s">
        <v>174</v>
      </c>
      <c r="B737" s="16"/>
      <c r="H737" s="16"/>
      <c r="I737" s="16"/>
      <c r="J737" s="16"/>
    </row>
    <row r="738">
      <c r="A738" s="16" t="s">
        <v>174</v>
      </c>
      <c r="B738" s="16"/>
      <c r="H738" s="16"/>
      <c r="I738" s="16"/>
      <c r="J738" s="16"/>
    </row>
    <row r="739">
      <c r="A739" s="16" t="s">
        <v>174</v>
      </c>
      <c r="B739" s="16"/>
      <c r="H739" s="16"/>
      <c r="I739" s="16"/>
      <c r="J739" s="16"/>
    </row>
    <row r="740">
      <c r="A740" s="16" t="s">
        <v>174</v>
      </c>
      <c r="B740" s="16"/>
      <c r="H740" s="16"/>
      <c r="I740" s="16"/>
      <c r="J740" s="16"/>
    </row>
    <row r="741">
      <c r="A741" s="16" t="s">
        <v>174</v>
      </c>
      <c r="B741" s="16"/>
      <c r="H741" s="16"/>
      <c r="I741" s="16"/>
      <c r="J741" s="16"/>
    </row>
    <row r="742">
      <c r="A742" s="16" t="s">
        <v>174</v>
      </c>
      <c r="B742" s="16"/>
      <c r="H742" s="16"/>
      <c r="I742" s="16"/>
      <c r="J742" s="16"/>
    </row>
    <row r="743">
      <c r="A743" s="16" t="s">
        <v>174</v>
      </c>
      <c r="B743" s="16"/>
      <c r="H743" s="16"/>
      <c r="I743" s="16"/>
      <c r="J743" s="16"/>
    </row>
    <row r="744">
      <c r="A744" s="16" t="s">
        <v>174</v>
      </c>
      <c r="B744" s="16"/>
      <c r="H744" s="16"/>
      <c r="I744" s="16"/>
      <c r="J744" s="16"/>
    </row>
    <row r="745">
      <c r="A745" s="16" t="s">
        <v>174</v>
      </c>
      <c r="B745" s="16"/>
      <c r="H745" s="16"/>
      <c r="I745" s="16"/>
      <c r="J745" s="16"/>
    </row>
    <row r="746">
      <c r="A746" s="16" t="s">
        <v>174</v>
      </c>
      <c r="B746" s="16"/>
      <c r="H746" s="16"/>
      <c r="I746" s="16"/>
      <c r="J746" s="16"/>
    </row>
    <row r="747">
      <c r="A747" s="16" t="s">
        <v>174</v>
      </c>
      <c r="B747" s="16"/>
      <c r="H747" s="16"/>
      <c r="I747" s="16"/>
      <c r="J747" s="16"/>
    </row>
    <row r="748">
      <c r="A748" s="16" t="s">
        <v>174</v>
      </c>
      <c r="B748" s="16"/>
      <c r="H748" s="16"/>
      <c r="I748" s="16"/>
      <c r="J748" s="16"/>
    </row>
    <row r="749">
      <c r="A749" s="16" t="s">
        <v>174</v>
      </c>
      <c r="B749" s="16"/>
      <c r="H749" s="16"/>
      <c r="I749" s="16"/>
      <c r="J749" s="16"/>
    </row>
    <row r="750">
      <c r="A750" s="16" t="s">
        <v>174</v>
      </c>
      <c r="B750" s="16"/>
      <c r="H750" s="16"/>
      <c r="I750" s="16"/>
      <c r="J750" s="16"/>
    </row>
    <row r="751">
      <c r="A751" s="16" t="s">
        <v>174</v>
      </c>
      <c r="B751" s="16"/>
      <c r="H751" s="16"/>
      <c r="I751" s="16"/>
      <c r="J751" s="16"/>
    </row>
    <row r="752">
      <c r="A752" s="16" t="s">
        <v>174</v>
      </c>
      <c r="B752" s="16"/>
      <c r="H752" s="16"/>
      <c r="I752" s="16"/>
      <c r="J752" s="16"/>
    </row>
    <row r="753">
      <c r="A753" s="16" t="s">
        <v>174</v>
      </c>
      <c r="B753" s="16"/>
      <c r="H753" s="16"/>
      <c r="I753" s="16"/>
      <c r="J753" s="16"/>
    </row>
    <row r="754">
      <c r="A754" s="16" t="s">
        <v>174</v>
      </c>
      <c r="B754" s="16"/>
      <c r="H754" s="16"/>
      <c r="I754" s="16"/>
      <c r="J754" s="16"/>
    </row>
    <row r="755">
      <c r="A755" s="16" t="s">
        <v>174</v>
      </c>
      <c r="B755" s="16"/>
      <c r="H755" s="16"/>
      <c r="I755" s="16"/>
      <c r="J755" s="16"/>
    </row>
    <row r="756">
      <c r="A756" s="16" t="s">
        <v>174</v>
      </c>
      <c r="B756" s="16"/>
      <c r="H756" s="16"/>
      <c r="I756" s="16"/>
      <c r="J756" s="16"/>
    </row>
    <row r="757">
      <c r="A757" s="16" t="s">
        <v>174</v>
      </c>
      <c r="B757" s="16"/>
      <c r="H757" s="16"/>
      <c r="I757" s="16"/>
      <c r="J757" s="16"/>
    </row>
    <row r="758">
      <c r="A758" s="16" t="s">
        <v>174</v>
      </c>
      <c r="B758" s="16"/>
      <c r="H758" s="16"/>
      <c r="I758" s="16"/>
      <c r="J758" s="16"/>
    </row>
    <row r="759">
      <c r="A759" s="16" t="s">
        <v>174</v>
      </c>
      <c r="B759" s="16"/>
      <c r="H759" s="16"/>
      <c r="I759" s="16"/>
      <c r="J759" s="16"/>
    </row>
    <row r="760">
      <c r="A760" s="16" t="s">
        <v>174</v>
      </c>
      <c r="B760" s="16"/>
      <c r="H760" s="16"/>
      <c r="I760" s="16"/>
      <c r="J760" s="16"/>
    </row>
    <row r="761">
      <c r="A761" s="16" t="s">
        <v>174</v>
      </c>
      <c r="B761" s="16"/>
      <c r="H761" s="16"/>
      <c r="I761" s="16"/>
      <c r="J761" s="16"/>
    </row>
    <row r="762">
      <c r="A762" s="16" t="s">
        <v>174</v>
      </c>
      <c r="B762" s="16"/>
      <c r="H762" s="16"/>
      <c r="I762" s="16"/>
      <c r="J762" s="16"/>
    </row>
    <row r="763">
      <c r="A763" s="16" t="s">
        <v>174</v>
      </c>
      <c r="B763" s="16"/>
      <c r="H763" s="16"/>
      <c r="I763" s="16"/>
      <c r="J763" s="16"/>
    </row>
    <row r="764">
      <c r="A764" s="16" t="s">
        <v>174</v>
      </c>
      <c r="B764" s="16"/>
      <c r="H764" s="16"/>
      <c r="I764" s="16"/>
      <c r="J764" s="16"/>
    </row>
    <row r="765">
      <c r="A765" s="16" t="s">
        <v>174</v>
      </c>
      <c r="B765" s="16"/>
      <c r="H765" s="16"/>
      <c r="I765" s="16"/>
      <c r="J765" s="16"/>
    </row>
    <row r="766">
      <c r="A766" s="16" t="s">
        <v>174</v>
      </c>
      <c r="B766" s="16"/>
      <c r="H766" s="16"/>
      <c r="I766" s="16"/>
      <c r="J766" s="16"/>
    </row>
    <row r="767">
      <c r="A767" s="16" t="s">
        <v>174</v>
      </c>
      <c r="B767" s="16"/>
      <c r="H767" s="16"/>
      <c r="I767" s="16"/>
      <c r="J767" s="16"/>
    </row>
    <row r="768">
      <c r="A768" s="16" t="s">
        <v>174</v>
      </c>
      <c r="B768" s="16"/>
      <c r="H768" s="16"/>
      <c r="I768" s="16"/>
      <c r="J768" s="16"/>
    </row>
    <row r="769">
      <c r="A769" s="16" t="s">
        <v>174</v>
      </c>
      <c r="B769" s="16"/>
      <c r="H769" s="16"/>
      <c r="I769" s="16"/>
      <c r="J769" s="16"/>
    </row>
    <row r="770">
      <c r="A770" s="16" t="s">
        <v>174</v>
      </c>
      <c r="B770" s="16"/>
      <c r="H770" s="16"/>
      <c r="I770" s="16"/>
      <c r="J770" s="16"/>
    </row>
    <row r="771">
      <c r="A771" s="16" t="s">
        <v>174</v>
      </c>
      <c r="B771" s="16"/>
      <c r="H771" s="16"/>
      <c r="I771" s="16"/>
      <c r="J771" s="16"/>
    </row>
    <row r="772">
      <c r="A772" s="16" t="s">
        <v>174</v>
      </c>
      <c r="B772" s="16"/>
      <c r="H772" s="16"/>
      <c r="I772" s="16"/>
      <c r="J772" s="16"/>
    </row>
    <row r="773">
      <c r="A773" s="16" t="s">
        <v>174</v>
      </c>
      <c r="B773" s="16"/>
      <c r="H773" s="16"/>
      <c r="I773" s="16"/>
      <c r="J773" s="16"/>
    </row>
    <row r="774">
      <c r="A774" s="16" t="s">
        <v>174</v>
      </c>
      <c r="B774" s="16"/>
      <c r="H774" s="16"/>
      <c r="I774" s="16"/>
      <c r="J774" s="16"/>
    </row>
    <row r="775">
      <c r="A775" s="16" t="s">
        <v>174</v>
      </c>
      <c r="B775" s="16"/>
      <c r="H775" s="16"/>
      <c r="I775" s="16"/>
      <c r="J775" s="16"/>
    </row>
    <row r="776">
      <c r="A776" s="16" t="s">
        <v>174</v>
      </c>
      <c r="B776" s="16"/>
      <c r="H776" s="16"/>
      <c r="I776" s="16"/>
      <c r="J776" s="16"/>
    </row>
    <row r="777">
      <c r="A777" s="16" t="s">
        <v>174</v>
      </c>
      <c r="B777" s="16"/>
      <c r="H777" s="16"/>
      <c r="I777" s="16"/>
      <c r="J777" s="16"/>
    </row>
    <row r="778">
      <c r="A778" s="16" t="s">
        <v>174</v>
      </c>
      <c r="B778" s="16"/>
      <c r="H778" s="16"/>
      <c r="I778" s="16"/>
      <c r="J778" s="16"/>
    </row>
    <row r="779">
      <c r="A779" s="16" t="s">
        <v>174</v>
      </c>
      <c r="B779" s="16"/>
      <c r="H779" s="16"/>
      <c r="I779" s="16"/>
      <c r="J779" s="16"/>
    </row>
    <row r="780">
      <c r="A780" s="16" t="s">
        <v>174</v>
      </c>
      <c r="B780" s="16"/>
      <c r="H780" s="16"/>
      <c r="I780" s="16"/>
      <c r="J780" s="16"/>
    </row>
    <row r="781">
      <c r="A781" s="16" t="s">
        <v>174</v>
      </c>
      <c r="B781" s="16"/>
      <c r="H781" s="16"/>
      <c r="I781" s="16"/>
      <c r="J781" s="16"/>
    </row>
    <row r="782">
      <c r="A782" s="16" t="s">
        <v>174</v>
      </c>
      <c r="B782" s="16"/>
      <c r="H782" s="16"/>
      <c r="I782" s="16"/>
      <c r="J782" s="16"/>
    </row>
    <row r="783">
      <c r="A783" s="16" t="s">
        <v>174</v>
      </c>
      <c r="B783" s="16"/>
      <c r="H783" s="16"/>
      <c r="I783" s="16"/>
      <c r="J783" s="16"/>
    </row>
    <row r="784">
      <c r="A784" s="16" t="s">
        <v>174</v>
      </c>
      <c r="B784" s="16"/>
      <c r="H784" s="16"/>
      <c r="I784" s="16"/>
      <c r="J784" s="16"/>
    </row>
    <row r="785">
      <c r="A785" s="16" t="s">
        <v>174</v>
      </c>
      <c r="B785" s="16"/>
      <c r="H785" s="16"/>
      <c r="I785" s="16"/>
      <c r="J785" s="16"/>
    </row>
    <row r="786">
      <c r="A786" s="16" t="s">
        <v>174</v>
      </c>
      <c r="B786" s="16"/>
      <c r="H786" s="16"/>
      <c r="I786" s="16"/>
      <c r="J786" s="16"/>
    </row>
    <row r="787">
      <c r="A787" s="16" t="s">
        <v>174</v>
      </c>
      <c r="B787" s="16"/>
      <c r="H787" s="16"/>
      <c r="I787" s="16"/>
      <c r="J787" s="16"/>
    </row>
    <row r="788">
      <c r="A788" s="16" t="s">
        <v>174</v>
      </c>
      <c r="B788" s="16"/>
      <c r="H788" s="16"/>
      <c r="I788" s="16"/>
      <c r="J788" s="16"/>
    </row>
    <row r="789">
      <c r="A789" s="16" t="s">
        <v>174</v>
      </c>
      <c r="B789" s="16"/>
      <c r="H789" s="16"/>
      <c r="I789" s="16"/>
      <c r="J789" s="16"/>
    </row>
    <row r="790">
      <c r="A790" s="16" t="s">
        <v>174</v>
      </c>
      <c r="B790" s="16"/>
      <c r="H790" s="16"/>
      <c r="I790" s="16"/>
      <c r="J790" s="16"/>
    </row>
    <row r="791">
      <c r="A791" s="16" t="s">
        <v>174</v>
      </c>
      <c r="B791" s="16"/>
      <c r="H791" s="16"/>
      <c r="I791" s="16"/>
      <c r="J791" s="16"/>
    </row>
    <row r="792">
      <c r="A792" s="16" t="s">
        <v>174</v>
      </c>
      <c r="B792" s="16"/>
      <c r="H792" s="16"/>
      <c r="I792" s="16"/>
      <c r="J792" s="16"/>
    </row>
    <row r="793">
      <c r="A793" s="16" t="s">
        <v>174</v>
      </c>
      <c r="B793" s="16"/>
      <c r="H793" s="16"/>
      <c r="I793" s="16"/>
      <c r="J793" s="16"/>
    </row>
    <row r="794">
      <c r="A794" s="16" t="s">
        <v>174</v>
      </c>
      <c r="B794" s="16"/>
      <c r="H794" s="16"/>
      <c r="I794" s="16"/>
      <c r="J794" s="16"/>
    </row>
    <row r="795">
      <c r="A795" s="16" t="s">
        <v>174</v>
      </c>
      <c r="B795" s="16"/>
      <c r="H795" s="16"/>
      <c r="I795" s="16"/>
      <c r="J795" s="16"/>
    </row>
    <row r="796">
      <c r="A796" s="16" t="s">
        <v>174</v>
      </c>
      <c r="B796" s="16"/>
      <c r="H796" s="16"/>
      <c r="I796" s="16"/>
      <c r="J796" s="16"/>
    </row>
    <row r="797">
      <c r="A797" s="16" t="s">
        <v>174</v>
      </c>
      <c r="B797" s="16"/>
      <c r="H797" s="16"/>
      <c r="I797" s="16"/>
      <c r="J797" s="16"/>
    </row>
    <row r="798">
      <c r="A798" s="16" t="s">
        <v>174</v>
      </c>
      <c r="B798" s="16"/>
      <c r="H798" s="16"/>
      <c r="I798" s="16"/>
      <c r="J798" s="16"/>
    </row>
    <row r="799">
      <c r="A799" s="16" t="s">
        <v>174</v>
      </c>
      <c r="B799" s="16"/>
      <c r="H799" s="16"/>
      <c r="I799" s="16"/>
      <c r="J799" s="16"/>
    </row>
    <row r="800">
      <c r="A800" s="16" t="s">
        <v>174</v>
      </c>
      <c r="B800" s="16"/>
      <c r="H800" s="16"/>
      <c r="I800" s="16"/>
      <c r="J800" s="16"/>
    </row>
    <row r="801">
      <c r="A801" s="16" t="s">
        <v>174</v>
      </c>
      <c r="B801" s="16"/>
      <c r="H801" s="16"/>
      <c r="I801" s="16"/>
      <c r="J801" s="16"/>
    </row>
    <row r="802">
      <c r="A802" s="16" t="s">
        <v>174</v>
      </c>
      <c r="B802" s="16"/>
      <c r="H802" s="16"/>
      <c r="I802" s="16"/>
      <c r="J802" s="16"/>
    </row>
    <row r="803">
      <c r="A803" s="16" t="s">
        <v>174</v>
      </c>
      <c r="B803" s="16"/>
      <c r="H803" s="16"/>
      <c r="I803" s="16"/>
      <c r="J803" s="16"/>
    </row>
    <row r="804">
      <c r="A804" s="16" t="s">
        <v>174</v>
      </c>
      <c r="B804" s="16"/>
      <c r="H804" s="16"/>
      <c r="I804" s="16"/>
      <c r="J804" s="16"/>
    </row>
    <row r="805">
      <c r="A805" s="16" t="s">
        <v>174</v>
      </c>
      <c r="B805" s="16"/>
      <c r="H805" s="16"/>
      <c r="I805" s="16"/>
      <c r="J805" s="16"/>
    </row>
    <row r="806">
      <c r="A806" s="16" t="s">
        <v>174</v>
      </c>
      <c r="B806" s="16"/>
      <c r="H806" s="16"/>
      <c r="I806" s="16"/>
      <c r="J806" s="16"/>
    </row>
    <row r="807">
      <c r="A807" s="16" t="s">
        <v>174</v>
      </c>
      <c r="B807" s="16"/>
      <c r="H807" s="16"/>
      <c r="I807" s="16"/>
      <c r="J807" s="16"/>
    </row>
    <row r="808">
      <c r="A808" s="16" t="s">
        <v>174</v>
      </c>
      <c r="B808" s="16"/>
      <c r="H808" s="16"/>
      <c r="I808" s="16"/>
      <c r="J808" s="16"/>
    </row>
    <row r="809">
      <c r="A809" s="16" t="s">
        <v>174</v>
      </c>
      <c r="B809" s="16"/>
      <c r="H809" s="16"/>
      <c r="I809" s="16"/>
      <c r="J809" s="16"/>
    </row>
    <row r="810">
      <c r="A810" s="16" t="s">
        <v>174</v>
      </c>
      <c r="B810" s="16"/>
      <c r="H810" s="16"/>
      <c r="I810" s="16"/>
      <c r="J810" s="16"/>
    </row>
    <row r="811">
      <c r="A811" s="16" t="s">
        <v>174</v>
      </c>
      <c r="B811" s="16"/>
      <c r="H811" s="16"/>
      <c r="I811" s="16"/>
      <c r="J811" s="16"/>
    </row>
    <row r="812">
      <c r="A812" s="16" t="s">
        <v>174</v>
      </c>
      <c r="B812" s="16"/>
      <c r="H812" s="16"/>
      <c r="I812" s="16"/>
      <c r="J812" s="16"/>
    </row>
    <row r="813">
      <c r="A813" s="16" t="s">
        <v>174</v>
      </c>
      <c r="B813" s="16"/>
      <c r="H813" s="16"/>
      <c r="I813" s="16"/>
      <c r="J813" s="16"/>
    </row>
    <row r="814">
      <c r="A814" s="16" t="s">
        <v>174</v>
      </c>
      <c r="B814" s="16"/>
      <c r="H814" s="16"/>
      <c r="I814" s="16"/>
      <c r="J814" s="16"/>
    </row>
    <row r="815">
      <c r="A815" s="16" t="s">
        <v>174</v>
      </c>
      <c r="B815" s="16"/>
      <c r="H815" s="16"/>
      <c r="I815" s="16"/>
      <c r="J815" s="16"/>
    </row>
    <row r="816">
      <c r="A816" s="16" t="s">
        <v>174</v>
      </c>
      <c r="B816" s="16"/>
      <c r="H816" s="16"/>
      <c r="I816" s="16"/>
      <c r="J816" s="16"/>
    </row>
    <row r="817">
      <c r="A817" s="16" t="s">
        <v>174</v>
      </c>
      <c r="B817" s="16"/>
      <c r="H817" s="16"/>
      <c r="I817" s="16"/>
      <c r="J817" s="16"/>
    </row>
    <row r="818">
      <c r="A818" s="16" t="s">
        <v>174</v>
      </c>
      <c r="B818" s="16"/>
      <c r="H818" s="16"/>
      <c r="I818" s="16"/>
      <c r="J818" s="16"/>
    </row>
    <row r="819">
      <c r="A819" s="16" t="s">
        <v>174</v>
      </c>
      <c r="B819" s="16"/>
      <c r="H819" s="16"/>
      <c r="I819" s="16"/>
      <c r="J819" s="16"/>
    </row>
    <row r="820">
      <c r="A820" s="16" t="s">
        <v>174</v>
      </c>
      <c r="B820" s="16"/>
      <c r="H820" s="16"/>
      <c r="I820" s="16"/>
      <c r="J820" s="16"/>
    </row>
    <row r="821">
      <c r="A821" s="16" t="s">
        <v>174</v>
      </c>
      <c r="B821" s="16"/>
      <c r="H821" s="16"/>
      <c r="I821" s="16"/>
      <c r="J821" s="16"/>
    </row>
    <row r="822">
      <c r="A822" s="16" t="s">
        <v>174</v>
      </c>
      <c r="B822" s="16"/>
      <c r="H822" s="16"/>
      <c r="I822" s="16"/>
      <c r="J822" s="16"/>
    </row>
    <row r="823">
      <c r="A823" s="16" t="s">
        <v>174</v>
      </c>
      <c r="B823" s="16"/>
      <c r="H823" s="16"/>
      <c r="I823" s="16"/>
      <c r="J823" s="16"/>
    </row>
    <row r="824">
      <c r="A824" s="16" t="s">
        <v>174</v>
      </c>
      <c r="B824" s="16"/>
      <c r="H824" s="16"/>
      <c r="I824" s="16"/>
      <c r="J824" s="16"/>
    </row>
    <row r="825">
      <c r="A825" s="16" t="s">
        <v>174</v>
      </c>
      <c r="B825" s="16"/>
      <c r="H825" s="16"/>
      <c r="I825" s="16"/>
      <c r="J825" s="16"/>
    </row>
    <row r="826">
      <c r="A826" s="16" t="s">
        <v>174</v>
      </c>
      <c r="B826" s="16"/>
      <c r="H826" s="16"/>
      <c r="I826" s="16"/>
      <c r="J826" s="16"/>
    </row>
    <row r="827">
      <c r="A827" s="16" t="s">
        <v>174</v>
      </c>
      <c r="B827" s="16"/>
      <c r="H827" s="16"/>
      <c r="I827" s="16"/>
      <c r="J827" s="16"/>
    </row>
    <row r="828">
      <c r="A828" s="16" t="s">
        <v>174</v>
      </c>
      <c r="B828" s="16"/>
      <c r="H828" s="16"/>
      <c r="I828" s="16"/>
      <c r="J828" s="16"/>
    </row>
    <row r="829">
      <c r="A829" s="16" t="s">
        <v>174</v>
      </c>
      <c r="B829" s="16"/>
      <c r="H829" s="16"/>
      <c r="I829" s="16"/>
      <c r="J829" s="16"/>
    </row>
    <row r="830">
      <c r="A830" s="16" t="s">
        <v>174</v>
      </c>
      <c r="B830" s="16"/>
      <c r="H830" s="16"/>
      <c r="I830" s="16"/>
      <c r="J830" s="16"/>
    </row>
    <row r="831">
      <c r="A831" s="16" t="s">
        <v>174</v>
      </c>
      <c r="B831" s="16"/>
      <c r="H831" s="16"/>
      <c r="I831" s="16"/>
      <c r="J831" s="16"/>
    </row>
    <row r="832">
      <c r="A832" s="16" t="s">
        <v>174</v>
      </c>
      <c r="B832" s="16"/>
      <c r="H832" s="16"/>
      <c r="I832" s="16"/>
      <c r="J832" s="16"/>
    </row>
    <row r="833">
      <c r="A833" s="16" t="s">
        <v>174</v>
      </c>
      <c r="B833" s="16"/>
      <c r="H833" s="16"/>
      <c r="I833" s="16"/>
      <c r="J833" s="16"/>
    </row>
    <row r="834">
      <c r="A834" s="16" t="s">
        <v>174</v>
      </c>
      <c r="B834" s="16"/>
      <c r="H834" s="16"/>
      <c r="I834" s="16"/>
      <c r="J834" s="16"/>
    </row>
    <row r="835">
      <c r="A835" s="16" t="s">
        <v>174</v>
      </c>
      <c r="B835" s="16"/>
      <c r="H835" s="16"/>
      <c r="I835" s="16"/>
      <c r="J835" s="16"/>
    </row>
    <row r="836">
      <c r="A836" s="16" t="s">
        <v>174</v>
      </c>
      <c r="B836" s="16"/>
      <c r="H836" s="16"/>
      <c r="I836" s="16"/>
      <c r="J836" s="16"/>
    </row>
    <row r="837">
      <c r="A837" s="16" t="s">
        <v>174</v>
      </c>
      <c r="B837" s="16"/>
      <c r="H837" s="16"/>
      <c r="I837" s="16"/>
      <c r="J837" s="16"/>
    </row>
    <row r="838">
      <c r="A838" s="16" t="s">
        <v>174</v>
      </c>
      <c r="B838" s="16"/>
      <c r="H838" s="16"/>
      <c r="I838" s="16"/>
      <c r="J838" s="16"/>
    </row>
    <row r="839">
      <c r="A839" s="16" t="s">
        <v>174</v>
      </c>
      <c r="B839" s="16"/>
      <c r="H839" s="16"/>
      <c r="I839" s="16"/>
      <c r="J839" s="16"/>
    </row>
    <row r="840">
      <c r="A840" s="16" t="s">
        <v>174</v>
      </c>
      <c r="B840" s="16"/>
      <c r="H840" s="16"/>
      <c r="I840" s="16"/>
      <c r="J840" s="16"/>
    </row>
    <row r="841">
      <c r="A841" s="16" t="s">
        <v>174</v>
      </c>
      <c r="B841" s="16"/>
      <c r="H841" s="16"/>
      <c r="I841" s="16"/>
      <c r="J841" s="16"/>
    </row>
    <row r="842">
      <c r="A842" s="16" t="s">
        <v>174</v>
      </c>
      <c r="B842" s="16"/>
      <c r="H842" s="16"/>
      <c r="I842" s="16"/>
      <c r="J842" s="16"/>
    </row>
    <row r="843">
      <c r="A843" s="16" t="s">
        <v>174</v>
      </c>
      <c r="B843" s="16"/>
      <c r="H843" s="16"/>
      <c r="I843" s="16"/>
      <c r="J843" s="16"/>
    </row>
    <row r="844">
      <c r="A844" s="16" t="s">
        <v>174</v>
      </c>
      <c r="B844" s="16"/>
      <c r="H844" s="16"/>
      <c r="I844" s="16"/>
      <c r="J844" s="16"/>
    </row>
    <row r="845">
      <c r="A845" s="16" t="s">
        <v>174</v>
      </c>
      <c r="B845" s="16"/>
      <c r="H845" s="16"/>
      <c r="I845" s="16"/>
      <c r="J845" s="16"/>
    </row>
    <row r="846">
      <c r="A846" s="16" t="s">
        <v>174</v>
      </c>
      <c r="B846" s="16"/>
      <c r="H846" s="16"/>
      <c r="I846" s="16"/>
      <c r="J846" s="16"/>
    </row>
    <row r="847">
      <c r="A847" s="16" t="s">
        <v>174</v>
      </c>
      <c r="B847" s="16"/>
      <c r="H847" s="16"/>
      <c r="I847" s="16"/>
      <c r="J847" s="16"/>
    </row>
    <row r="848">
      <c r="A848" s="16" t="s">
        <v>174</v>
      </c>
      <c r="B848" s="16"/>
      <c r="H848" s="16"/>
      <c r="I848" s="16"/>
      <c r="J848" s="16"/>
    </row>
    <row r="849">
      <c r="A849" s="16" t="s">
        <v>174</v>
      </c>
      <c r="B849" s="16"/>
      <c r="H849" s="16"/>
      <c r="I849" s="16"/>
      <c r="J849" s="16"/>
    </row>
    <row r="850">
      <c r="A850" s="16" t="s">
        <v>174</v>
      </c>
      <c r="B850" s="16"/>
      <c r="H850" s="16"/>
      <c r="I850" s="16"/>
      <c r="J850" s="16"/>
    </row>
    <row r="851">
      <c r="A851" s="16" t="s">
        <v>174</v>
      </c>
      <c r="B851" s="16"/>
      <c r="H851" s="16"/>
      <c r="I851" s="16"/>
      <c r="J851" s="16"/>
    </row>
    <row r="852">
      <c r="A852" s="16" t="s">
        <v>174</v>
      </c>
      <c r="B852" s="16"/>
      <c r="H852" s="16"/>
      <c r="I852" s="16"/>
      <c r="J852" s="16"/>
    </row>
    <row r="853">
      <c r="A853" s="16" t="s">
        <v>174</v>
      </c>
      <c r="B853" s="16"/>
      <c r="H853" s="16"/>
      <c r="I853" s="16"/>
      <c r="J853" s="16"/>
    </row>
    <row r="854">
      <c r="A854" s="16" t="s">
        <v>174</v>
      </c>
      <c r="B854" s="16"/>
      <c r="H854" s="16"/>
      <c r="I854" s="16"/>
      <c r="J854" s="16"/>
    </row>
    <row r="855">
      <c r="A855" s="16" t="s">
        <v>174</v>
      </c>
      <c r="B855" s="16"/>
      <c r="H855" s="16"/>
      <c r="I855" s="16"/>
      <c r="J855" s="16"/>
    </row>
    <row r="856">
      <c r="A856" s="16" t="s">
        <v>174</v>
      </c>
      <c r="B856" s="16"/>
      <c r="H856" s="16"/>
      <c r="I856" s="16"/>
      <c r="J856" s="16"/>
    </row>
    <row r="857">
      <c r="A857" s="16" t="s">
        <v>174</v>
      </c>
      <c r="B857" s="16"/>
      <c r="H857" s="16"/>
      <c r="I857" s="16"/>
      <c r="J857" s="16"/>
    </row>
    <row r="858">
      <c r="A858" s="16" t="s">
        <v>174</v>
      </c>
      <c r="B858" s="16"/>
      <c r="H858" s="16"/>
      <c r="I858" s="16"/>
      <c r="J858" s="16"/>
    </row>
    <row r="859">
      <c r="A859" s="16" t="s">
        <v>174</v>
      </c>
      <c r="B859" s="16"/>
      <c r="H859" s="16"/>
      <c r="I859" s="16"/>
      <c r="J859" s="16"/>
    </row>
    <row r="860">
      <c r="A860" s="16" t="s">
        <v>174</v>
      </c>
      <c r="B860" s="16"/>
      <c r="H860" s="16"/>
      <c r="I860" s="16"/>
      <c r="J860" s="16"/>
    </row>
    <row r="861">
      <c r="A861" s="16" t="s">
        <v>174</v>
      </c>
      <c r="B861" s="16"/>
      <c r="H861" s="16"/>
      <c r="I861" s="16"/>
      <c r="J861" s="16"/>
    </row>
    <row r="862">
      <c r="A862" s="16" t="s">
        <v>174</v>
      </c>
      <c r="B862" s="16"/>
      <c r="H862" s="16"/>
      <c r="I862" s="16"/>
      <c r="J862" s="16"/>
    </row>
    <row r="863">
      <c r="A863" s="16" t="s">
        <v>174</v>
      </c>
      <c r="B863" s="16"/>
      <c r="H863" s="16"/>
      <c r="I863" s="16"/>
      <c r="J863" s="16"/>
    </row>
    <row r="864">
      <c r="A864" s="16" t="s">
        <v>174</v>
      </c>
      <c r="B864" s="16"/>
      <c r="H864" s="16"/>
      <c r="I864" s="16"/>
      <c r="J864" s="16"/>
    </row>
    <row r="865">
      <c r="A865" s="16" t="s">
        <v>174</v>
      </c>
      <c r="B865" s="16"/>
      <c r="H865" s="16"/>
      <c r="I865" s="16"/>
      <c r="J865" s="16"/>
    </row>
    <row r="866">
      <c r="A866" s="16" t="s">
        <v>174</v>
      </c>
      <c r="B866" s="16"/>
      <c r="H866" s="16"/>
      <c r="I866" s="16"/>
      <c r="J866" s="16"/>
    </row>
    <row r="867">
      <c r="A867" s="16" t="s">
        <v>174</v>
      </c>
      <c r="B867" s="16"/>
      <c r="H867" s="16"/>
      <c r="I867" s="16"/>
      <c r="J867" s="16"/>
    </row>
    <row r="868">
      <c r="A868" s="16" t="s">
        <v>174</v>
      </c>
      <c r="B868" s="16"/>
      <c r="H868" s="16"/>
      <c r="I868" s="16"/>
      <c r="J868" s="16"/>
    </row>
    <row r="869">
      <c r="A869" s="16" t="s">
        <v>174</v>
      </c>
      <c r="B869" s="16"/>
      <c r="H869" s="16"/>
      <c r="I869" s="16"/>
      <c r="J869" s="16"/>
    </row>
    <row r="870">
      <c r="A870" s="16" t="s">
        <v>174</v>
      </c>
      <c r="B870" s="16"/>
      <c r="H870" s="16"/>
      <c r="I870" s="16"/>
      <c r="J870" s="16"/>
    </row>
    <row r="871">
      <c r="A871" s="16" t="s">
        <v>174</v>
      </c>
      <c r="B871" s="16"/>
      <c r="H871" s="16"/>
      <c r="I871" s="16"/>
      <c r="J871" s="16"/>
    </row>
    <row r="872">
      <c r="A872" s="16" t="s">
        <v>174</v>
      </c>
      <c r="B872" s="16"/>
      <c r="H872" s="16"/>
      <c r="I872" s="16"/>
      <c r="J872" s="16"/>
    </row>
    <row r="873">
      <c r="A873" s="16" t="s">
        <v>174</v>
      </c>
      <c r="B873" s="16"/>
      <c r="H873" s="16"/>
      <c r="I873" s="16"/>
      <c r="J873" s="16"/>
    </row>
    <row r="874">
      <c r="A874" s="16" t="s">
        <v>174</v>
      </c>
      <c r="B874" s="16"/>
      <c r="H874" s="16"/>
      <c r="I874" s="16"/>
      <c r="J874" s="16"/>
    </row>
    <row r="875">
      <c r="A875" s="16" t="s">
        <v>174</v>
      </c>
      <c r="B875" s="16"/>
      <c r="H875" s="16"/>
      <c r="I875" s="16"/>
      <c r="J875" s="16"/>
    </row>
    <row r="876">
      <c r="A876" s="16" t="s">
        <v>174</v>
      </c>
      <c r="B876" s="16"/>
      <c r="H876" s="16"/>
      <c r="I876" s="16"/>
      <c r="J876" s="16"/>
    </row>
    <row r="877">
      <c r="A877" s="16" t="s">
        <v>174</v>
      </c>
      <c r="B877" s="16"/>
      <c r="H877" s="16"/>
      <c r="I877" s="16"/>
      <c r="J877" s="16"/>
    </row>
    <row r="878">
      <c r="A878" s="16" t="s">
        <v>174</v>
      </c>
      <c r="B878" s="16"/>
      <c r="H878" s="16"/>
      <c r="I878" s="16"/>
      <c r="J878" s="16"/>
    </row>
    <row r="879">
      <c r="A879" s="16" t="s">
        <v>174</v>
      </c>
      <c r="B879" s="16"/>
      <c r="H879" s="16"/>
      <c r="I879" s="16"/>
      <c r="J879" s="16"/>
    </row>
    <row r="880">
      <c r="A880" s="16" t="s">
        <v>174</v>
      </c>
      <c r="B880" s="16"/>
      <c r="H880" s="16"/>
      <c r="I880" s="16"/>
      <c r="J880" s="16"/>
    </row>
    <row r="881">
      <c r="A881" s="16" t="s">
        <v>174</v>
      </c>
      <c r="B881" s="16"/>
      <c r="H881" s="16"/>
      <c r="I881" s="16"/>
      <c r="J881" s="16"/>
    </row>
    <row r="882">
      <c r="A882" s="16" t="s">
        <v>174</v>
      </c>
      <c r="B882" s="16"/>
      <c r="H882" s="16"/>
      <c r="I882" s="16"/>
      <c r="J882" s="16"/>
    </row>
    <row r="883">
      <c r="A883" s="16" t="s">
        <v>174</v>
      </c>
      <c r="B883" s="16"/>
      <c r="H883" s="16"/>
      <c r="I883" s="16"/>
      <c r="J883" s="16"/>
    </row>
    <row r="884">
      <c r="A884" s="16" t="s">
        <v>174</v>
      </c>
      <c r="B884" s="16"/>
      <c r="H884" s="16"/>
      <c r="I884" s="16"/>
      <c r="J884" s="16"/>
    </row>
    <row r="885">
      <c r="A885" s="16" t="s">
        <v>174</v>
      </c>
      <c r="B885" s="16"/>
      <c r="H885" s="16"/>
      <c r="I885" s="16"/>
      <c r="J885" s="16"/>
    </row>
    <row r="886">
      <c r="A886" s="16" t="s">
        <v>174</v>
      </c>
      <c r="B886" s="16"/>
      <c r="H886" s="16"/>
      <c r="I886" s="16"/>
      <c r="J886" s="16"/>
    </row>
    <row r="887">
      <c r="A887" s="16" t="s">
        <v>174</v>
      </c>
      <c r="B887" s="16"/>
      <c r="H887" s="16"/>
      <c r="I887" s="16"/>
      <c r="J887" s="16"/>
    </row>
    <row r="888">
      <c r="A888" s="16" t="s">
        <v>174</v>
      </c>
      <c r="B888" s="16"/>
      <c r="H888" s="16"/>
      <c r="I888" s="16"/>
      <c r="J888" s="16"/>
    </row>
    <row r="889">
      <c r="A889" s="16" t="s">
        <v>174</v>
      </c>
      <c r="B889" s="16"/>
      <c r="H889" s="16"/>
      <c r="I889" s="16"/>
      <c r="J889" s="16"/>
    </row>
    <row r="890">
      <c r="A890" s="16" t="s">
        <v>174</v>
      </c>
      <c r="B890" s="16"/>
      <c r="H890" s="16"/>
      <c r="I890" s="16"/>
      <c r="J890" s="16"/>
    </row>
    <row r="891">
      <c r="A891" s="16" t="s">
        <v>174</v>
      </c>
      <c r="B891" s="16"/>
      <c r="H891" s="16"/>
      <c r="I891" s="16"/>
      <c r="J891" s="16"/>
    </row>
    <row r="892">
      <c r="A892" s="16" t="s">
        <v>174</v>
      </c>
      <c r="B892" s="16"/>
      <c r="H892" s="16"/>
      <c r="I892" s="16"/>
      <c r="J892" s="16"/>
    </row>
    <row r="893">
      <c r="A893" s="16" t="s">
        <v>174</v>
      </c>
      <c r="B893" s="16"/>
      <c r="H893" s="16"/>
      <c r="I893" s="16"/>
      <c r="J893" s="16"/>
    </row>
    <row r="894">
      <c r="A894" s="16" t="s">
        <v>174</v>
      </c>
      <c r="B894" s="16"/>
      <c r="H894" s="16"/>
      <c r="I894" s="16"/>
      <c r="J894" s="16"/>
    </row>
    <row r="895">
      <c r="A895" s="16" t="s">
        <v>174</v>
      </c>
      <c r="B895" s="16"/>
      <c r="H895" s="16"/>
      <c r="I895" s="16"/>
      <c r="J895" s="16"/>
    </row>
    <row r="896">
      <c r="A896" s="16" t="s">
        <v>174</v>
      </c>
      <c r="B896" s="16"/>
      <c r="H896" s="16"/>
      <c r="I896" s="16"/>
      <c r="J896" s="16"/>
    </row>
    <row r="897">
      <c r="A897" s="16" t="s">
        <v>174</v>
      </c>
      <c r="B897" s="16"/>
      <c r="H897" s="16"/>
      <c r="I897" s="16"/>
      <c r="J897" s="16"/>
    </row>
    <row r="898">
      <c r="A898" s="16" t="s">
        <v>174</v>
      </c>
      <c r="B898" s="16"/>
      <c r="H898" s="16"/>
      <c r="I898" s="16"/>
      <c r="J898" s="16"/>
    </row>
    <row r="899">
      <c r="A899" s="16" t="s">
        <v>174</v>
      </c>
      <c r="B899" s="16"/>
      <c r="H899" s="16"/>
      <c r="I899" s="16"/>
      <c r="J899" s="16"/>
    </row>
    <row r="900">
      <c r="A900" s="16" t="s">
        <v>174</v>
      </c>
      <c r="B900" s="16"/>
      <c r="H900" s="16"/>
      <c r="I900" s="16"/>
      <c r="J900" s="16"/>
    </row>
    <row r="901">
      <c r="A901" s="16" t="s">
        <v>174</v>
      </c>
      <c r="B901" s="16"/>
      <c r="H901" s="16"/>
      <c r="I901" s="16"/>
      <c r="J901" s="16"/>
    </row>
    <row r="902">
      <c r="A902" s="16" t="s">
        <v>174</v>
      </c>
      <c r="B902" s="16"/>
      <c r="H902" s="16"/>
      <c r="I902" s="16"/>
      <c r="J902" s="16"/>
    </row>
    <row r="903">
      <c r="A903" s="16" t="s">
        <v>174</v>
      </c>
      <c r="B903" s="16"/>
      <c r="H903" s="16"/>
      <c r="I903" s="16"/>
      <c r="J903" s="16"/>
    </row>
    <row r="904">
      <c r="A904" s="16" t="s">
        <v>174</v>
      </c>
      <c r="B904" s="16"/>
      <c r="H904" s="16"/>
      <c r="I904" s="16"/>
      <c r="J904" s="16"/>
    </row>
    <row r="905">
      <c r="A905" s="16" t="s">
        <v>174</v>
      </c>
      <c r="B905" s="16"/>
      <c r="H905" s="16"/>
      <c r="I905" s="16"/>
      <c r="J905" s="16"/>
    </row>
    <row r="906">
      <c r="A906" s="16" t="s">
        <v>174</v>
      </c>
      <c r="B906" s="16"/>
      <c r="H906" s="16"/>
      <c r="I906" s="16"/>
      <c r="J906" s="16"/>
    </row>
    <row r="907">
      <c r="A907" s="16" t="s">
        <v>174</v>
      </c>
      <c r="B907" s="16"/>
      <c r="H907" s="16"/>
      <c r="I907" s="16"/>
      <c r="J907" s="16"/>
    </row>
    <row r="908">
      <c r="A908" s="16" t="s">
        <v>174</v>
      </c>
      <c r="B908" s="16"/>
      <c r="H908" s="16"/>
      <c r="I908" s="16"/>
      <c r="J908" s="16"/>
    </row>
    <row r="909">
      <c r="A909" s="16" t="s">
        <v>174</v>
      </c>
      <c r="B909" s="16"/>
      <c r="H909" s="16"/>
      <c r="I909" s="16"/>
      <c r="J909" s="16"/>
    </row>
    <row r="910">
      <c r="A910" s="16" t="s">
        <v>174</v>
      </c>
      <c r="B910" s="16"/>
      <c r="H910" s="16"/>
      <c r="I910" s="16"/>
      <c r="J910" s="16"/>
    </row>
    <row r="911">
      <c r="A911" s="16" t="s">
        <v>174</v>
      </c>
      <c r="B911" s="16"/>
      <c r="H911" s="16"/>
      <c r="I911" s="16"/>
      <c r="J911" s="16"/>
    </row>
    <row r="912">
      <c r="A912" s="16" t="s">
        <v>174</v>
      </c>
      <c r="B912" s="16"/>
      <c r="H912" s="16"/>
      <c r="I912" s="16"/>
      <c r="J912" s="16"/>
    </row>
    <row r="913">
      <c r="A913" s="16" t="s">
        <v>174</v>
      </c>
      <c r="B913" s="16"/>
      <c r="H913" s="16"/>
      <c r="I913" s="16"/>
      <c r="J913" s="16"/>
    </row>
    <row r="914">
      <c r="A914" s="16" t="s">
        <v>174</v>
      </c>
      <c r="B914" s="16"/>
      <c r="H914" s="16"/>
      <c r="I914" s="16"/>
      <c r="J914" s="16"/>
    </row>
    <row r="915">
      <c r="A915" s="16" t="s">
        <v>174</v>
      </c>
      <c r="B915" s="16"/>
      <c r="H915" s="16"/>
      <c r="I915" s="16"/>
      <c r="J915" s="16"/>
    </row>
    <row r="916">
      <c r="A916" s="16" t="s">
        <v>174</v>
      </c>
      <c r="B916" s="16"/>
      <c r="H916" s="16"/>
      <c r="I916" s="16"/>
      <c r="J916" s="16"/>
    </row>
    <row r="917">
      <c r="A917" s="16" t="s">
        <v>174</v>
      </c>
      <c r="B917" s="16"/>
      <c r="H917" s="16"/>
      <c r="I917" s="16"/>
      <c r="J917" s="16"/>
    </row>
    <row r="918">
      <c r="A918" s="16" t="s">
        <v>174</v>
      </c>
      <c r="B918" s="16"/>
      <c r="H918" s="16"/>
      <c r="I918" s="16"/>
      <c r="J918" s="16"/>
    </row>
    <row r="919">
      <c r="A919" s="16" t="s">
        <v>174</v>
      </c>
      <c r="B919" s="16"/>
      <c r="H919" s="16"/>
      <c r="I919" s="16"/>
      <c r="J919" s="16"/>
    </row>
    <row r="920">
      <c r="A920" s="16" t="s">
        <v>174</v>
      </c>
      <c r="B920" s="16"/>
      <c r="H920" s="16"/>
      <c r="I920" s="16"/>
      <c r="J920" s="16"/>
    </row>
    <row r="921">
      <c r="A921" s="16" t="s">
        <v>174</v>
      </c>
      <c r="B921" s="16"/>
      <c r="H921" s="16"/>
      <c r="I921" s="16"/>
      <c r="J921" s="16"/>
    </row>
    <row r="922">
      <c r="A922" s="16" t="s">
        <v>174</v>
      </c>
      <c r="B922" s="16"/>
      <c r="H922" s="16"/>
      <c r="I922" s="16"/>
      <c r="J922" s="16"/>
    </row>
    <row r="923">
      <c r="A923" s="16" t="s">
        <v>174</v>
      </c>
      <c r="B923" s="16"/>
      <c r="H923" s="16"/>
      <c r="I923" s="16"/>
      <c r="J923" s="16"/>
    </row>
    <row r="924">
      <c r="A924" s="16" t="s">
        <v>174</v>
      </c>
      <c r="B924" s="16"/>
      <c r="H924" s="16"/>
      <c r="I924" s="16"/>
      <c r="J924" s="16"/>
    </row>
    <row r="925">
      <c r="A925" s="16" t="s">
        <v>174</v>
      </c>
      <c r="B925" s="16"/>
      <c r="H925" s="16"/>
      <c r="I925" s="16"/>
      <c r="J925" s="16"/>
    </row>
    <row r="926">
      <c r="A926" s="16" t="s">
        <v>174</v>
      </c>
      <c r="B926" s="16"/>
      <c r="H926" s="16"/>
      <c r="I926" s="16"/>
      <c r="J926" s="16"/>
    </row>
    <row r="927">
      <c r="A927" s="16" t="s">
        <v>174</v>
      </c>
      <c r="B927" s="16"/>
      <c r="H927" s="16"/>
      <c r="I927" s="16"/>
      <c r="J927" s="16"/>
    </row>
    <row r="928">
      <c r="A928" s="16" t="s">
        <v>174</v>
      </c>
      <c r="B928" s="16"/>
      <c r="H928" s="16"/>
      <c r="I928" s="16"/>
      <c r="J928" s="16"/>
    </row>
    <row r="929">
      <c r="A929" s="16" t="s">
        <v>174</v>
      </c>
      <c r="B929" s="16"/>
      <c r="H929" s="16"/>
      <c r="I929" s="16"/>
      <c r="J929" s="16"/>
    </row>
    <row r="930">
      <c r="A930" s="16" t="s">
        <v>174</v>
      </c>
      <c r="B930" s="16"/>
      <c r="H930" s="16"/>
      <c r="I930" s="16"/>
      <c r="J930" s="16"/>
    </row>
    <row r="931">
      <c r="A931" s="16" t="s">
        <v>174</v>
      </c>
      <c r="B931" s="16"/>
      <c r="H931" s="16"/>
      <c r="I931" s="16"/>
      <c r="J931" s="16"/>
    </row>
    <row r="932">
      <c r="A932" s="16" t="s">
        <v>174</v>
      </c>
      <c r="B932" s="16"/>
      <c r="H932" s="16"/>
      <c r="I932" s="16"/>
      <c r="J932" s="16"/>
    </row>
    <row r="933">
      <c r="A933" s="16" t="s">
        <v>174</v>
      </c>
      <c r="B933" s="16"/>
      <c r="H933" s="16"/>
      <c r="I933" s="16"/>
      <c r="J933" s="16"/>
    </row>
    <row r="934">
      <c r="A934" s="16" t="s">
        <v>174</v>
      </c>
      <c r="B934" s="16"/>
      <c r="H934" s="16"/>
      <c r="I934" s="16"/>
      <c r="J934" s="16"/>
    </row>
    <row r="935">
      <c r="A935" s="16" t="s">
        <v>174</v>
      </c>
      <c r="B935" s="16"/>
      <c r="H935" s="16"/>
      <c r="I935" s="16"/>
      <c r="J935" s="16"/>
    </row>
    <row r="936">
      <c r="A936" s="16" t="s">
        <v>174</v>
      </c>
      <c r="B936" s="16"/>
      <c r="H936" s="16"/>
      <c r="I936" s="16"/>
      <c r="J936" s="16"/>
    </row>
    <row r="937">
      <c r="A937" s="16" t="s">
        <v>174</v>
      </c>
      <c r="B937" s="16"/>
      <c r="H937" s="16"/>
      <c r="I937" s="16"/>
      <c r="J937" s="16"/>
    </row>
    <row r="938">
      <c r="A938" s="16" t="s">
        <v>174</v>
      </c>
      <c r="B938" s="16"/>
      <c r="H938" s="16"/>
      <c r="I938" s="16"/>
      <c r="J938" s="16"/>
    </row>
    <row r="939">
      <c r="A939" s="16" t="s">
        <v>174</v>
      </c>
      <c r="B939" s="16"/>
      <c r="H939" s="16"/>
      <c r="I939" s="16"/>
      <c r="J939" s="16"/>
    </row>
    <row r="940">
      <c r="A940" s="16" t="s">
        <v>174</v>
      </c>
      <c r="B940" s="16"/>
      <c r="H940" s="16"/>
      <c r="I940" s="16"/>
      <c r="J940" s="16"/>
    </row>
    <row r="941">
      <c r="A941" s="16" t="s">
        <v>174</v>
      </c>
      <c r="B941" s="16"/>
      <c r="H941" s="16"/>
      <c r="I941" s="16"/>
      <c r="J941" s="16"/>
    </row>
    <row r="942">
      <c r="A942" s="16" t="s">
        <v>174</v>
      </c>
      <c r="B942" s="16"/>
      <c r="H942" s="16"/>
      <c r="I942" s="16"/>
      <c r="J942" s="16"/>
    </row>
    <row r="943">
      <c r="A943" s="16" t="s">
        <v>174</v>
      </c>
      <c r="B943" s="16"/>
      <c r="H943" s="16"/>
      <c r="I943" s="16"/>
      <c r="J943" s="16"/>
    </row>
    <row r="944">
      <c r="A944" s="16" t="s">
        <v>174</v>
      </c>
      <c r="B944" s="16"/>
      <c r="H944" s="16"/>
      <c r="I944" s="16"/>
      <c r="J944" s="16"/>
    </row>
    <row r="945">
      <c r="A945" s="16" t="s">
        <v>174</v>
      </c>
      <c r="B945" s="16"/>
      <c r="H945" s="16"/>
      <c r="I945" s="16"/>
      <c r="J945" s="16"/>
    </row>
    <row r="946">
      <c r="A946" s="16" t="s">
        <v>174</v>
      </c>
      <c r="B946" s="16"/>
      <c r="H946" s="16"/>
      <c r="I946" s="16"/>
      <c r="J946" s="16"/>
    </row>
    <row r="947">
      <c r="A947" s="16" t="s">
        <v>174</v>
      </c>
      <c r="B947" s="16"/>
      <c r="H947" s="16"/>
      <c r="I947" s="16"/>
      <c r="J947" s="16"/>
    </row>
    <row r="948">
      <c r="A948" s="16" t="s">
        <v>174</v>
      </c>
      <c r="B948" s="16"/>
      <c r="H948" s="16"/>
      <c r="I948" s="16"/>
      <c r="J948" s="16"/>
    </row>
    <row r="949">
      <c r="A949" s="16" t="s">
        <v>174</v>
      </c>
      <c r="B949" s="16"/>
      <c r="H949" s="16"/>
      <c r="I949" s="16"/>
      <c r="J949" s="16"/>
    </row>
    <row r="950">
      <c r="A950" s="16" t="s">
        <v>174</v>
      </c>
      <c r="B950" s="16"/>
      <c r="H950" s="16"/>
      <c r="I950" s="16"/>
      <c r="J950" s="16"/>
    </row>
    <row r="951">
      <c r="A951" s="16" t="s">
        <v>174</v>
      </c>
      <c r="B951" s="16"/>
      <c r="H951" s="16"/>
      <c r="I951" s="16"/>
      <c r="J951" s="16"/>
    </row>
    <row r="952">
      <c r="A952" s="16" t="s">
        <v>174</v>
      </c>
      <c r="B952" s="16"/>
      <c r="H952" s="16"/>
      <c r="I952" s="16"/>
      <c r="J952" s="16"/>
    </row>
    <row r="953">
      <c r="A953" s="16" t="s">
        <v>174</v>
      </c>
      <c r="B953" s="16"/>
      <c r="H953" s="16"/>
      <c r="I953" s="16"/>
      <c r="J953" s="16"/>
    </row>
    <row r="954">
      <c r="A954" s="16" t="s">
        <v>174</v>
      </c>
      <c r="B954" s="16"/>
      <c r="H954" s="16"/>
      <c r="I954" s="16"/>
      <c r="J954" s="16"/>
    </row>
    <row r="955">
      <c r="A955" s="16" t="s">
        <v>174</v>
      </c>
      <c r="B955" s="16"/>
      <c r="H955" s="16"/>
      <c r="I955" s="16"/>
      <c r="J955" s="16"/>
    </row>
    <row r="956">
      <c r="A956" s="16" t="s">
        <v>174</v>
      </c>
      <c r="B956" s="16"/>
      <c r="H956" s="16"/>
      <c r="I956" s="16"/>
      <c r="J956" s="16"/>
    </row>
    <row r="957">
      <c r="A957" s="16" t="s">
        <v>174</v>
      </c>
      <c r="B957" s="16"/>
      <c r="H957" s="16"/>
      <c r="I957" s="16"/>
      <c r="J957" s="16"/>
    </row>
    <row r="958">
      <c r="A958" s="16" t="s">
        <v>174</v>
      </c>
      <c r="B958" s="16"/>
      <c r="H958" s="16"/>
      <c r="I958" s="16"/>
      <c r="J958" s="16"/>
    </row>
    <row r="959">
      <c r="A959" s="16" t="s">
        <v>174</v>
      </c>
      <c r="B959" s="16"/>
      <c r="H959" s="16"/>
      <c r="I959" s="16"/>
      <c r="J959" s="16"/>
    </row>
    <row r="960">
      <c r="A960" s="16" t="s">
        <v>174</v>
      </c>
      <c r="B960" s="16"/>
      <c r="H960" s="16"/>
      <c r="I960" s="16"/>
      <c r="J960" s="16"/>
    </row>
    <row r="961">
      <c r="A961" s="16" t="s">
        <v>174</v>
      </c>
      <c r="B961" s="16"/>
      <c r="H961" s="16"/>
      <c r="I961" s="16"/>
      <c r="J961" s="16"/>
    </row>
    <row r="962">
      <c r="A962" s="16" t="s">
        <v>174</v>
      </c>
      <c r="B962" s="16"/>
      <c r="H962" s="16"/>
      <c r="I962" s="16"/>
      <c r="J962" s="16"/>
    </row>
    <row r="963">
      <c r="A963" s="16" t="s">
        <v>174</v>
      </c>
      <c r="B963" s="16"/>
      <c r="H963" s="16"/>
      <c r="I963" s="16"/>
      <c r="J963" s="16"/>
    </row>
    <row r="964">
      <c r="A964" s="16" t="s">
        <v>174</v>
      </c>
      <c r="B964" s="16"/>
      <c r="H964" s="16"/>
      <c r="I964" s="16"/>
      <c r="J964" s="16"/>
    </row>
    <row r="965">
      <c r="A965" s="16" t="s">
        <v>174</v>
      </c>
      <c r="B965" s="16"/>
      <c r="H965" s="16"/>
      <c r="I965" s="16"/>
      <c r="J965" s="16"/>
    </row>
    <row r="966">
      <c r="A966" s="16" t="s">
        <v>174</v>
      </c>
      <c r="B966" s="16"/>
      <c r="H966" s="16"/>
      <c r="I966" s="16"/>
      <c r="J966" s="16"/>
    </row>
    <row r="967">
      <c r="A967" s="16" t="s">
        <v>174</v>
      </c>
      <c r="B967" s="16"/>
      <c r="H967" s="16"/>
      <c r="I967" s="16"/>
      <c r="J967" s="16"/>
    </row>
    <row r="968">
      <c r="A968" s="16" t="s">
        <v>174</v>
      </c>
      <c r="B968" s="16"/>
      <c r="H968" s="16"/>
      <c r="I968" s="16"/>
      <c r="J968" s="16"/>
    </row>
    <row r="969">
      <c r="A969" s="16" t="s">
        <v>174</v>
      </c>
      <c r="B969" s="16"/>
      <c r="H969" s="16"/>
      <c r="I969" s="16"/>
      <c r="J969" s="16"/>
    </row>
    <row r="970">
      <c r="A970" s="16" t="s">
        <v>174</v>
      </c>
      <c r="B970" s="16"/>
      <c r="H970" s="16"/>
      <c r="I970" s="16"/>
      <c r="J970" s="16"/>
    </row>
    <row r="971">
      <c r="A971" s="16" t="s">
        <v>174</v>
      </c>
      <c r="B971" s="16"/>
      <c r="H971" s="16"/>
      <c r="I971" s="16"/>
      <c r="J971" s="16"/>
    </row>
    <row r="972">
      <c r="A972" s="16" t="s">
        <v>174</v>
      </c>
      <c r="B972" s="16"/>
      <c r="H972" s="16"/>
      <c r="I972" s="16"/>
      <c r="J972" s="16"/>
    </row>
    <row r="973">
      <c r="A973" s="16" t="s">
        <v>174</v>
      </c>
      <c r="B973" s="16"/>
      <c r="H973" s="16"/>
      <c r="I973" s="16"/>
      <c r="J973" s="16"/>
    </row>
    <row r="974">
      <c r="A974" s="16" t="s">
        <v>174</v>
      </c>
      <c r="B974" s="16"/>
      <c r="H974" s="16"/>
      <c r="I974" s="16"/>
      <c r="J974" s="16"/>
    </row>
    <row r="975">
      <c r="A975" s="16" t="s">
        <v>174</v>
      </c>
      <c r="B975" s="16"/>
      <c r="H975" s="16"/>
      <c r="I975" s="16"/>
      <c r="J975" s="16"/>
    </row>
    <row r="976">
      <c r="A976" s="16" t="s">
        <v>174</v>
      </c>
      <c r="B976" s="16"/>
      <c r="H976" s="16"/>
      <c r="I976" s="16"/>
      <c r="J976" s="16"/>
    </row>
    <row r="977">
      <c r="A977" s="16" t="s">
        <v>174</v>
      </c>
      <c r="B977" s="16"/>
      <c r="H977" s="16"/>
      <c r="I977" s="16"/>
      <c r="J977" s="16"/>
    </row>
    <row r="978">
      <c r="A978" s="16" t="s">
        <v>174</v>
      </c>
      <c r="B978" s="16"/>
      <c r="H978" s="16"/>
      <c r="I978" s="16"/>
      <c r="J978" s="16"/>
    </row>
    <row r="979">
      <c r="A979" s="16" t="s">
        <v>174</v>
      </c>
      <c r="B979" s="16"/>
      <c r="H979" s="16"/>
      <c r="I979" s="16"/>
      <c r="J979" s="16"/>
    </row>
    <row r="980">
      <c r="A980" s="16" t="s">
        <v>174</v>
      </c>
      <c r="B980" s="16"/>
      <c r="H980" s="16"/>
      <c r="I980" s="16"/>
      <c r="J980" s="16"/>
    </row>
    <row r="981">
      <c r="A981" s="16" t="s">
        <v>174</v>
      </c>
      <c r="B981" s="16"/>
      <c r="H981" s="16"/>
      <c r="I981" s="16"/>
      <c r="J981" s="16"/>
    </row>
    <row r="982">
      <c r="A982" s="16" t="s">
        <v>174</v>
      </c>
      <c r="B982" s="16"/>
      <c r="H982" s="16"/>
      <c r="I982" s="16"/>
      <c r="J982" s="16"/>
    </row>
    <row r="983">
      <c r="A983" s="16" t="s">
        <v>174</v>
      </c>
      <c r="B983" s="16"/>
      <c r="H983" s="16"/>
      <c r="I983" s="16"/>
      <c r="J983" s="16"/>
    </row>
    <row r="984">
      <c r="A984" s="16" t="s">
        <v>174</v>
      </c>
      <c r="B984" s="16"/>
      <c r="H984" s="16"/>
      <c r="I984" s="16"/>
      <c r="J984" s="16"/>
    </row>
    <row r="985">
      <c r="A985" s="16" t="s">
        <v>174</v>
      </c>
      <c r="B985" s="16"/>
      <c r="H985" s="16"/>
      <c r="I985" s="16"/>
      <c r="J985" s="16"/>
    </row>
    <row r="986">
      <c r="A986" s="16" t="s">
        <v>174</v>
      </c>
      <c r="B986" s="16"/>
      <c r="H986" s="16"/>
      <c r="I986" s="16"/>
      <c r="J986" s="16"/>
    </row>
    <row r="987">
      <c r="A987" s="16" t="s">
        <v>174</v>
      </c>
      <c r="B987" s="16"/>
      <c r="H987" s="16"/>
      <c r="I987" s="16"/>
      <c r="J987" s="16"/>
    </row>
    <row r="988">
      <c r="A988" s="16" t="s">
        <v>174</v>
      </c>
      <c r="B988" s="16"/>
      <c r="H988" s="16"/>
      <c r="I988" s="16"/>
      <c r="J988" s="16"/>
    </row>
    <row r="989">
      <c r="A989" s="16" t="s">
        <v>174</v>
      </c>
      <c r="B989" s="16"/>
      <c r="H989" s="16"/>
      <c r="I989" s="16"/>
      <c r="J989" s="16"/>
    </row>
    <row r="990">
      <c r="A990" s="16" t="s">
        <v>174</v>
      </c>
      <c r="B990" s="16"/>
      <c r="H990" s="16"/>
      <c r="I990" s="16"/>
      <c r="J990" s="16"/>
    </row>
    <row r="991">
      <c r="A991" s="16" t="s">
        <v>174</v>
      </c>
      <c r="B991" s="16"/>
      <c r="H991" s="16"/>
      <c r="I991" s="16"/>
      <c r="J991" s="16"/>
    </row>
    <row r="992">
      <c r="A992" s="16" t="s">
        <v>174</v>
      </c>
      <c r="B992" s="16"/>
      <c r="H992" s="16"/>
      <c r="I992" s="16"/>
      <c r="J992" s="16"/>
    </row>
    <row r="993">
      <c r="A993" s="16" t="s">
        <v>174</v>
      </c>
      <c r="B993" s="16"/>
      <c r="H993" s="16"/>
      <c r="I993" s="16"/>
      <c r="J993" s="16"/>
    </row>
    <row r="994">
      <c r="A994" s="16" t="s">
        <v>174</v>
      </c>
      <c r="B994" s="16"/>
      <c r="H994" s="16"/>
      <c r="I994" s="16"/>
      <c r="J994" s="16"/>
    </row>
    <row r="995">
      <c r="A995" s="16" t="s">
        <v>174</v>
      </c>
      <c r="B995" s="16"/>
      <c r="H995" s="16"/>
      <c r="I995" s="16"/>
      <c r="J995" s="16"/>
    </row>
    <row r="996">
      <c r="A996" s="16" t="s">
        <v>174</v>
      </c>
      <c r="B996" s="16"/>
      <c r="H996" s="16"/>
      <c r="I996" s="16"/>
      <c r="J996" s="16"/>
    </row>
    <row r="997">
      <c r="A997" s="16" t="s">
        <v>174</v>
      </c>
      <c r="B997" s="16"/>
      <c r="H997" s="16"/>
      <c r="I997" s="16"/>
      <c r="J997" s="16"/>
    </row>
    <row r="998">
      <c r="A998" s="16" t="s">
        <v>174</v>
      </c>
      <c r="B998" s="16"/>
      <c r="H998" s="16"/>
      <c r="I998" s="16"/>
      <c r="J998" s="16"/>
    </row>
    <row r="999">
      <c r="A999" s="16" t="s">
        <v>174</v>
      </c>
      <c r="B999" s="16"/>
      <c r="H999" s="16"/>
      <c r="I999" s="16"/>
      <c r="J999" s="16"/>
    </row>
    <row r="1000">
      <c r="A1000" s="16" t="s">
        <v>174</v>
      </c>
      <c r="B1000" s="16"/>
      <c r="H1000" s="16"/>
      <c r="I1000" s="16"/>
      <c r="J1000" s="16"/>
    </row>
  </sheetData>
  <dataValidations>
    <dataValidation type="list" allowBlank="1" showErrorMessage="1" sqref="I2:J1000">
      <formula1>"Sandeep Kumar,Bakhshish"</formula1>
    </dataValidation>
    <dataValidation type="list" allowBlank="1" showErrorMessage="1" sqref="H2:H1000">
      <formula1>"Accepted,Draft,Sent"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0" t="s">
        <v>2267</v>
      </c>
      <c r="B1" s="7" t="s">
        <v>2269</v>
      </c>
      <c r="C1" s="7" t="s">
        <v>8</v>
      </c>
      <c r="D1" s="7" t="s">
        <v>2270</v>
      </c>
      <c r="E1" s="7" t="s">
        <v>2271</v>
      </c>
      <c r="F1" s="7" t="s">
        <v>2272</v>
      </c>
      <c r="G1" s="7" t="s">
        <v>2273</v>
      </c>
      <c r="H1" s="7" t="s">
        <v>2274</v>
      </c>
      <c r="I1" s="7" t="s">
        <v>2275</v>
      </c>
      <c r="J1" s="7" t="s">
        <v>15</v>
      </c>
      <c r="K1" s="7" t="s">
        <v>1707</v>
      </c>
      <c r="L1" s="7" t="s">
        <v>2276</v>
      </c>
      <c r="M1" s="7" t="s">
        <v>2278</v>
      </c>
      <c r="N1" s="7" t="s">
        <v>2280</v>
      </c>
      <c r="O1" s="7" t="s">
        <v>2281</v>
      </c>
      <c r="P1" s="56"/>
      <c r="Q1" s="56"/>
      <c r="R1" s="56"/>
      <c r="S1" s="56"/>
      <c r="T1" s="56"/>
      <c r="U1" s="56"/>
      <c r="V1" s="56"/>
      <c r="W1" s="56"/>
      <c r="X1" s="56"/>
      <c r="Y1" s="56"/>
      <c r="Z1" s="56"/>
      <c r="AA1" s="56"/>
      <c r="AB1" s="56"/>
      <c r="AC1" s="56"/>
      <c r="AD1" s="56"/>
      <c r="AE1" s="56"/>
      <c r="AF1" s="56"/>
      <c r="AG1" s="56"/>
      <c r="AH1" s="56"/>
    </row>
    <row r="2">
      <c r="A2" s="14">
        <f t="array" ref="A2:A1000">IF(C2:C1000&lt;&gt;"",IF(A2:A1000="",TODAY(),A2:A1000),"")</f>
        <v>0</v>
      </c>
      <c r="B2" s="19" t="str">
        <f t="array" ref="B2:B1000">IF(C2:C1000&lt;&gt;"","CT-"&amp;TEXT(ROW(C2:C1000)-1,"000"),)</f>
        <v>CT-001</v>
      </c>
      <c r="C2" s="19" t="s">
        <v>2291</v>
      </c>
      <c r="D2" s="55">
        <v>45323.0</v>
      </c>
      <c r="E2" s="55">
        <v>45688.0</v>
      </c>
      <c r="F2" s="25">
        <f t="shared" ref="F2:F4" si="1">E2-D2</f>
        <v>365</v>
      </c>
      <c r="G2" s="25"/>
      <c r="H2" s="25">
        <v>12000.0</v>
      </c>
      <c r="I2" s="19"/>
      <c r="J2" s="19" t="s">
        <v>2295</v>
      </c>
      <c r="K2" s="19"/>
      <c r="L2" s="19" t="s">
        <v>2296</v>
      </c>
      <c r="M2" s="19"/>
      <c r="N2" s="34">
        <f>IF(F2="","",F2-TODAY())</f>
        <v>-45898</v>
      </c>
      <c r="O2" s="19"/>
    </row>
    <row r="3">
      <c r="A3" s="14">
        <v>46232.0</v>
      </c>
      <c r="B3" s="16" t="s">
        <v>2300</v>
      </c>
      <c r="C3" s="19" t="s">
        <v>2301</v>
      </c>
      <c r="D3" s="55">
        <v>45383.0</v>
      </c>
      <c r="E3" s="55">
        <v>45747.0</v>
      </c>
      <c r="F3" s="25">
        <f t="shared" si="1"/>
        <v>364</v>
      </c>
      <c r="G3" s="25"/>
      <c r="H3" s="25">
        <v>35000.0</v>
      </c>
      <c r="I3" s="19"/>
      <c r="J3" s="19" t="s">
        <v>2295</v>
      </c>
      <c r="K3" s="19"/>
      <c r="L3" s="19" t="s">
        <v>2302</v>
      </c>
      <c r="M3" s="19"/>
      <c r="N3" s="19"/>
      <c r="O3" s="19"/>
    </row>
    <row r="4">
      <c r="A4" s="14">
        <v>46232.0</v>
      </c>
      <c r="B4" s="16" t="s">
        <v>2303</v>
      </c>
      <c r="C4" s="19" t="s">
        <v>2304</v>
      </c>
      <c r="D4" s="55">
        <v>45444.0</v>
      </c>
      <c r="E4" s="55">
        <v>45808.0</v>
      </c>
      <c r="F4" s="25">
        <f t="shared" si="1"/>
        <v>364</v>
      </c>
      <c r="G4" s="25"/>
      <c r="H4" s="25">
        <v>80000.0</v>
      </c>
      <c r="I4" s="19"/>
      <c r="J4" s="19" t="s">
        <v>2295</v>
      </c>
      <c r="K4" s="19"/>
      <c r="L4" s="19" t="s">
        <v>2307</v>
      </c>
      <c r="M4" s="19"/>
      <c r="N4" s="19"/>
      <c r="O4" s="19"/>
    </row>
    <row r="5">
      <c r="A5" s="28" t="s">
        <v>174</v>
      </c>
      <c r="B5" s="16"/>
      <c r="I5" s="16"/>
    </row>
    <row r="6">
      <c r="A6" s="28" t="s">
        <v>174</v>
      </c>
      <c r="B6" s="16"/>
      <c r="I6" s="16"/>
    </row>
    <row r="7">
      <c r="A7" s="28" t="s">
        <v>174</v>
      </c>
      <c r="B7" s="16"/>
      <c r="I7" s="16"/>
    </row>
    <row r="8">
      <c r="A8" s="28" t="s">
        <v>174</v>
      </c>
      <c r="B8" s="16"/>
      <c r="I8" s="16"/>
    </row>
    <row r="9">
      <c r="A9" s="28" t="s">
        <v>174</v>
      </c>
      <c r="B9" s="16"/>
      <c r="I9" s="16"/>
    </row>
    <row r="10">
      <c r="A10" s="28" t="s">
        <v>174</v>
      </c>
      <c r="B10" s="16"/>
      <c r="I10" s="16"/>
    </row>
    <row r="11">
      <c r="A11" s="28" t="s">
        <v>174</v>
      </c>
      <c r="B11" s="16"/>
      <c r="I11" s="16"/>
    </row>
    <row r="12">
      <c r="A12" s="28" t="s">
        <v>174</v>
      </c>
      <c r="B12" s="16"/>
      <c r="I12" s="16"/>
    </row>
    <row r="13">
      <c r="A13" s="28" t="s">
        <v>174</v>
      </c>
      <c r="B13" s="16"/>
      <c r="I13" s="16"/>
    </row>
    <row r="14">
      <c r="A14" s="28" t="s">
        <v>174</v>
      </c>
      <c r="B14" s="16"/>
      <c r="I14" s="16"/>
    </row>
    <row r="15">
      <c r="A15" s="28" t="s">
        <v>174</v>
      </c>
      <c r="B15" s="16"/>
      <c r="I15" s="16"/>
    </row>
    <row r="16">
      <c r="A16" s="28" t="s">
        <v>174</v>
      </c>
      <c r="B16" s="16"/>
      <c r="I16" s="16"/>
    </row>
    <row r="17">
      <c r="A17" s="28" t="s">
        <v>174</v>
      </c>
      <c r="B17" s="16"/>
      <c r="I17" s="16"/>
    </row>
    <row r="18">
      <c r="A18" s="28" t="s">
        <v>174</v>
      </c>
      <c r="B18" s="16"/>
      <c r="I18" s="16"/>
    </row>
    <row r="19">
      <c r="A19" s="28" t="s">
        <v>174</v>
      </c>
      <c r="B19" s="16"/>
      <c r="I19" s="16"/>
    </row>
    <row r="20">
      <c r="A20" s="28" t="s">
        <v>174</v>
      </c>
      <c r="B20" s="16"/>
      <c r="I20" s="16"/>
    </row>
    <row r="21">
      <c r="A21" s="28" t="s">
        <v>174</v>
      </c>
      <c r="B21" s="16"/>
      <c r="I21" s="16"/>
    </row>
    <row r="22">
      <c r="A22" s="28" t="s">
        <v>174</v>
      </c>
      <c r="B22" s="16"/>
      <c r="I22" s="16"/>
    </row>
    <row r="23">
      <c r="A23" s="28" t="s">
        <v>174</v>
      </c>
      <c r="B23" s="16"/>
      <c r="I23" s="16"/>
    </row>
    <row r="24">
      <c r="A24" s="28" t="s">
        <v>174</v>
      </c>
      <c r="B24" s="16"/>
      <c r="I24" s="16"/>
    </row>
    <row r="25">
      <c r="A25" s="28" t="s">
        <v>174</v>
      </c>
      <c r="B25" s="16"/>
      <c r="I25" s="16"/>
    </row>
    <row r="26">
      <c r="A26" s="28" t="s">
        <v>174</v>
      </c>
      <c r="B26" s="16"/>
      <c r="I26" s="16"/>
    </row>
    <row r="27">
      <c r="A27" s="28" t="s">
        <v>174</v>
      </c>
      <c r="B27" s="16"/>
      <c r="I27" s="16"/>
    </row>
    <row r="28">
      <c r="A28" s="28" t="s">
        <v>174</v>
      </c>
      <c r="B28" s="16"/>
      <c r="I28" s="16"/>
    </row>
    <row r="29">
      <c r="A29" s="28" t="s">
        <v>174</v>
      </c>
      <c r="B29" s="16"/>
      <c r="I29" s="16"/>
    </row>
    <row r="30">
      <c r="A30" s="28" t="s">
        <v>174</v>
      </c>
      <c r="B30" s="16"/>
      <c r="I30" s="16"/>
    </row>
    <row r="31">
      <c r="A31" s="28" t="s">
        <v>174</v>
      </c>
      <c r="B31" s="16"/>
      <c r="I31" s="16"/>
    </row>
    <row r="32">
      <c r="A32" s="28" t="s">
        <v>174</v>
      </c>
      <c r="B32" s="16"/>
      <c r="I32" s="16"/>
    </row>
    <row r="33">
      <c r="A33" s="28" t="s">
        <v>174</v>
      </c>
      <c r="B33" s="16"/>
      <c r="I33" s="16"/>
    </row>
    <row r="34">
      <c r="A34" s="28" t="s">
        <v>174</v>
      </c>
      <c r="B34" s="16"/>
      <c r="I34" s="16"/>
    </row>
    <row r="35">
      <c r="A35" s="28" t="s">
        <v>174</v>
      </c>
      <c r="B35" s="16"/>
      <c r="I35" s="16"/>
    </row>
    <row r="36">
      <c r="A36" s="28" t="s">
        <v>174</v>
      </c>
      <c r="B36" s="16"/>
      <c r="I36" s="16"/>
    </row>
    <row r="37">
      <c r="A37" s="28" t="s">
        <v>174</v>
      </c>
      <c r="B37" s="16"/>
      <c r="I37" s="16"/>
    </row>
    <row r="38">
      <c r="A38" s="28" t="s">
        <v>174</v>
      </c>
      <c r="B38" s="16"/>
      <c r="I38" s="16"/>
    </row>
    <row r="39">
      <c r="A39" s="28" t="s">
        <v>174</v>
      </c>
      <c r="B39" s="16"/>
      <c r="I39" s="16"/>
    </row>
    <row r="40">
      <c r="A40" s="28" t="s">
        <v>174</v>
      </c>
      <c r="B40" s="16"/>
      <c r="I40" s="16"/>
    </row>
    <row r="41">
      <c r="A41" s="28" t="s">
        <v>174</v>
      </c>
      <c r="B41" s="16"/>
      <c r="I41" s="16"/>
    </row>
    <row r="42">
      <c r="A42" s="28" t="s">
        <v>174</v>
      </c>
      <c r="B42" s="16"/>
      <c r="I42" s="16"/>
    </row>
    <row r="43">
      <c r="A43" s="28" t="s">
        <v>174</v>
      </c>
      <c r="B43" s="16"/>
      <c r="I43" s="16"/>
    </row>
    <row r="44">
      <c r="A44" s="28" t="s">
        <v>174</v>
      </c>
      <c r="B44" s="16"/>
      <c r="I44" s="16"/>
    </row>
    <row r="45">
      <c r="A45" s="28" t="s">
        <v>174</v>
      </c>
      <c r="B45" s="16"/>
      <c r="I45" s="16"/>
    </row>
    <row r="46">
      <c r="A46" s="28" t="s">
        <v>174</v>
      </c>
      <c r="B46" s="16"/>
      <c r="I46" s="16"/>
    </row>
    <row r="47">
      <c r="A47" s="28" t="s">
        <v>174</v>
      </c>
      <c r="B47" s="16"/>
      <c r="I47" s="16"/>
    </row>
    <row r="48">
      <c r="A48" s="28" t="s">
        <v>174</v>
      </c>
      <c r="B48" s="16"/>
      <c r="I48" s="16"/>
    </row>
    <row r="49">
      <c r="A49" s="28" t="s">
        <v>174</v>
      </c>
      <c r="B49" s="16"/>
      <c r="I49" s="16"/>
    </row>
    <row r="50">
      <c r="A50" s="28" t="s">
        <v>174</v>
      </c>
      <c r="B50" s="16"/>
      <c r="I50" s="16"/>
    </row>
    <row r="51">
      <c r="A51" s="28" t="s">
        <v>174</v>
      </c>
      <c r="B51" s="16"/>
      <c r="I51" s="16"/>
    </row>
    <row r="52">
      <c r="A52" s="28" t="s">
        <v>174</v>
      </c>
      <c r="B52" s="16"/>
      <c r="I52" s="16"/>
    </row>
    <row r="53">
      <c r="A53" s="28" t="s">
        <v>174</v>
      </c>
      <c r="B53" s="16"/>
      <c r="I53" s="16"/>
    </row>
    <row r="54">
      <c r="A54" s="28" t="s">
        <v>174</v>
      </c>
      <c r="B54" s="16"/>
      <c r="I54" s="16"/>
    </row>
    <row r="55">
      <c r="A55" s="28" t="s">
        <v>174</v>
      </c>
      <c r="B55" s="16"/>
      <c r="I55" s="16"/>
    </row>
    <row r="56">
      <c r="A56" s="28" t="s">
        <v>174</v>
      </c>
      <c r="B56" s="16"/>
      <c r="I56" s="16"/>
    </row>
    <row r="57">
      <c r="A57" s="28" t="s">
        <v>174</v>
      </c>
      <c r="B57" s="16"/>
      <c r="I57" s="16"/>
    </row>
    <row r="58">
      <c r="A58" s="28" t="s">
        <v>174</v>
      </c>
      <c r="B58" s="16"/>
      <c r="I58" s="16"/>
    </row>
    <row r="59">
      <c r="A59" s="28" t="s">
        <v>174</v>
      </c>
      <c r="B59" s="16"/>
      <c r="I59" s="16"/>
    </row>
    <row r="60">
      <c r="A60" s="28" t="s">
        <v>174</v>
      </c>
      <c r="B60" s="16"/>
      <c r="I60" s="16"/>
    </row>
    <row r="61">
      <c r="A61" s="28" t="s">
        <v>174</v>
      </c>
      <c r="B61" s="16"/>
      <c r="I61" s="16"/>
    </row>
    <row r="62">
      <c r="A62" s="28" t="s">
        <v>174</v>
      </c>
      <c r="B62" s="16"/>
      <c r="I62" s="16"/>
    </row>
    <row r="63">
      <c r="A63" s="28" t="s">
        <v>174</v>
      </c>
      <c r="B63" s="16"/>
      <c r="I63" s="16"/>
    </row>
    <row r="64">
      <c r="A64" s="28" t="s">
        <v>174</v>
      </c>
      <c r="B64" s="16"/>
      <c r="I64" s="16"/>
    </row>
    <row r="65">
      <c r="A65" s="28" t="s">
        <v>174</v>
      </c>
      <c r="B65" s="16"/>
      <c r="I65" s="16"/>
    </row>
    <row r="66">
      <c r="A66" s="28" t="s">
        <v>174</v>
      </c>
      <c r="B66" s="16"/>
      <c r="I66" s="16"/>
    </row>
    <row r="67">
      <c r="A67" s="28" t="s">
        <v>174</v>
      </c>
      <c r="B67" s="16"/>
      <c r="I67" s="16"/>
    </row>
    <row r="68">
      <c r="A68" s="28" t="s">
        <v>174</v>
      </c>
      <c r="B68" s="16"/>
      <c r="I68" s="16"/>
    </row>
    <row r="69">
      <c r="A69" s="28" t="s">
        <v>174</v>
      </c>
      <c r="B69" s="16"/>
      <c r="I69" s="16"/>
    </row>
    <row r="70">
      <c r="A70" s="28" t="s">
        <v>174</v>
      </c>
      <c r="B70" s="16"/>
      <c r="I70" s="16"/>
    </row>
    <row r="71">
      <c r="A71" s="28" t="s">
        <v>174</v>
      </c>
      <c r="B71" s="16"/>
      <c r="I71" s="16"/>
    </row>
    <row r="72">
      <c r="A72" s="28" t="s">
        <v>174</v>
      </c>
      <c r="B72" s="16"/>
      <c r="I72" s="16"/>
    </row>
    <row r="73">
      <c r="A73" s="28" t="s">
        <v>174</v>
      </c>
      <c r="B73" s="16"/>
      <c r="I73" s="16"/>
    </row>
    <row r="74">
      <c r="A74" s="28" t="s">
        <v>174</v>
      </c>
      <c r="B74" s="16"/>
      <c r="I74" s="16"/>
    </row>
    <row r="75">
      <c r="A75" s="28" t="s">
        <v>174</v>
      </c>
      <c r="B75" s="16"/>
      <c r="I75" s="16"/>
    </row>
    <row r="76">
      <c r="A76" s="28" t="s">
        <v>174</v>
      </c>
      <c r="B76" s="16"/>
      <c r="I76" s="16"/>
    </row>
    <row r="77">
      <c r="A77" s="28" t="s">
        <v>174</v>
      </c>
      <c r="B77" s="16"/>
      <c r="I77" s="16"/>
    </row>
    <row r="78">
      <c r="A78" s="28" t="s">
        <v>174</v>
      </c>
      <c r="B78" s="16"/>
      <c r="I78" s="16"/>
    </row>
    <row r="79">
      <c r="A79" s="28" t="s">
        <v>174</v>
      </c>
      <c r="B79" s="16"/>
      <c r="I79" s="16"/>
    </row>
    <row r="80">
      <c r="A80" s="28" t="s">
        <v>174</v>
      </c>
      <c r="B80" s="16"/>
      <c r="I80" s="16"/>
    </row>
    <row r="81">
      <c r="A81" s="28" t="s">
        <v>174</v>
      </c>
      <c r="B81" s="16"/>
      <c r="I81" s="16"/>
    </row>
    <row r="82">
      <c r="A82" s="28" t="s">
        <v>174</v>
      </c>
      <c r="B82" s="16"/>
      <c r="I82" s="16"/>
    </row>
    <row r="83">
      <c r="A83" s="28" t="s">
        <v>174</v>
      </c>
      <c r="B83" s="16"/>
      <c r="I83" s="16"/>
    </row>
    <row r="84">
      <c r="A84" s="28" t="s">
        <v>174</v>
      </c>
      <c r="B84" s="16"/>
      <c r="I84" s="16"/>
    </row>
    <row r="85">
      <c r="A85" s="28" t="s">
        <v>174</v>
      </c>
      <c r="B85" s="16"/>
      <c r="I85" s="16"/>
    </row>
    <row r="86">
      <c r="A86" s="28" t="s">
        <v>174</v>
      </c>
      <c r="B86" s="16"/>
      <c r="I86" s="16"/>
    </row>
    <row r="87">
      <c r="A87" s="28" t="s">
        <v>174</v>
      </c>
      <c r="B87" s="16"/>
      <c r="I87" s="16"/>
    </row>
    <row r="88">
      <c r="A88" s="28" t="s">
        <v>174</v>
      </c>
      <c r="B88" s="16"/>
      <c r="I88" s="16"/>
    </row>
    <row r="89">
      <c r="A89" s="28" t="s">
        <v>174</v>
      </c>
      <c r="B89" s="16"/>
      <c r="I89" s="16"/>
    </row>
    <row r="90">
      <c r="A90" s="28" t="s">
        <v>174</v>
      </c>
      <c r="B90" s="16"/>
      <c r="I90" s="16"/>
    </row>
    <row r="91">
      <c r="A91" s="28" t="s">
        <v>174</v>
      </c>
      <c r="B91" s="16"/>
      <c r="I91" s="16"/>
    </row>
    <row r="92">
      <c r="A92" s="28" t="s">
        <v>174</v>
      </c>
      <c r="B92" s="16"/>
      <c r="I92" s="16"/>
    </row>
    <row r="93">
      <c r="A93" s="28" t="s">
        <v>174</v>
      </c>
      <c r="B93" s="16"/>
      <c r="I93" s="16"/>
    </row>
    <row r="94">
      <c r="A94" s="28" t="s">
        <v>174</v>
      </c>
      <c r="B94" s="16"/>
      <c r="I94" s="16"/>
    </row>
    <row r="95">
      <c r="A95" s="28" t="s">
        <v>174</v>
      </c>
      <c r="B95" s="16"/>
      <c r="I95" s="16"/>
    </row>
    <row r="96">
      <c r="A96" s="28" t="s">
        <v>174</v>
      </c>
      <c r="B96" s="16"/>
      <c r="I96" s="16"/>
    </row>
    <row r="97">
      <c r="A97" s="28" t="s">
        <v>174</v>
      </c>
      <c r="B97" s="16"/>
      <c r="I97" s="16"/>
    </row>
    <row r="98">
      <c r="A98" s="28" t="s">
        <v>174</v>
      </c>
      <c r="B98" s="16"/>
      <c r="I98" s="16"/>
    </row>
    <row r="99">
      <c r="A99" s="28" t="s">
        <v>174</v>
      </c>
      <c r="B99" s="16"/>
      <c r="I99" s="16"/>
    </row>
    <row r="100">
      <c r="A100" s="28" t="s">
        <v>174</v>
      </c>
      <c r="B100" s="16"/>
      <c r="I100" s="16"/>
    </row>
    <row r="101">
      <c r="A101" s="28" t="s">
        <v>174</v>
      </c>
      <c r="B101" s="16"/>
      <c r="I101" s="16"/>
    </row>
    <row r="102">
      <c r="A102" s="28" t="s">
        <v>174</v>
      </c>
      <c r="B102" s="16"/>
      <c r="I102" s="16"/>
    </row>
    <row r="103">
      <c r="A103" s="28" t="s">
        <v>174</v>
      </c>
      <c r="B103" s="16"/>
      <c r="I103" s="16"/>
    </row>
    <row r="104">
      <c r="A104" s="28" t="s">
        <v>174</v>
      </c>
      <c r="B104" s="16"/>
      <c r="I104" s="16"/>
    </row>
    <row r="105">
      <c r="A105" s="28" t="s">
        <v>174</v>
      </c>
      <c r="B105" s="16"/>
      <c r="I105" s="16"/>
    </row>
    <row r="106">
      <c r="A106" s="28" t="s">
        <v>174</v>
      </c>
      <c r="B106" s="16"/>
      <c r="I106" s="16"/>
    </row>
    <row r="107">
      <c r="A107" s="28" t="s">
        <v>174</v>
      </c>
      <c r="B107" s="16"/>
      <c r="I107" s="16"/>
    </row>
    <row r="108">
      <c r="A108" s="28" t="s">
        <v>174</v>
      </c>
      <c r="B108" s="16"/>
      <c r="I108" s="16"/>
    </row>
    <row r="109">
      <c r="A109" s="28" t="s">
        <v>174</v>
      </c>
      <c r="B109" s="16"/>
      <c r="I109" s="16"/>
    </row>
    <row r="110">
      <c r="A110" s="28" t="s">
        <v>174</v>
      </c>
      <c r="B110" s="16"/>
      <c r="I110" s="16"/>
    </row>
    <row r="111">
      <c r="A111" s="28" t="s">
        <v>174</v>
      </c>
      <c r="B111" s="16"/>
      <c r="I111" s="16"/>
    </row>
    <row r="112">
      <c r="A112" s="28" t="s">
        <v>174</v>
      </c>
      <c r="B112" s="16"/>
      <c r="I112" s="16"/>
    </row>
    <row r="113">
      <c r="A113" s="28" t="s">
        <v>174</v>
      </c>
      <c r="B113" s="16"/>
      <c r="I113" s="16"/>
    </row>
    <row r="114">
      <c r="A114" s="28" t="s">
        <v>174</v>
      </c>
      <c r="B114" s="16"/>
      <c r="I114" s="16"/>
    </row>
    <row r="115">
      <c r="A115" s="28" t="s">
        <v>174</v>
      </c>
      <c r="B115" s="16"/>
      <c r="I115" s="16"/>
    </row>
    <row r="116">
      <c r="A116" s="28" t="s">
        <v>174</v>
      </c>
      <c r="B116" s="16"/>
      <c r="I116" s="16"/>
    </row>
    <row r="117">
      <c r="A117" s="28" t="s">
        <v>174</v>
      </c>
      <c r="B117" s="16"/>
      <c r="I117" s="16"/>
    </row>
    <row r="118">
      <c r="A118" s="28" t="s">
        <v>174</v>
      </c>
      <c r="B118" s="16"/>
      <c r="I118" s="16"/>
    </row>
    <row r="119">
      <c r="A119" s="28" t="s">
        <v>174</v>
      </c>
      <c r="B119" s="16"/>
      <c r="I119" s="16"/>
    </row>
    <row r="120">
      <c r="A120" s="28" t="s">
        <v>174</v>
      </c>
      <c r="B120" s="16"/>
      <c r="I120" s="16"/>
    </row>
    <row r="121">
      <c r="A121" s="28" t="s">
        <v>174</v>
      </c>
      <c r="B121" s="16"/>
      <c r="I121" s="16"/>
    </row>
    <row r="122">
      <c r="A122" s="28" t="s">
        <v>174</v>
      </c>
      <c r="B122" s="16"/>
      <c r="I122" s="16"/>
    </row>
    <row r="123">
      <c r="A123" s="28" t="s">
        <v>174</v>
      </c>
      <c r="B123" s="16"/>
      <c r="I123" s="16"/>
    </row>
    <row r="124">
      <c r="A124" s="28" t="s">
        <v>174</v>
      </c>
      <c r="B124" s="16"/>
      <c r="I124" s="16"/>
    </row>
    <row r="125">
      <c r="A125" s="28" t="s">
        <v>174</v>
      </c>
      <c r="B125" s="16"/>
      <c r="I125" s="16"/>
    </row>
    <row r="126">
      <c r="A126" s="28" t="s">
        <v>174</v>
      </c>
      <c r="B126" s="16"/>
      <c r="I126" s="16"/>
    </row>
    <row r="127">
      <c r="A127" s="28" t="s">
        <v>174</v>
      </c>
      <c r="B127" s="16"/>
      <c r="I127" s="16"/>
    </row>
    <row r="128">
      <c r="A128" s="28" t="s">
        <v>174</v>
      </c>
      <c r="B128" s="16"/>
      <c r="I128" s="16"/>
    </row>
    <row r="129">
      <c r="A129" s="28" t="s">
        <v>174</v>
      </c>
      <c r="B129" s="16"/>
      <c r="I129" s="16"/>
    </row>
    <row r="130">
      <c r="A130" s="28" t="s">
        <v>174</v>
      </c>
      <c r="B130" s="16"/>
      <c r="I130" s="16"/>
    </row>
    <row r="131">
      <c r="A131" s="28" t="s">
        <v>174</v>
      </c>
      <c r="B131" s="16"/>
      <c r="I131" s="16"/>
    </row>
    <row r="132">
      <c r="A132" s="28" t="s">
        <v>174</v>
      </c>
      <c r="B132" s="16"/>
      <c r="I132" s="16"/>
    </row>
    <row r="133">
      <c r="A133" s="28" t="s">
        <v>174</v>
      </c>
      <c r="B133" s="16"/>
      <c r="I133" s="16"/>
    </row>
    <row r="134">
      <c r="A134" s="28" t="s">
        <v>174</v>
      </c>
      <c r="B134" s="16"/>
      <c r="I134" s="16"/>
    </row>
    <row r="135">
      <c r="A135" s="28" t="s">
        <v>174</v>
      </c>
      <c r="B135" s="16"/>
      <c r="I135" s="16"/>
    </row>
    <row r="136">
      <c r="A136" s="28" t="s">
        <v>174</v>
      </c>
      <c r="B136" s="16"/>
      <c r="I136" s="16"/>
    </row>
    <row r="137">
      <c r="A137" s="28" t="s">
        <v>174</v>
      </c>
      <c r="B137" s="16"/>
      <c r="I137" s="16"/>
    </row>
    <row r="138">
      <c r="A138" s="28" t="s">
        <v>174</v>
      </c>
      <c r="B138" s="16"/>
      <c r="I138" s="16"/>
    </row>
    <row r="139">
      <c r="A139" s="28" t="s">
        <v>174</v>
      </c>
      <c r="B139" s="16"/>
      <c r="I139" s="16"/>
    </row>
    <row r="140">
      <c r="A140" s="28" t="s">
        <v>174</v>
      </c>
      <c r="B140" s="16"/>
      <c r="I140" s="16"/>
    </row>
    <row r="141">
      <c r="A141" s="28" t="s">
        <v>174</v>
      </c>
      <c r="B141" s="16"/>
      <c r="I141" s="16"/>
    </row>
    <row r="142">
      <c r="A142" s="28" t="s">
        <v>174</v>
      </c>
      <c r="B142" s="16"/>
      <c r="I142" s="16"/>
    </row>
    <row r="143">
      <c r="A143" s="28" t="s">
        <v>174</v>
      </c>
      <c r="B143" s="16"/>
      <c r="I143" s="16"/>
    </row>
    <row r="144">
      <c r="A144" s="28" t="s">
        <v>174</v>
      </c>
      <c r="B144" s="16"/>
      <c r="I144" s="16"/>
    </row>
    <row r="145">
      <c r="A145" s="28" t="s">
        <v>174</v>
      </c>
      <c r="B145" s="16"/>
      <c r="I145" s="16"/>
    </row>
    <row r="146">
      <c r="A146" s="28" t="s">
        <v>174</v>
      </c>
      <c r="B146" s="16"/>
      <c r="I146" s="16"/>
    </row>
    <row r="147">
      <c r="A147" s="28" t="s">
        <v>174</v>
      </c>
      <c r="B147" s="16"/>
      <c r="I147" s="16"/>
    </row>
    <row r="148">
      <c r="A148" s="28" t="s">
        <v>174</v>
      </c>
      <c r="B148" s="16"/>
      <c r="I148" s="16"/>
    </row>
    <row r="149">
      <c r="A149" s="28" t="s">
        <v>174</v>
      </c>
      <c r="B149" s="16"/>
      <c r="I149" s="16"/>
    </row>
    <row r="150">
      <c r="A150" s="28" t="s">
        <v>174</v>
      </c>
      <c r="B150" s="16"/>
      <c r="I150" s="16"/>
    </row>
    <row r="151">
      <c r="A151" s="28" t="s">
        <v>174</v>
      </c>
      <c r="B151" s="16"/>
      <c r="I151" s="16"/>
    </row>
    <row r="152">
      <c r="A152" s="28" t="s">
        <v>174</v>
      </c>
      <c r="B152" s="16"/>
      <c r="I152" s="16"/>
    </row>
    <row r="153">
      <c r="A153" s="28" t="s">
        <v>174</v>
      </c>
      <c r="B153" s="16"/>
      <c r="I153" s="16"/>
    </row>
    <row r="154">
      <c r="A154" s="28" t="s">
        <v>174</v>
      </c>
      <c r="B154" s="16"/>
      <c r="I154" s="16"/>
    </row>
    <row r="155">
      <c r="A155" s="28" t="s">
        <v>174</v>
      </c>
      <c r="B155" s="16"/>
      <c r="I155" s="16"/>
    </row>
    <row r="156">
      <c r="A156" s="28" t="s">
        <v>174</v>
      </c>
      <c r="B156" s="16"/>
      <c r="I156" s="16"/>
    </row>
    <row r="157">
      <c r="A157" s="28" t="s">
        <v>174</v>
      </c>
      <c r="B157" s="16"/>
      <c r="I157" s="16"/>
    </row>
    <row r="158">
      <c r="A158" s="28" t="s">
        <v>174</v>
      </c>
      <c r="B158" s="16"/>
      <c r="I158" s="16"/>
    </row>
    <row r="159">
      <c r="A159" s="28" t="s">
        <v>174</v>
      </c>
      <c r="B159" s="16"/>
      <c r="I159" s="16"/>
    </row>
    <row r="160">
      <c r="A160" s="28" t="s">
        <v>174</v>
      </c>
      <c r="B160" s="16"/>
      <c r="I160" s="16"/>
    </row>
    <row r="161">
      <c r="A161" s="28" t="s">
        <v>174</v>
      </c>
      <c r="B161" s="16"/>
      <c r="I161" s="16"/>
    </row>
    <row r="162">
      <c r="A162" s="28" t="s">
        <v>174</v>
      </c>
      <c r="B162" s="16"/>
      <c r="I162" s="16"/>
    </row>
    <row r="163">
      <c r="A163" s="28" t="s">
        <v>174</v>
      </c>
      <c r="B163" s="16"/>
      <c r="I163" s="16"/>
    </row>
    <row r="164">
      <c r="A164" s="28" t="s">
        <v>174</v>
      </c>
      <c r="B164" s="16"/>
      <c r="I164" s="16"/>
    </row>
    <row r="165">
      <c r="A165" s="28" t="s">
        <v>174</v>
      </c>
      <c r="B165" s="16"/>
      <c r="I165" s="16"/>
    </row>
    <row r="166">
      <c r="A166" s="28" t="s">
        <v>174</v>
      </c>
      <c r="B166" s="16"/>
      <c r="I166" s="16"/>
    </row>
    <row r="167">
      <c r="A167" s="28" t="s">
        <v>174</v>
      </c>
      <c r="B167" s="16"/>
      <c r="I167" s="16"/>
    </row>
    <row r="168">
      <c r="A168" s="28" t="s">
        <v>174</v>
      </c>
      <c r="B168" s="16"/>
      <c r="I168" s="16"/>
    </row>
    <row r="169">
      <c r="A169" s="28" t="s">
        <v>174</v>
      </c>
      <c r="B169" s="16"/>
      <c r="I169" s="16"/>
    </row>
    <row r="170">
      <c r="A170" s="28" t="s">
        <v>174</v>
      </c>
      <c r="B170" s="16"/>
      <c r="I170" s="16"/>
    </row>
    <row r="171">
      <c r="A171" s="28" t="s">
        <v>174</v>
      </c>
      <c r="B171" s="16"/>
      <c r="I171" s="16"/>
    </row>
    <row r="172">
      <c r="A172" s="28" t="s">
        <v>174</v>
      </c>
      <c r="B172" s="16"/>
      <c r="I172" s="16"/>
    </row>
    <row r="173">
      <c r="A173" s="28" t="s">
        <v>174</v>
      </c>
      <c r="B173" s="16"/>
      <c r="I173" s="16"/>
    </row>
    <row r="174">
      <c r="A174" s="28" t="s">
        <v>174</v>
      </c>
      <c r="B174" s="16"/>
      <c r="I174" s="16"/>
    </row>
    <row r="175">
      <c r="A175" s="28" t="s">
        <v>174</v>
      </c>
      <c r="B175" s="16"/>
      <c r="I175" s="16"/>
    </row>
    <row r="176">
      <c r="A176" s="28" t="s">
        <v>174</v>
      </c>
      <c r="B176" s="16"/>
      <c r="I176" s="16"/>
    </row>
    <row r="177">
      <c r="A177" s="28" t="s">
        <v>174</v>
      </c>
      <c r="B177" s="16"/>
      <c r="I177" s="16"/>
    </row>
    <row r="178">
      <c r="A178" s="28" t="s">
        <v>174</v>
      </c>
      <c r="B178" s="16"/>
      <c r="I178" s="16"/>
    </row>
    <row r="179">
      <c r="A179" s="28" t="s">
        <v>174</v>
      </c>
      <c r="B179" s="16"/>
      <c r="I179" s="16"/>
    </row>
    <row r="180">
      <c r="A180" s="28" t="s">
        <v>174</v>
      </c>
      <c r="B180" s="16"/>
      <c r="I180" s="16"/>
    </row>
    <row r="181">
      <c r="A181" s="28" t="s">
        <v>174</v>
      </c>
      <c r="B181" s="16"/>
      <c r="I181" s="16"/>
    </row>
    <row r="182">
      <c r="A182" s="28" t="s">
        <v>174</v>
      </c>
      <c r="B182" s="16"/>
      <c r="I182" s="16"/>
    </row>
    <row r="183">
      <c r="A183" s="28" t="s">
        <v>174</v>
      </c>
      <c r="B183" s="16"/>
      <c r="I183" s="16"/>
    </row>
    <row r="184">
      <c r="A184" s="28" t="s">
        <v>174</v>
      </c>
      <c r="B184" s="16"/>
      <c r="I184" s="16"/>
    </row>
    <row r="185">
      <c r="A185" s="28" t="s">
        <v>174</v>
      </c>
      <c r="B185" s="16"/>
      <c r="I185" s="16"/>
    </row>
    <row r="186">
      <c r="A186" s="28" t="s">
        <v>174</v>
      </c>
      <c r="B186" s="16"/>
      <c r="I186" s="16"/>
    </row>
    <row r="187">
      <c r="A187" s="28" t="s">
        <v>174</v>
      </c>
      <c r="B187" s="16"/>
      <c r="I187" s="16"/>
    </row>
    <row r="188">
      <c r="A188" s="28" t="s">
        <v>174</v>
      </c>
      <c r="B188" s="16"/>
      <c r="I188" s="16"/>
    </row>
    <row r="189">
      <c r="A189" s="28" t="s">
        <v>174</v>
      </c>
      <c r="B189" s="16"/>
      <c r="I189" s="16"/>
    </row>
    <row r="190">
      <c r="A190" s="28" t="s">
        <v>174</v>
      </c>
      <c r="B190" s="16"/>
      <c r="I190" s="16"/>
    </row>
    <row r="191">
      <c r="A191" s="28" t="s">
        <v>174</v>
      </c>
      <c r="B191" s="16"/>
      <c r="I191" s="16"/>
    </row>
    <row r="192">
      <c r="A192" s="28" t="s">
        <v>174</v>
      </c>
      <c r="B192" s="16"/>
      <c r="I192" s="16"/>
    </row>
    <row r="193">
      <c r="A193" s="28" t="s">
        <v>174</v>
      </c>
      <c r="B193" s="16"/>
      <c r="I193" s="16"/>
    </row>
    <row r="194">
      <c r="A194" s="28" t="s">
        <v>174</v>
      </c>
      <c r="B194" s="16"/>
      <c r="I194" s="16"/>
    </row>
    <row r="195">
      <c r="A195" s="28" t="s">
        <v>174</v>
      </c>
      <c r="B195" s="16"/>
      <c r="I195" s="16"/>
    </row>
    <row r="196">
      <c r="A196" s="28" t="s">
        <v>174</v>
      </c>
      <c r="B196" s="16"/>
      <c r="I196" s="16"/>
    </row>
    <row r="197">
      <c r="A197" s="28" t="s">
        <v>174</v>
      </c>
      <c r="B197" s="16"/>
      <c r="I197" s="16"/>
    </row>
    <row r="198">
      <c r="A198" s="28" t="s">
        <v>174</v>
      </c>
      <c r="B198" s="16"/>
      <c r="I198" s="16"/>
    </row>
    <row r="199">
      <c r="A199" s="28" t="s">
        <v>174</v>
      </c>
      <c r="B199" s="16"/>
      <c r="I199" s="16"/>
    </row>
    <row r="200">
      <c r="A200" s="28" t="s">
        <v>174</v>
      </c>
      <c r="B200" s="16"/>
      <c r="I200" s="16"/>
    </row>
    <row r="201">
      <c r="A201" s="28" t="s">
        <v>174</v>
      </c>
      <c r="B201" s="16"/>
      <c r="I201" s="16"/>
    </row>
    <row r="202">
      <c r="A202" s="28" t="s">
        <v>174</v>
      </c>
      <c r="B202" s="16"/>
      <c r="I202" s="16"/>
    </row>
    <row r="203">
      <c r="A203" s="28" t="s">
        <v>174</v>
      </c>
      <c r="B203" s="16"/>
      <c r="I203" s="16"/>
    </row>
    <row r="204">
      <c r="A204" s="28" t="s">
        <v>174</v>
      </c>
      <c r="B204" s="16"/>
      <c r="I204" s="16"/>
    </row>
    <row r="205">
      <c r="A205" s="28" t="s">
        <v>174</v>
      </c>
      <c r="B205" s="16"/>
      <c r="I205" s="16"/>
    </row>
    <row r="206">
      <c r="A206" s="28" t="s">
        <v>174</v>
      </c>
      <c r="B206" s="16"/>
      <c r="I206" s="16"/>
    </row>
    <row r="207">
      <c r="A207" s="28" t="s">
        <v>174</v>
      </c>
      <c r="B207" s="16"/>
      <c r="I207" s="16"/>
    </row>
    <row r="208">
      <c r="A208" s="28" t="s">
        <v>174</v>
      </c>
      <c r="B208" s="16"/>
      <c r="I208" s="16"/>
    </row>
    <row r="209">
      <c r="A209" s="28" t="s">
        <v>174</v>
      </c>
      <c r="B209" s="16"/>
      <c r="I209" s="16"/>
    </row>
    <row r="210">
      <c r="A210" s="28" t="s">
        <v>174</v>
      </c>
      <c r="B210" s="16"/>
      <c r="I210" s="16"/>
    </row>
    <row r="211">
      <c r="A211" s="28" t="s">
        <v>174</v>
      </c>
      <c r="B211" s="16"/>
      <c r="I211" s="16"/>
    </row>
    <row r="212">
      <c r="A212" s="28" t="s">
        <v>174</v>
      </c>
      <c r="B212" s="16"/>
      <c r="I212" s="16"/>
    </row>
    <row r="213">
      <c r="A213" s="28" t="s">
        <v>174</v>
      </c>
      <c r="B213" s="16"/>
      <c r="I213" s="16"/>
    </row>
    <row r="214">
      <c r="A214" s="28" t="s">
        <v>174</v>
      </c>
      <c r="B214" s="16"/>
      <c r="I214" s="16"/>
    </row>
    <row r="215">
      <c r="A215" s="28" t="s">
        <v>174</v>
      </c>
      <c r="B215" s="16"/>
      <c r="I215" s="16"/>
    </row>
    <row r="216">
      <c r="A216" s="28" t="s">
        <v>174</v>
      </c>
      <c r="B216" s="16"/>
      <c r="I216" s="16"/>
    </row>
    <row r="217">
      <c r="A217" s="28" t="s">
        <v>174</v>
      </c>
      <c r="B217" s="16"/>
      <c r="I217" s="16"/>
    </row>
    <row r="218">
      <c r="A218" s="28" t="s">
        <v>174</v>
      </c>
      <c r="B218" s="16"/>
      <c r="I218" s="16"/>
    </row>
    <row r="219">
      <c r="A219" s="28" t="s">
        <v>174</v>
      </c>
      <c r="B219" s="16"/>
      <c r="I219" s="16"/>
    </row>
    <row r="220">
      <c r="A220" s="28" t="s">
        <v>174</v>
      </c>
      <c r="B220" s="16"/>
      <c r="I220" s="16"/>
    </row>
    <row r="221">
      <c r="A221" s="28" t="s">
        <v>174</v>
      </c>
      <c r="B221" s="16"/>
      <c r="I221" s="16"/>
    </row>
    <row r="222">
      <c r="A222" s="28" t="s">
        <v>174</v>
      </c>
      <c r="B222" s="16"/>
      <c r="I222" s="16"/>
    </row>
    <row r="223">
      <c r="A223" s="28" t="s">
        <v>174</v>
      </c>
      <c r="B223" s="16"/>
      <c r="I223" s="16"/>
    </row>
    <row r="224">
      <c r="A224" s="28" t="s">
        <v>174</v>
      </c>
      <c r="B224" s="16"/>
      <c r="I224" s="16"/>
    </row>
    <row r="225">
      <c r="A225" s="28" t="s">
        <v>174</v>
      </c>
      <c r="B225" s="16"/>
      <c r="I225" s="16"/>
    </row>
    <row r="226">
      <c r="A226" s="28" t="s">
        <v>174</v>
      </c>
      <c r="B226" s="16"/>
      <c r="I226" s="16"/>
    </row>
    <row r="227">
      <c r="A227" s="28" t="s">
        <v>174</v>
      </c>
      <c r="B227" s="16"/>
      <c r="I227" s="16"/>
    </row>
    <row r="228">
      <c r="A228" s="28" t="s">
        <v>174</v>
      </c>
      <c r="B228" s="16"/>
      <c r="I228" s="16"/>
    </row>
    <row r="229">
      <c r="A229" s="28" t="s">
        <v>174</v>
      </c>
      <c r="B229" s="16"/>
      <c r="I229" s="16"/>
    </row>
    <row r="230">
      <c r="A230" s="28" t="s">
        <v>174</v>
      </c>
      <c r="B230" s="16"/>
      <c r="I230" s="16"/>
    </row>
    <row r="231">
      <c r="A231" s="28" t="s">
        <v>174</v>
      </c>
      <c r="B231" s="16"/>
      <c r="I231" s="16"/>
    </row>
    <row r="232">
      <c r="A232" s="28" t="s">
        <v>174</v>
      </c>
      <c r="B232" s="16"/>
      <c r="I232" s="16"/>
    </row>
    <row r="233">
      <c r="A233" s="28" t="s">
        <v>174</v>
      </c>
      <c r="B233" s="16"/>
      <c r="I233" s="16"/>
    </row>
    <row r="234">
      <c r="A234" s="28" t="s">
        <v>174</v>
      </c>
      <c r="B234" s="16"/>
      <c r="I234" s="16"/>
    </row>
    <row r="235">
      <c r="A235" s="28" t="s">
        <v>174</v>
      </c>
      <c r="B235" s="16"/>
      <c r="I235" s="16"/>
    </row>
    <row r="236">
      <c r="A236" s="28" t="s">
        <v>174</v>
      </c>
      <c r="B236" s="16"/>
      <c r="I236" s="16"/>
    </row>
    <row r="237">
      <c r="A237" s="28" t="s">
        <v>174</v>
      </c>
      <c r="B237" s="16"/>
      <c r="I237" s="16"/>
    </row>
    <row r="238">
      <c r="A238" s="28" t="s">
        <v>174</v>
      </c>
      <c r="B238" s="16"/>
      <c r="I238" s="16"/>
    </row>
    <row r="239">
      <c r="A239" s="28" t="s">
        <v>174</v>
      </c>
      <c r="B239" s="16"/>
      <c r="I239" s="16"/>
    </row>
    <row r="240">
      <c r="A240" s="28" t="s">
        <v>174</v>
      </c>
      <c r="B240" s="16"/>
      <c r="I240" s="16"/>
    </row>
    <row r="241">
      <c r="A241" s="28" t="s">
        <v>174</v>
      </c>
      <c r="B241" s="16"/>
      <c r="I241" s="16"/>
    </row>
    <row r="242">
      <c r="A242" s="28" t="s">
        <v>174</v>
      </c>
      <c r="B242" s="16"/>
      <c r="I242" s="16"/>
    </row>
    <row r="243">
      <c r="A243" s="28" t="s">
        <v>174</v>
      </c>
      <c r="B243" s="16"/>
      <c r="I243" s="16"/>
    </row>
    <row r="244">
      <c r="A244" s="28" t="s">
        <v>174</v>
      </c>
      <c r="B244" s="16"/>
      <c r="I244" s="16"/>
    </row>
    <row r="245">
      <c r="A245" s="28" t="s">
        <v>174</v>
      </c>
      <c r="B245" s="16"/>
      <c r="I245" s="16"/>
    </row>
    <row r="246">
      <c r="A246" s="28" t="s">
        <v>174</v>
      </c>
      <c r="B246" s="16"/>
      <c r="I246" s="16"/>
    </row>
    <row r="247">
      <c r="A247" s="28" t="s">
        <v>174</v>
      </c>
      <c r="B247" s="16"/>
      <c r="I247" s="16"/>
    </row>
    <row r="248">
      <c r="A248" s="28" t="s">
        <v>174</v>
      </c>
      <c r="B248" s="16"/>
      <c r="I248" s="16"/>
    </row>
    <row r="249">
      <c r="A249" s="28" t="s">
        <v>174</v>
      </c>
      <c r="B249" s="16"/>
      <c r="I249" s="16"/>
    </row>
    <row r="250">
      <c r="A250" s="28" t="s">
        <v>174</v>
      </c>
      <c r="B250" s="16"/>
      <c r="I250" s="16"/>
    </row>
    <row r="251">
      <c r="A251" s="28" t="s">
        <v>174</v>
      </c>
      <c r="B251" s="16"/>
      <c r="I251" s="16"/>
    </row>
    <row r="252">
      <c r="A252" s="28" t="s">
        <v>174</v>
      </c>
      <c r="B252" s="16"/>
      <c r="I252" s="16"/>
    </row>
    <row r="253">
      <c r="A253" s="28" t="s">
        <v>174</v>
      </c>
      <c r="B253" s="16"/>
      <c r="I253" s="16"/>
    </row>
    <row r="254">
      <c r="A254" s="28" t="s">
        <v>174</v>
      </c>
      <c r="B254" s="16"/>
      <c r="I254" s="16"/>
    </row>
    <row r="255">
      <c r="A255" s="28" t="s">
        <v>174</v>
      </c>
      <c r="B255" s="16"/>
      <c r="I255" s="16"/>
    </row>
    <row r="256">
      <c r="A256" s="28" t="s">
        <v>174</v>
      </c>
      <c r="B256" s="16"/>
      <c r="I256" s="16"/>
    </row>
    <row r="257">
      <c r="A257" s="28" t="s">
        <v>174</v>
      </c>
      <c r="B257" s="16"/>
      <c r="I257" s="16"/>
    </row>
    <row r="258">
      <c r="A258" s="28" t="s">
        <v>174</v>
      </c>
      <c r="B258" s="16"/>
      <c r="I258" s="16"/>
    </row>
    <row r="259">
      <c r="A259" s="28" t="s">
        <v>174</v>
      </c>
      <c r="B259" s="16"/>
      <c r="I259" s="16"/>
    </row>
    <row r="260">
      <c r="A260" s="28" t="s">
        <v>174</v>
      </c>
      <c r="B260" s="16"/>
      <c r="I260" s="16"/>
    </row>
    <row r="261">
      <c r="A261" s="28" t="s">
        <v>174</v>
      </c>
      <c r="B261" s="16"/>
      <c r="I261" s="16"/>
    </row>
    <row r="262">
      <c r="A262" s="28" t="s">
        <v>174</v>
      </c>
      <c r="B262" s="16"/>
      <c r="I262" s="16"/>
    </row>
    <row r="263">
      <c r="A263" s="28" t="s">
        <v>174</v>
      </c>
      <c r="B263" s="16"/>
      <c r="I263" s="16"/>
    </row>
    <row r="264">
      <c r="A264" s="28" t="s">
        <v>174</v>
      </c>
      <c r="B264" s="16"/>
      <c r="I264" s="16"/>
    </row>
    <row r="265">
      <c r="A265" s="28" t="s">
        <v>174</v>
      </c>
      <c r="B265" s="16"/>
      <c r="I265" s="16"/>
    </row>
    <row r="266">
      <c r="A266" s="28" t="s">
        <v>174</v>
      </c>
      <c r="B266" s="16"/>
      <c r="I266" s="16"/>
    </row>
    <row r="267">
      <c r="A267" s="28" t="s">
        <v>174</v>
      </c>
      <c r="B267" s="16"/>
      <c r="I267" s="16"/>
    </row>
    <row r="268">
      <c r="A268" s="28" t="s">
        <v>174</v>
      </c>
      <c r="B268" s="16"/>
      <c r="I268" s="16"/>
    </row>
    <row r="269">
      <c r="A269" s="28" t="s">
        <v>174</v>
      </c>
      <c r="B269" s="16"/>
      <c r="I269" s="16"/>
    </row>
    <row r="270">
      <c r="A270" s="28" t="s">
        <v>174</v>
      </c>
      <c r="B270" s="16"/>
      <c r="I270" s="16"/>
    </row>
    <row r="271">
      <c r="A271" s="28" t="s">
        <v>174</v>
      </c>
      <c r="B271" s="16"/>
      <c r="I271" s="16"/>
    </row>
    <row r="272">
      <c r="A272" s="28" t="s">
        <v>174</v>
      </c>
      <c r="B272" s="16"/>
      <c r="I272" s="16"/>
    </row>
    <row r="273">
      <c r="A273" s="28" t="s">
        <v>174</v>
      </c>
      <c r="B273" s="16"/>
      <c r="I273" s="16"/>
    </row>
    <row r="274">
      <c r="A274" s="28" t="s">
        <v>174</v>
      </c>
      <c r="B274" s="16"/>
      <c r="I274" s="16"/>
    </row>
    <row r="275">
      <c r="A275" s="28" t="s">
        <v>174</v>
      </c>
      <c r="B275" s="16"/>
      <c r="I275" s="16"/>
    </row>
    <row r="276">
      <c r="A276" s="28" t="s">
        <v>174</v>
      </c>
      <c r="B276" s="16"/>
      <c r="I276" s="16"/>
    </row>
    <row r="277">
      <c r="A277" s="28" t="s">
        <v>174</v>
      </c>
      <c r="B277" s="16"/>
      <c r="I277" s="16"/>
    </row>
    <row r="278">
      <c r="A278" s="28" t="s">
        <v>174</v>
      </c>
      <c r="B278" s="16"/>
      <c r="I278" s="16"/>
    </row>
    <row r="279">
      <c r="A279" s="28" t="s">
        <v>174</v>
      </c>
      <c r="B279" s="16"/>
      <c r="I279" s="16"/>
    </row>
    <row r="280">
      <c r="A280" s="28" t="s">
        <v>174</v>
      </c>
      <c r="B280" s="16"/>
      <c r="I280" s="16"/>
    </row>
    <row r="281">
      <c r="A281" s="28" t="s">
        <v>174</v>
      </c>
      <c r="B281" s="16"/>
      <c r="I281" s="16"/>
    </row>
    <row r="282">
      <c r="A282" s="28" t="s">
        <v>174</v>
      </c>
      <c r="B282" s="16"/>
      <c r="I282" s="16"/>
    </row>
    <row r="283">
      <c r="A283" s="28" t="s">
        <v>174</v>
      </c>
      <c r="B283" s="16"/>
      <c r="I283" s="16"/>
    </row>
    <row r="284">
      <c r="A284" s="28" t="s">
        <v>174</v>
      </c>
      <c r="B284" s="16"/>
      <c r="I284" s="16"/>
    </row>
    <row r="285">
      <c r="A285" s="28" t="s">
        <v>174</v>
      </c>
      <c r="B285" s="16"/>
      <c r="I285" s="16"/>
    </row>
    <row r="286">
      <c r="A286" s="28" t="s">
        <v>174</v>
      </c>
      <c r="B286" s="16"/>
      <c r="I286" s="16"/>
    </row>
    <row r="287">
      <c r="A287" s="28" t="s">
        <v>174</v>
      </c>
      <c r="B287" s="16"/>
      <c r="I287" s="16"/>
    </row>
    <row r="288">
      <c r="A288" s="28" t="s">
        <v>174</v>
      </c>
      <c r="B288" s="16"/>
      <c r="I288" s="16"/>
    </row>
    <row r="289">
      <c r="A289" s="28" t="s">
        <v>174</v>
      </c>
      <c r="B289" s="16"/>
      <c r="I289" s="16"/>
    </row>
    <row r="290">
      <c r="A290" s="28" t="s">
        <v>174</v>
      </c>
      <c r="B290" s="16"/>
      <c r="I290" s="16"/>
    </row>
    <row r="291">
      <c r="A291" s="28" t="s">
        <v>174</v>
      </c>
      <c r="B291" s="16"/>
      <c r="I291" s="16"/>
    </row>
    <row r="292">
      <c r="A292" s="28" t="s">
        <v>174</v>
      </c>
      <c r="B292" s="16"/>
      <c r="I292" s="16"/>
    </row>
    <row r="293">
      <c r="A293" s="28" t="s">
        <v>174</v>
      </c>
      <c r="B293" s="16"/>
      <c r="I293" s="16"/>
    </row>
    <row r="294">
      <c r="A294" s="28" t="s">
        <v>174</v>
      </c>
      <c r="B294" s="16"/>
      <c r="I294" s="16"/>
    </row>
    <row r="295">
      <c r="A295" s="28" t="s">
        <v>174</v>
      </c>
      <c r="B295" s="16"/>
      <c r="I295" s="16"/>
    </row>
    <row r="296">
      <c r="A296" s="28" t="s">
        <v>174</v>
      </c>
      <c r="B296" s="16"/>
      <c r="I296" s="16"/>
    </row>
    <row r="297">
      <c r="A297" s="28" t="s">
        <v>174</v>
      </c>
      <c r="B297" s="16"/>
      <c r="I297" s="16"/>
    </row>
    <row r="298">
      <c r="A298" s="28" t="s">
        <v>174</v>
      </c>
      <c r="B298" s="16"/>
      <c r="I298" s="16"/>
    </row>
    <row r="299">
      <c r="A299" s="28" t="s">
        <v>174</v>
      </c>
      <c r="B299" s="16"/>
      <c r="I299" s="16"/>
    </row>
    <row r="300">
      <c r="A300" s="28" t="s">
        <v>174</v>
      </c>
      <c r="B300" s="16"/>
      <c r="I300" s="16"/>
    </row>
    <row r="301">
      <c r="A301" s="28" t="s">
        <v>174</v>
      </c>
      <c r="B301" s="16"/>
      <c r="I301" s="16"/>
    </row>
    <row r="302">
      <c r="A302" s="28" t="s">
        <v>174</v>
      </c>
      <c r="B302" s="16"/>
      <c r="I302" s="16"/>
    </row>
    <row r="303">
      <c r="A303" s="28" t="s">
        <v>174</v>
      </c>
      <c r="B303" s="16"/>
      <c r="I303" s="16"/>
    </row>
    <row r="304">
      <c r="A304" s="28" t="s">
        <v>174</v>
      </c>
      <c r="B304" s="16"/>
      <c r="I304" s="16"/>
    </row>
    <row r="305">
      <c r="A305" s="28" t="s">
        <v>174</v>
      </c>
      <c r="B305" s="16"/>
      <c r="I305" s="16"/>
    </row>
    <row r="306">
      <c r="A306" s="28" t="s">
        <v>174</v>
      </c>
      <c r="B306" s="16"/>
      <c r="I306" s="16"/>
    </row>
    <row r="307">
      <c r="A307" s="28" t="s">
        <v>174</v>
      </c>
      <c r="B307" s="16"/>
      <c r="I307" s="16"/>
    </row>
    <row r="308">
      <c r="A308" s="28" t="s">
        <v>174</v>
      </c>
      <c r="B308" s="16"/>
      <c r="I308" s="16"/>
    </row>
    <row r="309">
      <c r="A309" s="28" t="s">
        <v>174</v>
      </c>
      <c r="B309" s="16"/>
      <c r="I309" s="16"/>
    </row>
    <row r="310">
      <c r="A310" s="28" t="s">
        <v>174</v>
      </c>
      <c r="B310" s="16"/>
      <c r="I310" s="16"/>
    </row>
    <row r="311">
      <c r="A311" s="28" t="s">
        <v>174</v>
      </c>
      <c r="B311" s="16"/>
      <c r="I311" s="16"/>
    </row>
    <row r="312">
      <c r="A312" s="28" t="s">
        <v>174</v>
      </c>
      <c r="B312" s="16"/>
      <c r="I312" s="16"/>
    </row>
    <row r="313">
      <c r="A313" s="28" t="s">
        <v>174</v>
      </c>
      <c r="B313" s="16"/>
      <c r="I313" s="16"/>
    </row>
    <row r="314">
      <c r="A314" s="28" t="s">
        <v>174</v>
      </c>
      <c r="B314" s="16"/>
      <c r="I314" s="16"/>
    </row>
    <row r="315">
      <c r="A315" s="28" t="s">
        <v>174</v>
      </c>
      <c r="B315" s="16"/>
      <c r="I315" s="16"/>
    </row>
    <row r="316">
      <c r="A316" s="28" t="s">
        <v>174</v>
      </c>
      <c r="B316" s="16"/>
      <c r="I316" s="16"/>
    </row>
    <row r="317">
      <c r="A317" s="28" t="s">
        <v>174</v>
      </c>
      <c r="B317" s="16"/>
      <c r="I317" s="16"/>
    </row>
    <row r="318">
      <c r="A318" s="28" t="s">
        <v>174</v>
      </c>
      <c r="B318" s="16"/>
      <c r="I318" s="16"/>
    </row>
    <row r="319">
      <c r="A319" s="28" t="s">
        <v>174</v>
      </c>
      <c r="B319" s="16"/>
      <c r="I319" s="16"/>
    </row>
    <row r="320">
      <c r="A320" s="28" t="s">
        <v>174</v>
      </c>
      <c r="B320" s="16"/>
      <c r="I320" s="16"/>
    </row>
    <row r="321">
      <c r="A321" s="28" t="s">
        <v>174</v>
      </c>
      <c r="B321" s="16"/>
      <c r="I321" s="16"/>
    </row>
    <row r="322">
      <c r="A322" s="28" t="s">
        <v>174</v>
      </c>
      <c r="B322" s="16"/>
      <c r="I322" s="16"/>
    </row>
    <row r="323">
      <c r="A323" s="28" t="s">
        <v>174</v>
      </c>
      <c r="B323" s="16"/>
      <c r="I323" s="16"/>
    </row>
    <row r="324">
      <c r="A324" s="28" t="s">
        <v>174</v>
      </c>
      <c r="B324" s="16"/>
      <c r="I324" s="16"/>
    </row>
    <row r="325">
      <c r="A325" s="28" t="s">
        <v>174</v>
      </c>
      <c r="B325" s="16"/>
      <c r="I325" s="16"/>
    </row>
    <row r="326">
      <c r="A326" s="28" t="s">
        <v>174</v>
      </c>
      <c r="B326" s="16"/>
      <c r="I326" s="16"/>
    </row>
    <row r="327">
      <c r="A327" s="28" t="s">
        <v>174</v>
      </c>
      <c r="B327" s="16"/>
      <c r="I327" s="16"/>
    </row>
    <row r="328">
      <c r="A328" s="28" t="s">
        <v>174</v>
      </c>
      <c r="B328" s="16"/>
      <c r="I328" s="16"/>
    </row>
    <row r="329">
      <c r="A329" s="28" t="s">
        <v>174</v>
      </c>
      <c r="B329" s="16"/>
      <c r="I329" s="16"/>
    </row>
    <row r="330">
      <c r="A330" s="28" t="s">
        <v>174</v>
      </c>
      <c r="B330" s="16"/>
      <c r="I330" s="16"/>
    </row>
    <row r="331">
      <c r="A331" s="28" t="s">
        <v>174</v>
      </c>
      <c r="B331" s="16"/>
      <c r="I331" s="16"/>
    </row>
    <row r="332">
      <c r="A332" s="28" t="s">
        <v>174</v>
      </c>
      <c r="B332" s="16"/>
      <c r="I332" s="16"/>
    </row>
    <row r="333">
      <c r="A333" s="28" t="s">
        <v>174</v>
      </c>
      <c r="B333" s="16"/>
      <c r="I333" s="16"/>
    </row>
    <row r="334">
      <c r="A334" s="28" t="s">
        <v>174</v>
      </c>
      <c r="B334" s="16"/>
      <c r="I334" s="16"/>
    </row>
    <row r="335">
      <c r="A335" s="28" t="s">
        <v>174</v>
      </c>
      <c r="B335" s="16"/>
      <c r="I335" s="16"/>
    </row>
    <row r="336">
      <c r="A336" s="28" t="s">
        <v>174</v>
      </c>
      <c r="B336" s="16"/>
      <c r="I336" s="16"/>
    </row>
    <row r="337">
      <c r="A337" s="28" t="s">
        <v>174</v>
      </c>
      <c r="B337" s="16"/>
      <c r="I337" s="16"/>
    </row>
    <row r="338">
      <c r="A338" s="28" t="s">
        <v>174</v>
      </c>
      <c r="B338" s="16"/>
      <c r="I338" s="16"/>
    </row>
    <row r="339">
      <c r="A339" s="28" t="s">
        <v>174</v>
      </c>
      <c r="B339" s="16"/>
      <c r="I339" s="16"/>
    </row>
    <row r="340">
      <c r="A340" s="28" t="s">
        <v>174</v>
      </c>
      <c r="B340" s="16"/>
      <c r="I340" s="16"/>
    </row>
    <row r="341">
      <c r="A341" s="28" t="s">
        <v>174</v>
      </c>
      <c r="B341" s="16"/>
      <c r="I341" s="16"/>
    </row>
    <row r="342">
      <c r="A342" s="28" t="s">
        <v>174</v>
      </c>
      <c r="B342" s="16"/>
      <c r="I342" s="16"/>
    </row>
    <row r="343">
      <c r="A343" s="28" t="s">
        <v>174</v>
      </c>
      <c r="B343" s="16"/>
      <c r="I343" s="16"/>
    </row>
    <row r="344">
      <c r="A344" s="28" t="s">
        <v>174</v>
      </c>
      <c r="B344" s="16"/>
      <c r="I344" s="16"/>
    </row>
    <row r="345">
      <c r="A345" s="28" t="s">
        <v>174</v>
      </c>
      <c r="B345" s="16"/>
      <c r="I345" s="16"/>
    </row>
    <row r="346">
      <c r="A346" s="28" t="s">
        <v>174</v>
      </c>
      <c r="B346" s="16"/>
      <c r="I346" s="16"/>
    </row>
    <row r="347">
      <c r="A347" s="28" t="s">
        <v>174</v>
      </c>
      <c r="B347" s="16"/>
      <c r="I347" s="16"/>
    </row>
    <row r="348">
      <c r="A348" s="28" t="s">
        <v>174</v>
      </c>
      <c r="B348" s="16"/>
      <c r="I348" s="16"/>
    </row>
    <row r="349">
      <c r="A349" s="28" t="s">
        <v>174</v>
      </c>
      <c r="B349" s="16"/>
      <c r="I349" s="16"/>
    </row>
    <row r="350">
      <c r="A350" s="28" t="s">
        <v>174</v>
      </c>
      <c r="B350" s="16"/>
      <c r="I350" s="16"/>
    </row>
    <row r="351">
      <c r="A351" s="28" t="s">
        <v>174</v>
      </c>
      <c r="B351" s="16"/>
      <c r="I351" s="16"/>
    </row>
    <row r="352">
      <c r="A352" s="28" t="s">
        <v>174</v>
      </c>
      <c r="B352" s="16"/>
      <c r="I352" s="16"/>
    </row>
    <row r="353">
      <c r="A353" s="28" t="s">
        <v>174</v>
      </c>
      <c r="B353" s="16"/>
      <c r="I353" s="16"/>
    </row>
    <row r="354">
      <c r="A354" s="28" t="s">
        <v>174</v>
      </c>
      <c r="B354" s="16"/>
      <c r="I354" s="16"/>
    </row>
    <row r="355">
      <c r="A355" s="28" t="s">
        <v>174</v>
      </c>
      <c r="B355" s="16"/>
      <c r="I355" s="16"/>
    </row>
    <row r="356">
      <c r="A356" s="28" t="s">
        <v>174</v>
      </c>
      <c r="B356" s="16"/>
      <c r="I356" s="16"/>
    </row>
    <row r="357">
      <c r="A357" s="28" t="s">
        <v>174</v>
      </c>
      <c r="B357" s="16"/>
      <c r="I357" s="16"/>
    </row>
    <row r="358">
      <c r="A358" s="28" t="s">
        <v>174</v>
      </c>
      <c r="B358" s="16"/>
      <c r="I358" s="16"/>
    </row>
    <row r="359">
      <c r="A359" s="28" t="s">
        <v>174</v>
      </c>
      <c r="B359" s="16"/>
      <c r="I359" s="16"/>
    </row>
    <row r="360">
      <c r="A360" s="28" t="s">
        <v>174</v>
      </c>
      <c r="B360" s="16"/>
      <c r="I360" s="16"/>
    </row>
    <row r="361">
      <c r="A361" s="28" t="s">
        <v>174</v>
      </c>
      <c r="B361" s="16"/>
      <c r="I361" s="16"/>
    </row>
    <row r="362">
      <c r="A362" s="28" t="s">
        <v>174</v>
      </c>
      <c r="B362" s="16"/>
      <c r="I362" s="16"/>
    </row>
    <row r="363">
      <c r="A363" s="28" t="s">
        <v>174</v>
      </c>
      <c r="B363" s="16"/>
      <c r="I363" s="16"/>
    </row>
    <row r="364">
      <c r="A364" s="28" t="s">
        <v>174</v>
      </c>
      <c r="B364" s="16"/>
      <c r="I364" s="16"/>
    </row>
    <row r="365">
      <c r="A365" s="28" t="s">
        <v>174</v>
      </c>
      <c r="B365" s="16"/>
      <c r="I365" s="16"/>
    </row>
    <row r="366">
      <c r="A366" s="28" t="s">
        <v>174</v>
      </c>
      <c r="B366" s="16"/>
      <c r="I366" s="16"/>
    </row>
    <row r="367">
      <c r="A367" s="28" t="s">
        <v>174</v>
      </c>
      <c r="B367" s="16"/>
      <c r="I367" s="16"/>
    </row>
    <row r="368">
      <c r="A368" s="28" t="s">
        <v>174</v>
      </c>
      <c r="B368" s="16"/>
      <c r="I368" s="16"/>
    </row>
    <row r="369">
      <c r="A369" s="28" t="s">
        <v>174</v>
      </c>
      <c r="B369" s="16"/>
      <c r="I369" s="16"/>
    </row>
    <row r="370">
      <c r="A370" s="28" t="s">
        <v>174</v>
      </c>
      <c r="B370" s="16"/>
      <c r="I370" s="16"/>
    </row>
    <row r="371">
      <c r="A371" s="28" t="s">
        <v>174</v>
      </c>
      <c r="B371" s="16"/>
      <c r="I371" s="16"/>
    </row>
    <row r="372">
      <c r="A372" s="28" t="s">
        <v>174</v>
      </c>
      <c r="B372" s="16"/>
      <c r="I372" s="16"/>
    </row>
    <row r="373">
      <c r="A373" s="28" t="s">
        <v>174</v>
      </c>
      <c r="B373" s="16"/>
      <c r="I373" s="16"/>
    </row>
    <row r="374">
      <c r="A374" s="28" t="s">
        <v>174</v>
      </c>
      <c r="B374" s="16"/>
      <c r="I374" s="16"/>
    </row>
    <row r="375">
      <c r="A375" s="28" t="s">
        <v>174</v>
      </c>
      <c r="B375" s="16"/>
      <c r="I375" s="16"/>
    </row>
    <row r="376">
      <c r="A376" s="28" t="s">
        <v>174</v>
      </c>
      <c r="B376" s="16"/>
      <c r="I376" s="16"/>
    </row>
    <row r="377">
      <c r="A377" s="28" t="s">
        <v>174</v>
      </c>
      <c r="B377" s="16"/>
      <c r="I377" s="16"/>
    </row>
    <row r="378">
      <c r="A378" s="28" t="s">
        <v>174</v>
      </c>
      <c r="B378" s="16"/>
      <c r="I378" s="16"/>
    </row>
    <row r="379">
      <c r="A379" s="28" t="s">
        <v>174</v>
      </c>
      <c r="B379" s="16"/>
      <c r="I379" s="16"/>
    </row>
    <row r="380">
      <c r="A380" s="28" t="s">
        <v>174</v>
      </c>
      <c r="B380" s="16"/>
      <c r="I380" s="16"/>
    </row>
    <row r="381">
      <c r="A381" s="28" t="s">
        <v>174</v>
      </c>
      <c r="B381" s="16"/>
      <c r="I381" s="16"/>
    </row>
    <row r="382">
      <c r="A382" s="28" t="s">
        <v>174</v>
      </c>
      <c r="B382" s="16"/>
      <c r="I382" s="16"/>
    </row>
    <row r="383">
      <c r="A383" s="28" t="s">
        <v>174</v>
      </c>
      <c r="B383" s="16"/>
      <c r="I383" s="16"/>
    </row>
    <row r="384">
      <c r="A384" s="28" t="s">
        <v>174</v>
      </c>
      <c r="B384" s="16"/>
      <c r="I384" s="16"/>
    </row>
    <row r="385">
      <c r="A385" s="28" t="s">
        <v>174</v>
      </c>
      <c r="B385" s="16"/>
      <c r="I385" s="16"/>
    </row>
    <row r="386">
      <c r="A386" s="28" t="s">
        <v>174</v>
      </c>
      <c r="B386" s="16"/>
      <c r="I386" s="16"/>
    </row>
    <row r="387">
      <c r="A387" s="28" t="s">
        <v>174</v>
      </c>
      <c r="B387" s="16"/>
      <c r="I387" s="16"/>
    </row>
    <row r="388">
      <c r="A388" s="28" t="s">
        <v>174</v>
      </c>
      <c r="B388" s="16"/>
      <c r="I388" s="16"/>
    </row>
    <row r="389">
      <c r="A389" s="28" t="s">
        <v>174</v>
      </c>
      <c r="B389" s="16"/>
      <c r="I389" s="16"/>
    </row>
    <row r="390">
      <c r="A390" s="28" t="s">
        <v>174</v>
      </c>
      <c r="B390" s="16"/>
      <c r="I390" s="16"/>
    </row>
    <row r="391">
      <c r="A391" s="28" t="s">
        <v>174</v>
      </c>
      <c r="B391" s="16"/>
      <c r="I391" s="16"/>
    </row>
    <row r="392">
      <c r="A392" s="28" t="s">
        <v>174</v>
      </c>
      <c r="B392" s="16"/>
      <c r="I392" s="16"/>
    </row>
    <row r="393">
      <c r="A393" s="28" t="s">
        <v>174</v>
      </c>
      <c r="B393" s="16"/>
      <c r="I393" s="16"/>
    </row>
    <row r="394">
      <c r="A394" s="28" t="s">
        <v>174</v>
      </c>
      <c r="B394" s="16"/>
      <c r="I394" s="16"/>
    </row>
    <row r="395">
      <c r="A395" s="28" t="s">
        <v>174</v>
      </c>
      <c r="B395" s="16"/>
      <c r="I395" s="16"/>
    </row>
    <row r="396">
      <c r="A396" s="28" t="s">
        <v>174</v>
      </c>
      <c r="B396" s="16"/>
      <c r="I396" s="16"/>
    </row>
    <row r="397">
      <c r="A397" s="28" t="s">
        <v>174</v>
      </c>
      <c r="B397" s="16"/>
      <c r="I397" s="16"/>
    </row>
    <row r="398">
      <c r="A398" s="28" t="s">
        <v>174</v>
      </c>
      <c r="B398" s="16"/>
      <c r="I398" s="16"/>
    </row>
    <row r="399">
      <c r="A399" s="28" t="s">
        <v>174</v>
      </c>
      <c r="B399" s="16"/>
      <c r="I399" s="16"/>
    </row>
    <row r="400">
      <c r="A400" s="28" t="s">
        <v>174</v>
      </c>
      <c r="B400" s="16"/>
      <c r="I400" s="16"/>
    </row>
    <row r="401">
      <c r="A401" s="28" t="s">
        <v>174</v>
      </c>
      <c r="B401" s="16"/>
      <c r="I401" s="16"/>
    </row>
    <row r="402">
      <c r="A402" s="28" t="s">
        <v>174</v>
      </c>
      <c r="B402" s="16"/>
      <c r="I402" s="16"/>
    </row>
    <row r="403">
      <c r="A403" s="28" t="s">
        <v>174</v>
      </c>
      <c r="B403" s="16"/>
      <c r="I403" s="16"/>
    </row>
    <row r="404">
      <c r="A404" s="28" t="s">
        <v>174</v>
      </c>
      <c r="B404" s="16"/>
      <c r="I404" s="16"/>
    </row>
    <row r="405">
      <c r="A405" s="28" t="s">
        <v>174</v>
      </c>
      <c r="B405" s="16"/>
      <c r="I405" s="16"/>
    </row>
    <row r="406">
      <c r="A406" s="28" t="s">
        <v>174</v>
      </c>
      <c r="B406" s="16"/>
      <c r="I406" s="16"/>
    </row>
    <row r="407">
      <c r="A407" s="28" t="s">
        <v>174</v>
      </c>
      <c r="B407" s="16"/>
      <c r="I407" s="16"/>
    </row>
    <row r="408">
      <c r="A408" s="28" t="s">
        <v>174</v>
      </c>
      <c r="B408" s="16"/>
      <c r="I408" s="16"/>
    </row>
    <row r="409">
      <c r="A409" s="28" t="s">
        <v>174</v>
      </c>
      <c r="B409" s="16"/>
      <c r="I409" s="16"/>
    </row>
    <row r="410">
      <c r="A410" s="28" t="s">
        <v>174</v>
      </c>
      <c r="B410" s="16"/>
      <c r="I410" s="16"/>
    </row>
    <row r="411">
      <c r="A411" s="28" t="s">
        <v>174</v>
      </c>
      <c r="B411" s="16"/>
      <c r="I411" s="16"/>
    </row>
    <row r="412">
      <c r="A412" s="28" t="s">
        <v>174</v>
      </c>
      <c r="B412" s="16"/>
      <c r="I412" s="16"/>
    </row>
    <row r="413">
      <c r="A413" s="28" t="s">
        <v>174</v>
      </c>
      <c r="B413" s="16"/>
      <c r="I413" s="16"/>
    </row>
    <row r="414">
      <c r="A414" s="28" t="s">
        <v>174</v>
      </c>
      <c r="B414" s="16"/>
      <c r="I414" s="16"/>
    </row>
    <row r="415">
      <c r="A415" s="28" t="s">
        <v>174</v>
      </c>
      <c r="B415" s="16"/>
      <c r="I415" s="16"/>
    </row>
    <row r="416">
      <c r="A416" s="28" t="s">
        <v>174</v>
      </c>
      <c r="B416" s="16"/>
      <c r="I416" s="16"/>
    </row>
    <row r="417">
      <c r="A417" s="28" t="s">
        <v>174</v>
      </c>
      <c r="B417" s="16"/>
      <c r="I417" s="16"/>
    </row>
    <row r="418">
      <c r="A418" s="28" t="s">
        <v>174</v>
      </c>
      <c r="B418" s="16"/>
      <c r="I418" s="16"/>
    </row>
    <row r="419">
      <c r="A419" s="28" t="s">
        <v>174</v>
      </c>
      <c r="B419" s="16"/>
      <c r="I419" s="16"/>
    </row>
    <row r="420">
      <c r="A420" s="28" t="s">
        <v>174</v>
      </c>
      <c r="B420" s="16"/>
      <c r="I420" s="16"/>
    </row>
    <row r="421">
      <c r="A421" s="28" t="s">
        <v>174</v>
      </c>
      <c r="B421" s="16"/>
      <c r="I421" s="16"/>
    </row>
    <row r="422">
      <c r="A422" s="28" t="s">
        <v>174</v>
      </c>
      <c r="B422" s="16"/>
      <c r="I422" s="16"/>
    </row>
    <row r="423">
      <c r="A423" s="28" t="s">
        <v>174</v>
      </c>
      <c r="B423" s="16"/>
      <c r="I423" s="16"/>
    </row>
    <row r="424">
      <c r="A424" s="28" t="s">
        <v>174</v>
      </c>
      <c r="B424" s="16"/>
      <c r="I424" s="16"/>
    </row>
    <row r="425">
      <c r="A425" s="28" t="s">
        <v>174</v>
      </c>
      <c r="B425" s="16"/>
      <c r="I425" s="16"/>
    </row>
    <row r="426">
      <c r="A426" s="28" t="s">
        <v>174</v>
      </c>
      <c r="B426" s="16"/>
      <c r="I426" s="16"/>
    </row>
    <row r="427">
      <c r="A427" s="28" t="s">
        <v>174</v>
      </c>
      <c r="B427" s="16"/>
      <c r="I427" s="16"/>
    </row>
    <row r="428">
      <c r="A428" s="28" t="s">
        <v>174</v>
      </c>
      <c r="B428" s="16"/>
      <c r="I428" s="16"/>
    </row>
    <row r="429">
      <c r="A429" s="28" t="s">
        <v>174</v>
      </c>
      <c r="B429" s="16"/>
      <c r="I429" s="16"/>
    </row>
    <row r="430">
      <c r="A430" s="28" t="s">
        <v>174</v>
      </c>
      <c r="B430" s="16"/>
      <c r="I430" s="16"/>
    </row>
    <row r="431">
      <c r="A431" s="28" t="s">
        <v>174</v>
      </c>
      <c r="B431" s="16"/>
      <c r="I431" s="16"/>
    </row>
    <row r="432">
      <c r="A432" s="28" t="s">
        <v>174</v>
      </c>
      <c r="B432" s="16"/>
      <c r="I432" s="16"/>
    </row>
    <row r="433">
      <c r="A433" s="28" t="s">
        <v>174</v>
      </c>
      <c r="B433" s="16"/>
      <c r="I433" s="16"/>
    </row>
    <row r="434">
      <c r="A434" s="28" t="s">
        <v>174</v>
      </c>
      <c r="B434" s="16"/>
      <c r="I434" s="16"/>
    </row>
    <row r="435">
      <c r="A435" s="28" t="s">
        <v>174</v>
      </c>
      <c r="B435" s="16"/>
      <c r="I435" s="16"/>
    </row>
    <row r="436">
      <c r="A436" s="28" t="s">
        <v>174</v>
      </c>
      <c r="B436" s="16"/>
      <c r="I436" s="16"/>
    </row>
    <row r="437">
      <c r="A437" s="28" t="s">
        <v>174</v>
      </c>
      <c r="B437" s="16"/>
      <c r="I437" s="16"/>
    </row>
    <row r="438">
      <c r="A438" s="28" t="s">
        <v>174</v>
      </c>
      <c r="B438" s="16"/>
      <c r="I438" s="16"/>
    </row>
    <row r="439">
      <c r="A439" s="28" t="s">
        <v>174</v>
      </c>
      <c r="B439" s="16"/>
      <c r="I439" s="16"/>
    </row>
    <row r="440">
      <c r="A440" s="28" t="s">
        <v>174</v>
      </c>
      <c r="B440" s="16"/>
      <c r="I440" s="16"/>
    </row>
    <row r="441">
      <c r="A441" s="28" t="s">
        <v>174</v>
      </c>
      <c r="B441" s="16"/>
      <c r="I441" s="16"/>
    </row>
    <row r="442">
      <c r="A442" s="28" t="s">
        <v>174</v>
      </c>
      <c r="B442" s="16"/>
      <c r="I442" s="16"/>
    </row>
    <row r="443">
      <c r="A443" s="28" t="s">
        <v>174</v>
      </c>
      <c r="B443" s="16"/>
      <c r="I443" s="16"/>
    </row>
    <row r="444">
      <c r="A444" s="28" t="s">
        <v>174</v>
      </c>
      <c r="B444" s="16"/>
      <c r="I444" s="16"/>
    </row>
    <row r="445">
      <c r="A445" s="28" t="s">
        <v>174</v>
      </c>
      <c r="B445" s="16"/>
      <c r="I445" s="16"/>
    </row>
    <row r="446">
      <c r="A446" s="28" t="s">
        <v>174</v>
      </c>
      <c r="B446" s="16"/>
      <c r="I446" s="16"/>
    </row>
    <row r="447">
      <c r="A447" s="28" t="s">
        <v>174</v>
      </c>
      <c r="B447" s="16"/>
      <c r="I447" s="16"/>
    </row>
    <row r="448">
      <c r="A448" s="28" t="s">
        <v>174</v>
      </c>
      <c r="B448" s="16"/>
      <c r="I448" s="16"/>
    </row>
    <row r="449">
      <c r="A449" s="28" t="s">
        <v>174</v>
      </c>
      <c r="B449" s="16"/>
      <c r="I449" s="16"/>
    </row>
    <row r="450">
      <c r="A450" s="28" t="s">
        <v>174</v>
      </c>
      <c r="B450" s="16"/>
      <c r="I450" s="16"/>
    </row>
    <row r="451">
      <c r="A451" s="28" t="s">
        <v>174</v>
      </c>
      <c r="B451" s="16"/>
      <c r="I451" s="16"/>
    </row>
    <row r="452">
      <c r="A452" s="28" t="s">
        <v>174</v>
      </c>
      <c r="B452" s="16"/>
      <c r="I452" s="16"/>
    </row>
    <row r="453">
      <c r="A453" s="28" t="s">
        <v>174</v>
      </c>
      <c r="B453" s="16"/>
      <c r="I453" s="16"/>
    </row>
    <row r="454">
      <c r="A454" s="28" t="s">
        <v>174</v>
      </c>
      <c r="B454" s="16"/>
      <c r="I454" s="16"/>
    </row>
    <row r="455">
      <c r="A455" s="28" t="s">
        <v>174</v>
      </c>
      <c r="B455" s="16"/>
      <c r="I455" s="16"/>
    </row>
    <row r="456">
      <c r="A456" s="28" t="s">
        <v>174</v>
      </c>
      <c r="B456" s="16"/>
      <c r="I456" s="16"/>
    </row>
    <row r="457">
      <c r="A457" s="28" t="s">
        <v>174</v>
      </c>
      <c r="B457" s="16"/>
      <c r="I457" s="16"/>
    </row>
    <row r="458">
      <c r="A458" s="28" t="s">
        <v>174</v>
      </c>
      <c r="B458" s="16"/>
      <c r="I458" s="16"/>
    </row>
    <row r="459">
      <c r="A459" s="28" t="s">
        <v>174</v>
      </c>
      <c r="B459" s="16"/>
      <c r="I459" s="16"/>
    </row>
    <row r="460">
      <c r="A460" s="28" t="s">
        <v>174</v>
      </c>
      <c r="B460" s="16"/>
      <c r="I460" s="16"/>
    </row>
    <row r="461">
      <c r="A461" s="28" t="s">
        <v>174</v>
      </c>
      <c r="B461" s="16"/>
      <c r="I461" s="16"/>
    </row>
    <row r="462">
      <c r="A462" s="28" t="s">
        <v>174</v>
      </c>
      <c r="B462" s="16"/>
      <c r="I462" s="16"/>
    </row>
    <row r="463">
      <c r="A463" s="28" t="s">
        <v>174</v>
      </c>
      <c r="B463" s="16"/>
      <c r="I463" s="16"/>
    </row>
    <row r="464">
      <c r="A464" s="28" t="s">
        <v>174</v>
      </c>
      <c r="B464" s="16"/>
      <c r="I464" s="16"/>
    </row>
    <row r="465">
      <c r="A465" s="28" t="s">
        <v>174</v>
      </c>
      <c r="B465" s="16"/>
      <c r="I465" s="16"/>
    </row>
    <row r="466">
      <c r="A466" s="28" t="s">
        <v>174</v>
      </c>
      <c r="B466" s="16"/>
      <c r="I466" s="16"/>
    </row>
    <row r="467">
      <c r="A467" s="28" t="s">
        <v>174</v>
      </c>
      <c r="B467" s="16"/>
      <c r="I467" s="16"/>
    </row>
    <row r="468">
      <c r="A468" s="28" t="s">
        <v>174</v>
      </c>
      <c r="B468" s="16"/>
      <c r="I468" s="16"/>
    </row>
    <row r="469">
      <c r="A469" s="28" t="s">
        <v>174</v>
      </c>
      <c r="B469" s="16"/>
      <c r="I469" s="16"/>
    </row>
    <row r="470">
      <c r="A470" s="28" t="s">
        <v>174</v>
      </c>
      <c r="B470" s="16"/>
      <c r="I470" s="16"/>
    </row>
    <row r="471">
      <c r="A471" s="28" t="s">
        <v>174</v>
      </c>
      <c r="B471" s="16"/>
      <c r="I471" s="16"/>
    </row>
    <row r="472">
      <c r="A472" s="28" t="s">
        <v>174</v>
      </c>
      <c r="B472" s="16"/>
      <c r="I472" s="16"/>
    </row>
    <row r="473">
      <c r="A473" s="28" t="s">
        <v>174</v>
      </c>
      <c r="B473" s="16"/>
      <c r="I473" s="16"/>
    </row>
    <row r="474">
      <c r="A474" s="28" t="s">
        <v>174</v>
      </c>
      <c r="B474" s="16"/>
      <c r="I474" s="16"/>
    </row>
    <row r="475">
      <c r="A475" s="28" t="s">
        <v>174</v>
      </c>
      <c r="B475" s="16"/>
      <c r="I475" s="16"/>
    </row>
    <row r="476">
      <c r="A476" s="28" t="s">
        <v>174</v>
      </c>
      <c r="B476" s="16"/>
      <c r="I476" s="16"/>
    </row>
    <row r="477">
      <c r="A477" s="28" t="s">
        <v>174</v>
      </c>
      <c r="B477" s="16"/>
      <c r="I477" s="16"/>
    </row>
    <row r="478">
      <c r="A478" s="28" t="s">
        <v>174</v>
      </c>
      <c r="B478" s="16"/>
      <c r="I478" s="16"/>
    </row>
    <row r="479">
      <c r="A479" s="28" t="s">
        <v>174</v>
      </c>
      <c r="B479" s="16"/>
      <c r="I479" s="16"/>
    </row>
    <row r="480">
      <c r="A480" s="28" t="s">
        <v>174</v>
      </c>
      <c r="B480" s="16"/>
      <c r="I480" s="16"/>
    </row>
    <row r="481">
      <c r="A481" s="28" t="s">
        <v>174</v>
      </c>
      <c r="B481" s="16"/>
      <c r="I481" s="16"/>
    </row>
    <row r="482">
      <c r="A482" s="28" t="s">
        <v>174</v>
      </c>
      <c r="B482" s="16"/>
      <c r="I482" s="16"/>
    </row>
    <row r="483">
      <c r="A483" s="28" t="s">
        <v>174</v>
      </c>
      <c r="B483" s="16"/>
      <c r="I483" s="16"/>
    </row>
    <row r="484">
      <c r="A484" s="28" t="s">
        <v>174</v>
      </c>
      <c r="B484" s="16"/>
      <c r="I484" s="16"/>
    </row>
    <row r="485">
      <c r="A485" s="28" t="s">
        <v>174</v>
      </c>
      <c r="B485" s="16"/>
      <c r="I485" s="16"/>
    </row>
    <row r="486">
      <c r="A486" s="28" t="s">
        <v>174</v>
      </c>
      <c r="B486" s="16"/>
      <c r="I486" s="16"/>
    </row>
    <row r="487">
      <c r="A487" s="28" t="s">
        <v>174</v>
      </c>
      <c r="B487" s="16"/>
      <c r="I487" s="16"/>
    </row>
    <row r="488">
      <c r="A488" s="28" t="s">
        <v>174</v>
      </c>
      <c r="B488" s="16"/>
      <c r="I488" s="16"/>
    </row>
    <row r="489">
      <c r="A489" s="28" t="s">
        <v>174</v>
      </c>
      <c r="B489" s="16"/>
      <c r="I489" s="16"/>
    </row>
    <row r="490">
      <c r="A490" s="28" t="s">
        <v>174</v>
      </c>
      <c r="B490" s="16"/>
      <c r="I490" s="16"/>
    </row>
    <row r="491">
      <c r="A491" s="28" t="s">
        <v>174</v>
      </c>
      <c r="B491" s="16"/>
      <c r="I491" s="16"/>
    </row>
    <row r="492">
      <c r="A492" s="28" t="s">
        <v>174</v>
      </c>
      <c r="B492" s="16"/>
      <c r="I492" s="16"/>
    </row>
    <row r="493">
      <c r="A493" s="28" t="s">
        <v>174</v>
      </c>
      <c r="B493" s="16"/>
      <c r="I493" s="16"/>
    </row>
    <row r="494">
      <c r="A494" s="28" t="s">
        <v>174</v>
      </c>
      <c r="B494" s="16"/>
      <c r="I494" s="16"/>
    </row>
    <row r="495">
      <c r="A495" s="28" t="s">
        <v>174</v>
      </c>
      <c r="B495" s="16"/>
      <c r="I495" s="16"/>
    </row>
    <row r="496">
      <c r="A496" s="28" t="s">
        <v>174</v>
      </c>
      <c r="B496" s="16"/>
      <c r="I496" s="16"/>
    </row>
    <row r="497">
      <c r="A497" s="28" t="s">
        <v>174</v>
      </c>
      <c r="B497" s="16"/>
      <c r="I497" s="16"/>
    </row>
    <row r="498">
      <c r="A498" s="28" t="s">
        <v>174</v>
      </c>
      <c r="B498" s="16"/>
      <c r="I498" s="16"/>
    </row>
    <row r="499">
      <c r="A499" s="28" t="s">
        <v>174</v>
      </c>
      <c r="B499" s="16"/>
      <c r="I499" s="16"/>
    </row>
    <row r="500">
      <c r="A500" s="28" t="s">
        <v>174</v>
      </c>
      <c r="B500" s="16"/>
      <c r="I500" s="16"/>
    </row>
    <row r="501">
      <c r="A501" s="28" t="s">
        <v>174</v>
      </c>
      <c r="B501" s="16"/>
      <c r="I501" s="16"/>
    </row>
    <row r="502">
      <c r="A502" s="28" t="s">
        <v>174</v>
      </c>
      <c r="B502" s="16"/>
      <c r="I502" s="16"/>
    </row>
    <row r="503">
      <c r="A503" s="28" t="s">
        <v>174</v>
      </c>
      <c r="B503" s="16"/>
      <c r="I503" s="16"/>
    </row>
    <row r="504">
      <c r="A504" s="28" t="s">
        <v>174</v>
      </c>
      <c r="B504" s="16"/>
      <c r="I504" s="16"/>
    </row>
    <row r="505">
      <c r="A505" s="28" t="s">
        <v>174</v>
      </c>
      <c r="B505" s="16"/>
      <c r="I505" s="16"/>
    </row>
    <row r="506">
      <c r="A506" s="28" t="s">
        <v>174</v>
      </c>
      <c r="B506" s="16"/>
      <c r="I506" s="16"/>
    </row>
    <row r="507">
      <c r="A507" s="28" t="s">
        <v>174</v>
      </c>
      <c r="B507" s="16"/>
      <c r="I507" s="16"/>
    </row>
    <row r="508">
      <c r="A508" s="28" t="s">
        <v>174</v>
      </c>
      <c r="B508" s="16"/>
      <c r="I508" s="16"/>
    </row>
    <row r="509">
      <c r="A509" s="28" t="s">
        <v>174</v>
      </c>
      <c r="B509" s="16"/>
      <c r="I509" s="16"/>
    </row>
    <row r="510">
      <c r="A510" s="28" t="s">
        <v>174</v>
      </c>
      <c r="B510" s="16"/>
      <c r="I510" s="16"/>
    </row>
    <row r="511">
      <c r="A511" s="28" t="s">
        <v>174</v>
      </c>
      <c r="B511" s="16"/>
      <c r="I511" s="16"/>
    </row>
    <row r="512">
      <c r="A512" s="28" t="s">
        <v>174</v>
      </c>
      <c r="B512" s="16"/>
      <c r="I512" s="16"/>
    </row>
    <row r="513">
      <c r="A513" s="28" t="s">
        <v>174</v>
      </c>
      <c r="B513" s="16"/>
      <c r="I513" s="16"/>
    </row>
    <row r="514">
      <c r="A514" s="28" t="s">
        <v>174</v>
      </c>
      <c r="B514" s="16"/>
      <c r="I514" s="16"/>
    </row>
    <row r="515">
      <c r="A515" s="28" t="s">
        <v>174</v>
      </c>
      <c r="B515" s="16"/>
      <c r="I515" s="16"/>
    </row>
    <row r="516">
      <c r="A516" s="28" t="s">
        <v>174</v>
      </c>
      <c r="B516" s="16"/>
      <c r="I516" s="16"/>
    </row>
    <row r="517">
      <c r="A517" s="28" t="s">
        <v>174</v>
      </c>
      <c r="B517" s="16"/>
      <c r="I517" s="16"/>
    </row>
    <row r="518">
      <c r="A518" s="28" t="s">
        <v>174</v>
      </c>
      <c r="B518" s="16"/>
      <c r="I518" s="16"/>
    </row>
    <row r="519">
      <c r="A519" s="28" t="s">
        <v>174</v>
      </c>
      <c r="B519" s="16"/>
      <c r="I519" s="16"/>
    </row>
    <row r="520">
      <c r="A520" s="28" t="s">
        <v>174</v>
      </c>
      <c r="B520" s="16"/>
      <c r="I520" s="16"/>
    </row>
    <row r="521">
      <c r="A521" s="28" t="s">
        <v>174</v>
      </c>
      <c r="B521" s="16"/>
      <c r="I521" s="16"/>
    </row>
    <row r="522">
      <c r="A522" s="28" t="s">
        <v>174</v>
      </c>
      <c r="B522" s="16"/>
      <c r="I522" s="16"/>
    </row>
    <row r="523">
      <c r="A523" s="28" t="s">
        <v>174</v>
      </c>
      <c r="B523" s="16"/>
      <c r="I523" s="16"/>
    </row>
    <row r="524">
      <c r="A524" s="28" t="s">
        <v>174</v>
      </c>
      <c r="B524" s="16"/>
      <c r="I524" s="16"/>
    </row>
    <row r="525">
      <c r="A525" s="28" t="s">
        <v>174</v>
      </c>
      <c r="B525" s="16"/>
      <c r="I525" s="16"/>
    </row>
    <row r="526">
      <c r="A526" s="28" t="s">
        <v>174</v>
      </c>
      <c r="B526" s="16"/>
      <c r="I526" s="16"/>
    </row>
    <row r="527">
      <c r="A527" s="28" t="s">
        <v>174</v>
      </c>
      <c r="B527" s="16"/>
      <c r="I527" s="16"/>
    </row>
    <row r="528">
      <c r="A528" s="28" t="s">
        <v>174</v>
      </c>
      <c r="B528" s="16"/>
      <c r="I528" s="16"/>
    </row>
    <row r="529">
      <c r="A529" s="28" t="s">
        <v>174</v>
      </c>
      <c r="B529" s="16"/>
      <c r="I529" s="16"/>
    </row>
    <row r="530">
      <c r="A530" s="28" t="s">
        <v>174</v>
      </c>
      <c r="B530" s="16"/>
      <c r="I530" s="16"/>
    </row>
    <row r="531">
      <c r="A531" s="28" t="s">
        <v>174</v>
      </c>
      <c r="B531" s="16"/>
      <c r="I531" s="16"/>
    </row>
    <row r="532">
      <c r="A532" s="28" t="s">
        <v>174</v>
      </c>
      <c r="B532" s="16"/>
      <c r="I532" s="16"/>
    </row>
    <row r="533">
      <c r="A533" s="28" t="s">
        <v>174</v>
      </c>
      <c r="B533" s="16"/>
      <c r="I533" s="16"/>
    </row>
    <row r="534">
      <c r="A534" s="28" t="s">
        <v>174</v>
      </c>
      <c r="B534" s="16"/>
      <c r="I534" s="16"/>
    </row>
    <row r="535">
      <c r="A535" s="28" t="s">
        <v>174</v>
      </c>
      <c r="B535" s="16"/>
      <c r="I535" s="16"/>
    </row>
    <row r="536">
      <c r="A536" s="28" t="s">
        <v>174</v>
      </c>
      <c r="B536" s="16"/>
      <c r="I536" s="16"/>
    </row>
    <row r="537">
      <c r="A537" s="28" t="s">
        <v>174</v>
      </c>
      <c r="B537" s="16"/>
      <c r="I537" s="16"/>
    </row>
    <row r="538">
      <c r="A538" s="28" t="s">
        <v>174</v>
      </c>
      <c r="B538" s="16"/>
      <c r="I538" s="16"/>
    </row>
    <row r="539">
      <c r="A539" s="28" t="s">
        <v>174</v>
      </c>
      <c r="B539" s="16"/>
      <c r="I539" s="16"/>
    </row>
    <row r="540">
      <c r="A540" s="28" t="s">
        <v>174</v>
      </c>
      <c r="B540" s="16"/>
      <c r="I540" s="16"/>
    </row>
    <row r="541">
      <c r="A541" s="28" t="s">
        <v>174</v>
      </c>
      <c r="B541" s="16"/>
      <c r="I541" s="16"/>
    </row>
    <row r="542">
      <c r="A542" s="28" t="s">
        <v>174</v>
      </c>
      <c r="B542" s="16"/>
      <c r="I542" s="16"/>
    </row>
    <row r="543">
      <c r="A543" s="28" t="s">
        <v>174</v>
      </c>
      <c r="B543" s="16"/>
      <c r="I543" s="16"/>
    </row>
    <row r="544">
      <c r="A544" s="28" t="s">
        <v>174</v>
      </c>
      <c r="B544" s="16"/>
      <c r="I544" s="16"/>
    </row>
    <row r="545">
      <c r="A545" s="28" t="s">
        <v>174</v>
      </c>
      <c r="B545" s="16"/>
      <c r="I545" s="16"/>
    </row>
    <row r="546">
      <c r="A546" s="28" t="s">
        <v>174</v>
      </c>
      <c r="B546" s="16"/>
      <c r="I546" s="16"/>
    </row>
    <row r="547">
      <c r="A547" s="28" t="s">
        <v>174</v>
      </c>
      <c r="B547" s="16"/>
      <c r="I547" s="16"/>
    </row>
    <row r="548">
      <c r="A548" s="28" t="s">
        <v>174</v>
      </c>
      <c r="B548" s="16"/>
      <c r="I548" s="16"/>
    </row>
    <row r="549">
      <c r="A549" s="28" t="s">
        <v>174</v>
      </c>
      <c r="B549" s="16"/>
      <c r="I549" s="16"/>
    </row>
    <row r="550">
      <c r="A550" s="28" t="s">
        <v>174</v>
      </c>
      <c r="B550" s="16"/>
      <c r="I550" s="16"/>
    </row>
    <row r="551">
      <c r="A551" s="28" t="s">
        <v>174</v>
      </c>
      <c r="B551" s="16"/>
      <c r="I551" s="16"/>
    </row>
    <row r="552">
      <c r="A552" s="28" t="s">
        <v>174</v>
      </c>
      <c r="B552" s="16"/>
      <c r="I552" s="16"/>
    </row>
    <row r="553">
      <c r="A553" s="28" t="s">
        <v>174</v>
      </c>
      <c r="B553" s="16"/>
      <c r="I553" s="16"/>
    </row>
    <row r="554">
      <c r="A554" s="28" t="s">
        <v>174</v>
      </c>
      <c r="B554" s="16"/>
      <c r="I554" s="16"/>
    </row>
    <row r="555">
      <c r="A555" s="28" t="s">
        <v>174</v>
      </c>
      <c r="B555" s="16"/>
      <c r="I555" s="16"/>
    </row>
    <row r="556">
      <c r="A556" s="28" t="s">
        <v>174</v>
      </c>
      <c r="B556" s="16"/>
      <c r="I556" s="16"/>
    </row>
    <row r="557">
      <c r="A557" s="28" t="s">
        <v>174</v>
      </c>
      <c r="B557" s="16"/>
      <c r="I557" s="16"/>
    </row>
    <row r="558">
      <c r="A558" s="28" t="s">
        <v>174</v>
      </c>
      <c r="B558" s="16"/>
      <c r="I558" s="16"/>
    </row>
    <row r="559">
      <c r="A559" s="28" t="s">
        <v>174</v>
      </c>
      <c r="B559" s="16"/>
      <c r="I559" s="16"/>
    </row>
    <row r="560">
      <c r="A560" s="28" t="s">
        <v>174</v>
      </c>
      <c r="B560" s="16"/>
      <c r="I560" s="16"/>
    </row>
    <row r="561">
      <c r="A561" s="28" t="s">
        <v>174</v>
      </c>
      <c r="B561" s="16"/>
      <c r="I561" s="16"/>
    </row>
    <row r="562">
      <c r="A562" s="28" t="s">
        <v>174</v>
      </c>
      <c r="B562" s="16"/>
      <c r="I562" s="16"/>
    </row>
    <row r="563">
      <c r="A563" s="28" t="s">
        <v>174</v>
      </c>
      <c r="B563" s="16"/>
      <c r="I563" s="16"/>
    </row>
    <row r="564">
      <c r="A564" s="28" t="s">
        <v>174</v>
      </c>
      <c r="B564" s="16"/>
      <c r="I564" s="16"/>
    </row>
    <row r="565">
      <c r="A565" s="28" t="s">
        <v>174</v>
      </c>
      <c r="B565" s="16"/>
      <c r="I565" s="16"/>
    </row>
    <row r="566">
      <c r="A566" s="28" t="s">
        <v>174</v>
      </c>
      <c r="B566" s="16"/>
      <c r="I566" s="16"/>
    </row>
    <row r="567">
      <c r="A567" s="28" t="s">
        <v>174</v>
      </c>
      <c r="B567" s="16"/>
      <c r="I567" s="16"/>
    </row>
    <row r="568">
      <c r="A568" s="28" t="s">
        <v>174</v>
      </c>
      <c r="B568" s="16"/>
      <c r="I568" s="16"/>
    </row>
    <row r="569">
      <c r="A569" s="28" t="s">
        <v>174</v>
      </c>
      <c r="B569" s="16"/>
      <c r="I569" s="16"/>
    </row>
    <row r="570">
      <c r="A570" s="28" t="s">
        <v>174</v>
      </c>
      <c r="B570" s="16"/>
      <c r="I570" s="16"/>
    </row>
    <row r="571">
      <c r="A571" s="28" t="s">
        <v>174</v>
      </c>
      <c r="B571" s="16"/>
      <c r="I571" s="16"/>
    </row>
    <row r="572">
      <c r="A572" s="28" t="s">
        <v>174</v>
      </c>
      <c r="B572" s="16"/>
      <c r="I572" s="16"/>
    </row>
    <row r="573">
      <c r="A573" s="28" t="s">
        <v>174</v>
      </c>
      <c r="B573" s="16"/>
      <c r="I573" s="16"/>
    </row>
    <row r="574">
      <c r="A574" s="28" t="s">
        <v>174</v>
      </c>
      <c r="B574" s="16"/>
      <c r="I574" s="16"/>
    </row>
    <row r="575">
      <c r="A575" s="28" t="s">
        <v>174</v>
      </c>
      <c r="B575" s="16"/>
      <c r="I575" s="16"/>
    </row>
    <row r="576">
      <c r="A576" s="28" t="s">
        <v>174</v>
      </c>
      <c r="B576" s="16"/>
      <c r="I576" s="16"/>
    </row>
    <row r="577">
      <c r="A577" s="28" t="s">
        <v>174</v>
      </c>
      <c r="B577" s="16"/>
      <c r="I577" s="16"/>
    </row>
    <row r="578">
      <c r="A578" s="28" t="s">
        <v>174</v>
      </c>
      <c r="B578" s="16"/>
      <c r="I578" s="16"/>
    </row>
    <row r="579">
      <c r="A579" s="28" t="s">
        <v>174</v>
      </c>
      <c r="B579" s="16"/>
      <c r="I579" s="16"/>
    </row>
    <row r="580">
      <c r="A580" s="28" t="s">
        <v>174</v>
      </c>
      <c r="B580" s="16"/>
      <c r="I580" s="16"/>
    </row>
    <row r="581">
      <c r="A581" s="28" t="s">
        <v>174</v>
      </c>
      <c r="B581" s="16"/>
      <c r="I581" s="16"/>
    </row>
    <row r="582">
      <c r="A582" s="28" t="s">
        <v>174</v>
      </c>
      <c r="B582" s="16"/>
      <c r="I582" s="16"/>
    </row>
    <row r="583">
      <c r="A583" s="28" t="s">
        <v>174</v>
      </c>
      <c r="B583" s="16"/>
      <c r="I583" s="16"/>
    </row>
    <row r="584">
      <c r="A584" s="28" t="s">
        <v>174</v>
      </c>
      <c r="B584" s="16"/>
      <c r="I584" s="16"/>
    </row>
    <row r="585">
      <c r="A585" s="28" t="s">
        <v>174</v>
      </c>
      <c r="B585" s="16"/>
      <c r="I585" s="16"/>
    </row>
    <row r="586">
      <c r="A586" s="28" t="s">
        <v>174</v>
      </c>
      <c r="B586" s="16"/>
      <c r="I586" s="16"/>
    </row>
    <row r="587">
      <c r="A587" s="28" t="s">
        <v>174</v>
      </c>
      <c r="B587" s="16"/>
      <c r="I587" s="16"/>
    </row>
    <row r="588">
      <c r="A588" s="28" t="s">
        <v>174</v>
      </c>
      <c r="B588" s="16"/>
      <c r="I588" s="16"/>
    </row>
    <row r="589">
      <c r="A589" s="28" t="s">
        <v>174</v>
      </c>
      <c r="B589" s="16"/>
      <c r="I589" s="16"/>
    </row>
    <row r="590">
      <c r="A590" s="28" t="s">
        <v>174</v>
      </c>
      <c r="B590" s="16"/>
      <c r="I590" s="16"/>
    </row>
    <row r="591">
      <c r="A591" s="28" t="s">
        <v>174</v>
      </c>
      <c r="B591" s="16"/>
      <c r="I591" s="16"/>
    </row>
    <row r="592">
      <c r="A592" s="28" t="s">
        <v>174</v>
      </c>
      <c r="B592" s="16"/>
      <c r="I592" s="16"/>
    </row>
    <row r="593">
      <c r="A593" s="28" t="s">
        <v>174</v>
      </c>
      <c r="B593" s="16"/>
      <c r="I593" s="16"/>
    </row>
    <row r="594">
      <c r="A594" s="28" t="s">
        <v>174</v>
      </c>
      <c r="B594" s="16"/>
      <c r="I594" s="16"/>
    </row>
    <row r="595">
      <c r="A595" s="28" t="s">
        <v>174</v>
      </c>
      <c r="B595" s="16"/>
      <c r="I595" s="16"/>
    </row>
    <row r="596">
      <c r="A596" s="28" t="s">
        <v>174</v>
      </c>
      <c r="B596" s="16"/>
      <c r="I596" s="16"/>
    </row>
    <row r="597">
      <c r="A597" s="28" t="s">
        <v>174</v>
      </c>
      <c r="B597" s="16"/>
      <c r="I597" s="16"/>
    </row>
    <row r="598">
      <c r="A598" s="28" t="s">
        <v>174</v>
      </c>
      <c r="B598" s="16"/>
      <c r="I598" s="16"/>
    </row>
    <row r="599">
      <c r="A599" s="28" t="s">
        <v>174</v>
      </c>
      <c r="B599" s="16"/>
      <c r="I599" s="16"/>
    </row>
    <row r="600">
      <c r="A600" s="28" t="s">
        <v>174</v>
      </c>
      <c r="B600" s="16"/>
      <c r="I600" s="16"/>
    </row>
    <row r="601">
      <c r="A601" s="28" t="s">
        <v>174</v>
      </c>
      <c r="B601" s="16"/>
      <c r="I601" s="16"/>
    </row>
    <row r="602">
      <c r="A602" s="28" t="s">
        <v>174</v>
      </c>
      <c r="B602" s="16"/>
      <c r="I602" s="16"/>
    </row>
    <row r="603">
      <c r="A603" s="28" t="s">
        <v>174</v>
      </c>
      <c r="B603" s="16"/>
      <c r="I603" s="16"/>
    </row>
    <row r="604">
      <c r="A604" s="28" t="s">
        <v>174</v>
      </c>
      <c r="B604" s="16"/>
      <c r="I604" s="16"/>
    </row>
    <row r="605">
      <c r="A605" s="28" t="s">
        <v>174</v>
      </c>
      <c r="B605" s="16"/>
      <c r="I605" s="16"/>
    </row>
    <row r="606">
      <c r="A606" s="28" t="s">
        <v>174</v>
      </c>
      <c r="B606" s="16"/>
      <c r="I606" s="16"/>
    </row>
    <row r="607">
      <c r="A607" s="28" t="s">
        <v>174</v>
      </c>
      <c r="B607" s="16"/>
      <c r="I607" s="16"/>
    </row>
    <row r="608">
      <c r="A608" s="28" t="s">
        <v>174</v>
      </c>
      <c r="B608" s="16"/>
      <c r="I608" s="16"/>
    </row>
    <row r="609">
      <c r="A609" s="28" t="s">
        <v>174</v>
      </c>
      <c r="B609" s="16"/>
      <c r="I609" s="16"/>
    </row>
    <row r="610">
      <c r="A610" s="28" t="s">
        <v>174</v>
      </c>
      <c r="B610" s="16"/>
      <c r="I610" s="16"/>
    </row>
    <row r="611">
      <c r="A611" s="28" t="s">
        <v>174</v>
      </c>
      <c r="B611" s="16"/>
      <c r="I611" s="16"/>
    </row>
    <row r="612">
      <c r="A612" s="28" t="s">
        <v>174</v>
      </c>
      <c r="B612" s="16"/>
      <c r="I612" s="16"/>
    </row>
    <row r="613">
      <c r="A613" s="28" t="s">
        <v>174</v>
      </c>
      <c r="B613" s="16"/>
      <c r="I613" s="16"/>
    </row>
    <row r="614">
      <c r="A614" s="28" t="s">
        <v>174</v>
      </c>
      <c r="B614" s="16"/>
      <c r="I614" s="16"/>
    </row>
    <row r="615">
      <c r="A615" s="28" t="s">
        <v>174</v>
      </c>
      <c r="B615" s="16"/>
      <c r="I615" s="16"/>
    </row>
    <row r="616">
      <c r="A616" s="28" t="s">
        <v>174</v>
      </c>
      <c r="B616" s="16"/>
      <c r="I616" s="16"/>
    </row>
    <row r="617">
      <c r="A617" s="28" t="s">
        <v>174</v>
      </c>
      <c r="B617" s="16"/>
      <c r="I617" s="16"/>
    </row>
    <row r="618">
      <c r="A618" s="28" t="s">
        <v>174</v>
      </c>
      <c r="B618" s="16"/>
      <c r="I618" s="16"/>
    </row>
    <row r="619">
      <c r="A619" s="28" t="s">
        <v>174</v>
      </c>
      <c r="B619" s="16"/>
      <c r="I619" s="16"/>
    </row>
    <row r="620">
      <c r="A620" s="28" t="s">
        <v>174</v>
      </c>
      <c r="B620" s="16"/>
      <c r="I620" s="16"/>
    </row>
    <row r="621">
      <c r="A621" s="28" t="s">
        <v>174</v>
      </c>
      <c r="B621" s="16"/>
      <c r="I621" s="16"/>
    </row>
    <row r="622">
      <c r="A622" s="28" t="s">
        <v>174</v>
      </c>
      <c r="B622" s="16"/>
      <c r="I622" s="16"/>
    </row>
    <row r="623">
      <c r="A623" s="28" t="s">
        <v>174</v>
      </c>
      <c r="B623" s="16"/>
      <c r="I623" s="16"/>
    </row>
    <row r="624">
      <c r="A624" s="28" t="s">
        <v>174</v>
      </c>
      <c r="B624" s="16"/>
      <c r="I624" s="16"/>
    </row>
    <row r="625">
      <c r="A625" s="28" t="s">
        <v>174</v>
      </c>
      <c r="B625" s="16"/>
      <c r="I625" s="16"/>
    </row>
    <row r="626">
      <c r="A626" s="28" t="s">
        <v>174</v>
      </c>
      <c r="B626" s="16"/>
      <c r="I626" s="16"/>
    </row>
    <row r="627">
      <c r="A627" s="28" t="s">
        <v>174</v>
      </c>
      <c r="B627" s="16"/>
      <c r="I627" s="16"/>
    </row>
    <row r="628">
      <c r="A628" s="28" t="s">
        <v>174</v>
      </c>
      <c r="B628" s="16"/>
      <c r="I628" s="16"/>
    </row>
    <row r="629">
      <c r="A629" s="28" t="s">
        <v>174</v>
      </c>
      <c r="B629" s="16"/>
      <c r="I629" s="16"/>
    </row>
    <row r="630">
      <c r="A630" s="28" t="s">
        <v>174</v>
      </c>
      <c r="B630" s="16"/>
      <c r="I630" s="16"/>
    </row>
    <row r="631">
      <c r="A631" s="28" t="s">
        <v>174</v>
      </c>
      <c r="B631" s="16"/>
      <c r="I631" s="16"/>
    </row>
    <row r="632">
      <c r="A632" s="28" t="s">
        <v>174</v>
      </c>
      <c r="B632" s="16"/>
      <c r="I632" s="16"/>
    </row>
    <row r="633">
      <c r="A633" s="28" t="s">
        <v>174</v>
      </c>
      <c r="B633" s="16"/>
      <c r="I633" s="16"/>
    </row>
    <row r="634">
      <c r="A634" s="28" t="s">
        <v>174</v>
      </c>
      <c r="B634" s="16"/>
      <c r="I634" s="16"/>
    </row>
    <row r="635">
      <c r="A635" s="28" t="s">
        <v>174</v>
      </c>
      <c r="B635" s="16"/>
      <c r="I635" s="16"/>
    </row>
    <row r="636">
      <c r="A636" s="28" t="s">
        <v>174</v>
      </c>
      <c r="B636" s="16"/>
      <c r="I636" s="16"/>
    </row>
    <row r="637">
      <c r="A637" s="28" t="s">
        <v>174</v>
      </c>
      <c r="B637" s="16"/>
      <c r="I637" s="16"/>
    </row>
    <row r="638">
      <c r="A638" s="28" t="s">
        <v>174</v>
      </c>
      <c r="B638" s="16"/>
      <c r="I638" s="16"/>
    </row>
    <row r="639">
      <c r="A639" s="28" t="s">
        <v>174</v>
      </c>
      <c r="B639" s="16"/>
      <c r="I639" s="16"/>
    </row>
    <row r="640">
      <c r="A640" s="28" t="s">
        <v>174</v>
      </c>
      <c r="B640" s="16"/>
      <c r="I640" s="16"/>
    </row>
    <row r="641">
      <c r="A641" s="28" t="s">
        <v>174</v>
      </c>
      <c r="B641" s="16"/>
      <c r="I641" s="16"/>
    </row>
    <row r="642">
      <c r="A642" s="28" t="s">
        <v>174</v>
      </c>
      <c r="B642" s="16"/>
      <c r="I642" s="16"/>
    </row>
    <row r="643">
      <c r="A643" s="28" t="s">
        <v>174</v>
      </c>
      <c r="B643" s="16"/>
      <c r="I643" s="16"/>
    </row>
    <row r="644">
      <c r="A644" s="28" t="s">
        <v>174</v>
      </c>
      <c r="B644" s="16"/>
      <c r="I644" s="16"/>
    </row>
    <row r="645">
      <c r="A645" s="28" t="s">
        <v>174</v>
      </c>
      <c r="B645" s="16"/>
      <c r="I645" s="16"/>
    </row>
    <row r="646">
      <c r="A646" s="28" t="s">
        <v>174</v>
      </c>
      <c r="B646" s="16"/>
      <c r="I646" s="16"/>
    </row>
    <row r="647">
      <c r="A647" s="28" t="s">
        <v>174</v>
      </c>
      <c r="B647" s="16"/>
      <c r="I647" s="16"/>
    </row>
    <row r="648">
      <c r="A648" s="28" t="s">
        <v>174</v>
      </c>
      <c r="B648" s="16"/>
      <c r="I648" s="16"/>
    </row>
    <row r="649">
      <c r="A649" s="28" t="s">
        <v>174</v>
      </c>
      <c r="B649" s="16"/>
      <c r="I649" s="16"/>
    </row>
    <row r="650">
      <c r="A650" s="28" t="s">
        <v>174</v>
      </c>
      <c r="B650" s="16"/>
      <c r="I650" s="16"/>
    </row>
    <row r="651">
      <c r="A651" s="28" t="s">
        <v>174</v>
      </c>
      <c r="B651" s="16"/>
      <c r="I651" s="16"/>
    </row>
    <row r="652">
      <c r="A652" s="28" t="s">
        <v>174</v>
      </c>
      <c r="B652" s="16"/>
      <c r="I652" s="16"/>
    </row>
    <row r="653">
      <c r="A653" s="28" t="s">
        <v>174</v>
      </c>
      <c r="B653" s="16"/>
      <c r="I653" s="16"/>
    </row>
    <row r="654">
      <c r="A654" s="28" t="s">
        <v>174</v>
      </c>
      <c r="B654" s="16"/>
      <c r="I654" s="16"/>
    </row>
    <row r="655">
      <c r="A655" s="28" t="s">
        <v>174</v>
      </c>
      <c r="B655" s="16"/>
      <c r="I655" s="16"/>
    </row>
    <row r="656">
      <c r="A656" s="28" t="s">
        <v>174</v>
      </c>
      <c r="B656" s="16"/>
      <c r="I656" s="16"/>
    </row>
    <row r="657">
      <c r="A657" s="28" t="s">
        <v>174</v>
      </c>
      <c r="B657" s="16"/>
      <c r="I657" s="16"/>
    </row>
    <row r="658">
      <c r="A658" s="28" t="s">
        <v>174</v>
      </c>
      <c r="B658" s="16"/>
      <c r="I658" s="16"/>
    </row>
    <row r="659">
      <c r="A659" s="28" t="s">
        <v>174</v>
      </c>
      <c r="B659" s="16"/>
      <c r="I659" s="16"/>
    </row>
    <row r="660">
      <c r="A660" s="28" t="s">
        <v>174</v>
      </c>
      <c r="B660" s="16"/>
      <c r="I660" s="16"/>
    </row>
    <row r="661">
      <c r="A661" s="28" t="s">
        <v>174</v>
      </c>
      <c r="B661" s="16"/>
      <c r="I661" s="16"/>
    </row>
    <row r="662">
      <c r="A662" s="28" t="s">
        <v>174</v>
      </c>
      <c r="B662" s="16"/>
      <c r="I662" s="16"/>
    </row>
    <row r="663">
      <c r="A663" s="28" t="s">
        <v>174</v>
      </c>
      <c r="B663" s="16"/>
      <c r="I663" s="16"/>
    </row>
    <row r="664">
      <c r="A664" s="28" t="s">
        <v>174</v>
      </c>
      <c r="B664" s="16"/>
      <c r="I664" s="16"/>
    </row>
    <row r="665">
      <c r="A665" s="28" t="s">
        <v>174</v>
      </c>
      <c r="B665" s="16"/>
      <c r="I665" s="16"/>
    </row>
    <row r="666">
      <c r="A666" s="28" t="s">
        <v>174</v>
      </c>
      <c r="B666" s="16"/>
      <c r="I666" s="16"/>
    </row>
    <row r="667">
      <c r="A667" s="28" t="s">
        <v>174</v>
      </c>
      <c r="B667" s="16"/>
      <c r="I667" s="16"/>
    </row>
    <row r="668">
      <c r="A668" s="28" t="s">
        <v>174</v>
      </c>
      <c r="B668" s="16"/>
      <c r="I668" s="16"/>
    </row>
    <row r="669">
      <c r="A669" s="28" t="s">
        <v>174</v>
      </c>
      <c r="B669" s="16"/>
      <c r="I669" s="16"/>
    </row>
    <row r="670">
      <c r="A670" s="28" t="s">
        <v>174</v>
      </c>
      <c r="B670" s="16"/>
      <c r="I670" s="16"/>
    </row>
    <row r="671">
      <c r="A671" s="28" t="s">
        <v>174</v>
      </c>
      <c r="B671" s="16"/>
      <c r="I671" s="16"/>
    </row>
    <row r="672">
      <c r="A672" s="28" t="s">
        <v>174</v>
      </c>
      <c r="B672" s="16"/>
      <c r="I672" s="16"/>
    </row>
    <row r="673">
      <c r="A673" s="28" t="s">
        <v>174</v>
      </c>
      <c r="B673" s="16"/>
      <c r="I673" s="16"/>
    </row>
    <row r="674">
      <c r="A674" s="28" t="s">
        <v>174</v>
      </c>
      <c r="B674" s="16"/>
      <c r="I674" s="16"/>
    </row>
    <row r="675">
      <c r="A675" s="28" t="s">
        <v>174</v>
      </c>
      <c r="B675" s="16"/>
      <c r="I675" s="16"/>
    </row>
    <row r="676">
      <c r="A676" s="28" t="s">
        <v>174</v>
      </c>
      <c r="B676" s="16"/>
      <c r="I676" s="16"/>
    </row>
    <row r="677">
      <c r="A677" s="28" t="s">
        <v>174</v>
      </c>
      <c r="B677" s="16"/>
      <c r="I677" s="16"/>
    </row>
    <row r="678">
      <c r="A678" s="28" t="s">
        <v>174</v>
      </c>
      <c r="B678" s="16"/>
      <c r="I678" s="16"/>
    </row>
    <row r="679">
      <c r="A679" s="28" t="s">
        <v>174</v>
      </c>
      <c r="B679" s="16"/>
      <c r="I679" s="16"/>
    </row>
    <row r="680">
      <c r="A680" s="28" t="s">
        <v>174</v>
      </c>
      <c r="B680" s="16"/>
      <c r="I680" s="16"/>
    </row>
    <row r="681">
      <c r="A681" s="28" t="s">
        <v>174</v>
      </c>
      <c r="B681" s="16"/>
      <c r="I681" s="16"/>
    </row>
    <row r="682">
      <c r="A682" s="28" t="s">
        <v>174</v>
      </c>
      <c r="B682" s="16"/>
      <c r="I682" s="16"/>
    </row>
    <row r="683">
      <c r="A683" s="28" t="s">
        <v>174</v>
      </c>
      <c r="B683" s="16"/>
      <c r="I683" s="16"/>
    </row>
    <row r="684">
      <c r="A684" s="28" t="s">
        <v>174</v>
      </c>
      <c r="B684" s="16"/>
      <c r="I684" s="16"/>
    </row>
    <row r="685">
      <c r="A685" s="28" t="s">
        <v>174</v>
      </c>
      <c r="B685" s="16"/>
      <c r="I685" s="16"/>
    </row>
    <row r="686">
      <c r="A686" s="28" t="s">
        <v>174</v>
      </c>
      <c r="B686" s="16"/>
      <c r="I686" s="16"/>
    </row>
    <row r="687">
      <c r="A687" s="28" t="s">
        <v>174</v>
      </c>
      <c r="B687" s="16"/>
      <c r="I687" s="16"/>
    </row>
    <row r="688">
      <c r="A688" s="28" t="s">
        <v>174</v>
      </c>
      <c r="B688" s="16"/>
      <c r="I688" s="16"/>
    </row>
    <row r="689">
      <c r="A689" s="28" t="s">
        <v>174</v>
      </c>
      <c r="B689" s="16"/>
      <c r="I689" s="16"/>
    </row>
    <row r="690">
      <c r="A690" s="28" t="s">
        <v>174</v>
      </c>
      <c r="B690" s="16"/>
      <c r="I690" s="16"/>
    </row>
    <row r="691">
      <c r="A691" s="28" t="s">
        <v>174</v>
      </c>
      <c r="B691" s="16"/>
      <c r="I691" s="16"/>
    </row>
    <row r="692">
      <c r="A692" s="28" t="s">
        <v>174</v>
      </c>
      <c r="B692" s="16"/>
      <c r="I692" s="16"/>
    </row>
    <row r="693">
      <c r="A693" s="28" t="s">
        <v>174</v>
      </c>
      <c r="B693" s="16"/>
      <c r="I693" s="16"/>
    </row>
    <row r="694">
      <c r="A694" s="28" t="s">
        <v>174</v>
      </c>
      <c r="B694" s="16"/>
      <c r="I694" s="16"/>
    </row>
    <row r="695">
      <c r="A695" s="28" t="s">
        <v>174</v>
      </c>
      <c r="B695" s="16"/>
      <c r="I695" s="16"/>
    </row>
    <row r="696">
      <c r="A696" s="28" t="s">
        <v>174</v>
      </c>
      <c r="B696" s="16"/>
      <c r="I696" s="16"/>
    </row>
    <row r="697">
      <c r="A697" s="28" t="s">
        <v>174</v>
      </c>
      <c r="B697" s="16"/>
      <c r="I697" s="16"/>
    </row>
    <row r="698">
      <c r="A698" s="28" t="s">
        <v>174</v>
      </c>
      <c r="B698" s="16"/>
      <c r="I698" s="16"/>
    </row>
    <row r="699">
      <c r="A699" s="28" t="s">
        <v>174</v>
      </c>
      <c r="B699" s="16"/>
      <c r="I699" s="16"/>
    </row>
    <row r="700">
      <c r="A700" s="28" t="s">
        <v>174</v>
      </c>
      <c r="B700" s="16"/>
      <c r="I700" s="16"/>
    </row>
    <row r="701">
      <c r="A701" s="28" t="s">
        <v>174</v>
      </c>
      <c r="B701" s="16"/>
      <c r="I701" s="16"/>
    </row>
    <row r="702">
      <c r="A702" s="28" t="s">
        <v>174</v>
      </c>
      <c r="B702" s="16"/>
      <c r="I702" s="16"/>
    </row>
    <row r="703">
      <c r="A703" s="28" t="s">
        <v>174</v>
      </c>
      <c r="B703" s="16"/>
      <c r="I703" s="16"/>
    </row>
    <row r="704">
      <c r="A704" s="28" t="s">
        <v>174</v>
      </c>
      <c r="B704" s="16"/>
      <c r="I704" s="16"/>
    </row>
    <row r="705">
      <c r="A705" s="28" t="s">
        <v>174</v>
      </c>
      <c r="B705" s="16"/>
      <c r="I705" s="16"/>
    </row>
    <row r="706">
      <c r="A706" s="28" t="s">
        <v>174</v>
      </c>
      <c r="B706" s="16"/>
      <c r="I706" s="16"/>
    </row>
    <row r="707">
      <c r="A707" s="28" t="s">
        <v>174</v>
      </c>
      <c r="B707" s="16"/>
      <c r="I707" s="16"/>
    </row>
    <row r="708">
      <c r="A708" s="28" t="s">
        <v>174</v>
      </c>
      <c r="B708" s="16"/>
      <c r="I708" s="16"/>
    </row>
    <row r="709">
      <c r="A709" s="28" t="s">
        <v>174</v>
      </c>
      <c r="B709" s="16"/>
      <c r="I709" s="16"/>
    </row>
    <row r="710">
      <c r="A710" s="28" t="s">
        <v>174</v>
      </c>
      <c r="B710" s="16"/>
      <c r="I710" s="16"/>
    </row>
    <row r="711">
      <c r="A711" s="28" t="s">
        <v>174</v>
      </c>
      <c r="B711" s="16"/>
      <c r="I711" s="16"/>
    </row>
    <row r="712">
      <c r="A712" s="28" t="s">
        <v>174</v>
      </c>
      <c r="B712" s="16"/>
      <c r="I712" s="16"/>
    </row>
    <row r="713">
      <c r="A713" s="28" t="s">
        <v>174</v>
      </c>
      <c r="B713" s="16"/>
      <c r="I713" s="16"/>
    </row>
    <row r="714">
      <c r="A714" s="28" t="s">
        <v>174</v>
      </c>
      <c r="B714" s="16"/>
      <c r="I714" s="16"/>
    </row>
    <row r="715">
      <c r="A715" s="28" t="s">
        <v>174</v>
      </c>
      <c r="B715" s="16"/>
      <c r="I715" s="16"/>
    </row>
    <row r="716">
      <c r="A716" s="28" t="s">
        <v>174</v>
      </c>
      <c r="B716" s="16"/>
      <c r="I716" s="16"/>
    </row>
    <row r="717">
      <c r="A717" s="28" t="s">
        <v>174</v>
      </c>
      <c r="B717" s="16"/>
      <c r="I717" s="16"/>
    </row>
    <row r="718">
      <c r="A718" s="28" t="s">
        <v>174</v>
      </c>
      <c r="B718" s="16"/>
      <c r="I718" s="16"/>
    </row>
    <row r="719">
      <c r="A719" s="28" t="s">
        <v>174</v>
      </c>
      <c r="B719" s="16"/>
      <c r="I719" s="16"/>
    </row>
    <row r="720">
      <c r="A720" s="28" t="s">
        <v>174</v>
      </c>
      <c r="B720" s="16"/>
      <c r="I720" s="16"/>
    </row>
    <row r="721">
      <c r="A721" s="28" t="s">
        <v>174</v>
      </c>
      <c r="B721" s="16"/>
      <c r="I721" s="16"/>
    </row>
    <row r="722">
      <c r="A722" s="28" t="s">
        <v>174</v>
      </c>
      <c r="B722" s="16"/>
      <c r="I722" s="16"/>
    </row>
    <row r="723">
      <c r="A723" s="28" t="s">
        <v>174</v>
      </c>
      <c r="B723" s="16"/>
      <c r="I723" s="16"/>
    </row>
    <row r="724">
      <c r="A724" s="28" t="s">
        <v>174</v>
      </c>
      <c r="B724" s="16"/>
      <c r="I724" s="16"/>
    </row>
    <row r="725">
      <c r="A725" s="28" t="s">
        <v>174</v>
      </c>
      <c r="B725" s="16"/>
      <c r="I725" s="16"/>
    </row>
    <row r="726">
      <c r="A726" s="28" t="s">
        <v>174</v>
      </c>
      <c r="B726" s="16"/>
      <c r="I726" s="16"/>
    </row>
    <row r="727">
      <c r="A727" s="28" t="s">
        <v>174</v>
      </c>
      <c r="B727" s="16"/>
      <c r="I727" s="16"/>
    </row>
    <row r="728">
      <c r="A728" s="28" t="s">
        <v>174</v>
      </c>
      <c r="B728" s="16"/>
      <c r="I728" s="16"/>
    </row>
    <row r="729">
      <c r="A729" s="28" t="s">
        <v>174</v>
      </c>
      <c r="B729" s="16"/>
      <c r="I729" s="16"/>
    </row>
    <row r="730">
      <c r="A730" s="28" t="s">
        <v>174</v>
      </c>
      <c r="B730" s="16"/>
      <c r="I730" s="16"/>
    </row>
    <row r="731">
      <c r="A731" s="28" t="s">
        <v>174</v>
      </c>
      <c r="B731" s="16"/>
      <c r="I731" s="16"/>
    </row>
    <row r="732">
      <c r="A732" s="28" t="s">
        <v>174</v>
      </c>
      <c r="B732" s="16"/>
      <c r="I732" s="16"/>
    </row>
    <row r="733">
      <c r="A733" s="28" t="s">
        <v>174</v>
      </c>
      <c r="B733" s="16"/>
      <c r="I733" s="16"/>
    </row>
    <row r="734">
      <c r="A734" s="28" t="s">
        <v>174</v>
      </c>
      <c r="B734" s="16"/>
      <c r="I734" s="16"/>
    </row>
    <row r="735">
      <c r="A735" s="28" t="s">
        <v>174</v>
      </c>
      <c r="B735" s="16"/>
      <c r="I735" s="16"/>
    </row>
    <row r="736">
      <c r="A736" s="28" t="s">
        <v>174</v>
      </c>
      <c r="B736" s="16"/>
      <c r="I736" s="16"/>
    </row>
    <row r="737">
      <c r="A737" s="28" t="s">
        <v>174</v>
      </c>
      <c r="B737" s="16"/>
      <c r="I737" s="16"/>
    </row>
    <row r="738">
      <c r="A738" s="28" t="s">
        <v>174</v>
      </c>
      <c r="B738" s="16"/>
      <c r="I738" s="16"/>
    </row>
    <row r="739">
      <c r="A739" s="28" t="s">
        <v>174</v>
      </c>
      <c r="B739" s="16"/>
      <c r="I739" s="16"/>
    </row>
    <row r="740">
      <c r="A740" s="28" t="s">
        <v>174</v>
      </c>
      <c r="B740" s="16"/>
      <c r="I740" s="16"/>
    </row>
    <row r="741">
      <c r="A741" s="28" t="s">
        <v>174</v>
      </c>
      <c r="B741" s="16"/>
      <c r="I741" s="16"/>
    </row>
    <row r="742">
      <c r="A742" s="28" t="s">
        <v>174</v>
      </c>
      <c r="B742" s="16"/>
      <c r="I742" s="16"/>
    </row>
    <row r="743">
      <c r="A743" s="28" t="s">
        <v>174</v>
      </c>
      <c r="B743" s="16"/>
      <c r="I743" s="16"/>
    </row>
    <row r="744">
      <c r="A744" s="28" t="s">
        <v>174</v>
      </c>
      <c r="B744" s="16"/>
      <c r="I744" s="16"/>
    </row>
    <row r="745">
      <c r="A745" s="28" t="s">
        <v>174</v>
      </c>
      <c r="B745" s="16"/>
      <c r="I745" s="16"/>
    </row>
    <row r="746">
      <c r="A746" s="28" t="s">
        <v>174</v>
      </c>
      <c r="B746" s="16"/>
      <c r="I746" s="16"/>
    </row>
    <row r="747">
      <c r="A747" s="28" t="s">
        <v>174</v>
      </c>
      <c r="B747" s="16"/>
      <c r="I747" s="16"/>
    </row>
    <row r="748">
      <c r="A748" s="28" t="s">
        <v>174</v>
      </c>
      <c r="B748" s="16"/>
      <c r="I748" s="16"/>
    </row>
    <row r="749">
      <c r="A749" s="28" t="s">
        <v>174</v>
      </c>
      <c r="B749" s="16"/>
      <c r="I749" s="16"/>
    </row>
    <row r="750">
      <c r="A750" s="28" t="s">
        <v>174</v>
      </c>
      <c r="B750" s="16"/>
      <c r="I750" s="16"/>
    </row>
    <row r="751">
      <c r="A751" s="28" t="s">
        <v>174</v>
      </c>
      <c r="B751" s="16"/>
      <c r="I751" s="16"/>
    </row>
    <row r="752">
      <c r="A752" s="28" t="s">
        <v>174</v>
      </c>
      <c r="B752" s="16"/>
      <c r="I752" s="16"/>
    </row>
    <row r="753">
      <c r="A753" s="28" t="s">
        <v>174</v>
      </c>
      <c r="B753" s="16"/>
      <c r="I753" s="16"/>
    </row>
    <row r="754">
      <c r="A754" s="28" t="s">
        <v>174</v>
      </c>
      <c r="B754" s="16"/>
      <c r="I754" s="16"/>
    </row>
    <row r="755">
      <c r="A755" s="28" t="s">
        <v>174</v>
      </c>
      <c r="B755" s="16"/>
      <c r="I755" s="16"/>
    </row>
    <row r="756">
      <c r="A756" s="28" t="s">
        <v>174</v>
      </c>
      <c r="B756" s="16"/>
      <c r="I756" s="16"/>
    </row>
    <row r="757">
      <c r="A757" s="28" t="s">
        <v>174</v>
      </c>
      <c r="B757" s="16"/>
      <c r="I757" s="16"/>
    </row>
    <row r="758">
      <c r="A758" s="28" t="s">
        <v>174</v>
      </c>
      <c r="B758" s="16"/>
      <c r="I758" s="16"/>
    </row>
    <row r="759">
      <c r="A759" s="28" t="s">
        <v>174</v>
      </c>
      <c r="B759" s="16"/>
      <c r="I759" s="16"/>
    </row>
    <row r="760">
      <c r="A760" s="28" t="s">
        <v>174</v>
      </c>
      <c r="B760" s="16"/>
      <c r="I760" s="16"/>
    </row>
    <row r="761">
      <c r="A761" s="28" t="s">
        <v>174</v>
      </c>
      <c r="B761" s="16"/>
      <c r="I761" s="16"/>
    </row>
    <row r="762">
      <c r="A762" s="28" t="s">
        <v>174</v>
      </c>
      <c r="B762" s="16"/>
      <c r="I762" s="16"/>
    </row>
    <row r="763">
      <c r="A763" s="28" t="s">
        <v>174</v>
      </c>
      <c r="B763" s="16"/>
      <c r="I763" s="16"/>
    </row>
    <row r="764">
      <c r="A764" s="28" t="s">
        <v>174</v>
      </c>
      <c r="B764" s="16"/>
      <c r="I764" s="16"/>
    </row>
    <row r="765">
      <c r="A765" s="28" t="s">
        <v>174</v>
      </c>
      <c r="B765" s="16"/>
      <c r="I765" s="16"/>
    </row>
    <row r="766">
      <c r="A766" s="28" t="s">
        <v>174</v>
      </c>
      <c r="B766" s="16"/>
      <c r="I766" s="16"/>
    </row>
    <row r="767">
      <c r="A767" s="28" t="s">
        <v>174</v>
      </c>
      <c r="B767" s="16"/>
      <c r="I767" s="16"/>
    </row>
    <row r="768">
      <c r="A768" s="28" t="s">
        <v>174</v>
      </c>
      <c r="B768" s="16"/>
      <c r="I768" s="16"/>
    </row>
    <row r="769">
      <c r="A769" s="28" t="s">
        <v>174</v>
      </c>
      <c r="B769" s="16"/>
      <c r="I769" s="16"/>
    </row>
    <row r="770">
      <c r="A770" s="28" t="s">
        <v>174</v>
      </c>
      <c r="B770" s="16"/>
      <c r="I770" s="16"/>
    </row>
    <row r="771">
      <c r="A771" s="28" t="s">
        <v>174</v>
      </c>
      <c r="B771" s="16"/>
      <c r="I771" s="16"/>
    </row>
    <row r="772">
      <c r="A772" s="28" t="s">
        <v>174</v>
      </c>
      <c r="B772" s="16"/>
      <c r="I772" s="16"/>
    </row>
    <row r="773">
      <c r="A773" s="28" t="s">
        <v>174</v>
      </c>
      <c r="B773" s="16"/>
      <c r="I773" s="16"/>
    </row>
    <row r="774">
      <c r="A774" s="28" t="s">
        <v>174</v>
      </c>
      <c r="B774" s="16"/>
      <c r="I774" s="16"/>
    </row>
    <row r="775">
      <c r="A775" s="28" t="s">
        <v>174</v>
      </c>
      <c r="B775" s="16"/>
      <c r="I775" s="16"/>
    </row>
    <row r="776">
      <c r="A776" s="28" t="s">
        <v>174</v>
      </c>
      <c r="B776" s="16"/>
      <c r="I776" s="16"/>
    </row>
    <row r="777">
      <c r="A777" s="28" t="s">
        <v>174</v>
      </c>
      <c r="B777" s="16"/>
      <c r="I777" s="16"/>
    </row>
    <row r="778">
      <c r="A778" s="28" t="s">
        <v>174</v>
      </c>
      <c r="B778" s="16"/>
      <c r="I778" s="16"/>
    </row>
    <row r="779">
      <c r="A779" s="28" t="s">
        <v>174</v>
      </c>
      <c r="B779" s="16"/>
      <c r="I779" s="16"/>
    </row>
    <row r="780">
      <c r="A780" s="28" t="s">
        <v>174</v>
      </c>
      <c r="B780" s="16"/>
      <c r="I780" s="16"/>
    </row>
    <row r="781">
      <c r="A781" s="28" t="s">
        <v>174</v>
      </c>
      <c r="B781" s="16"/>
      <c r="I781" s="16"/>
    </row>
    <row r="782">
      <c r="A782" s="28" t="s">
        <v>174</v>
      </c>
      <c r="B782" s="16"/>
      <c r="I782" s="16"/>
    </row>
    <row r="783">
      <c r="A783" s="28" t="s">
        <v>174</v>
      </c>
      <c r="B783" s="16"/>
      <c r="I783" s="16"/>
    </row>
    <row r="784">
      <c r="A784" s="28" t="s">
        <v>174</v>
      </c>
      <c r="B784" s="16"/>
      <c r="I784" s="16"/>
    </row>
    <row r="785">
      <c r="A785" s="28" t="s">
        <v>174</v>
      </c>
      <c r="B785" s="16"/>
      <c r="I785" s="16"/>
    </row>
    <row r="786">
      <c r="A786" s="28" t="s">
        <v>174</v>
      </c>
      <c r="B786" s="16"/>
      <c r="I786" s="16"/>
    </row>
    <row r="787">
      <c r="A787" s="28" t="s">
        <v>174</v>
      </c>
      <c r="B787" s="16"/>
      <c r="I787" s="16"/>
    </row>
    <row r="788">
      <c r="A788" s="28" t="s">
        <v>174</v>
      </c>
      <c r="B788" s="16"/>
      <c r="I788" s="16"/>
    </row>
    <row r="789">
      <c r="A789" s="28" t="s">
        <v>174</v>
      </c>
      <c r="B789" s="16"/>
      <c r="I789" s="16"/>
    </row>
    <row r="790">
      <c r="A790" s="28" t="s">
        <v>174</v>
      </c>
      <c r="B790" s="16"/>
      <c r="I790" s="16"/>
    </row>
    <row r="791">
      <c r="A791" s="28" t="s">
        <v>174</v>
      </c>
      <c r="B791" s="16"/>
      <c r="I791" s="16"/>
    </row>
    <row r="792">
      <c r="A792" s="28" t="s">
        <v>174</v>
      </c>
      <c r="B792" s="16"/>
      <c r="I792" s="16"/>
    </row>
    <row r="793">
      <c r="A793" s="28" t="s">
        <v>174</v>
      </c>
      <c r="B793" s="16"/>
      <c r="I793" s="16"/>
    </row>
    <row r="794">
      <c r="A794" s="28" t="s">
        <v>174</v>
      </c>
      <c r="B794" s="16"/>
      <c r="I794" s="16"/>
    </row>
    <row r="795">
      <c r="A795" s="28" t="s">
        <v>174</v>
      </c>
      <c r="B795" s="16"/>
      <c r="I795" s="16"/>
    </row>
    <row r="796">
      <c r="A796" s="28" t="s">
        <v>174</v>
      </c>
      <c r="B796" s="16"/>
      <c r="I796" s="16"/>
    </row>
    <row r="797">
      <c r="A797" s="28" t="s">
        <v>174</v>
      </c>
      <c r="B797" s="16"/>
      <c r="I797" s="16"/>
    </row>
    <row r="798">
      <c r="A798" s="28" t="s">
        <v>174</v>
      </c>
      <c r="B798" s="16"/>
      <c r="I798" s="16"/>
    </row>
    <row r="799">
      <c r="A799" s="28" t="s">
        <v>174</v>
      </c>
      <c r="B799" s="16"/>
      <c r="I799" s="16"/>
    </row>
    <row r="800">
      <c r="A800" s="28" t="s">
        <v>174</v>
      </c>
      <c r="B800" s="16"/>
      <c r="I800" s="16"/>
    </row>
    <row r="801">
      <c r="A801" s="28" t="s">
        <v>174</v>
      </c>
      <c r="B801" s="16"/>
      <c r="I801" s="16"/>
    </row>
    <row r="802">
      <c r="A802" s="28" t="s">
        <v>174</v>
      </c>
      <c r="B802" s="16"/>
      <c r="I802" s="16"/>
    </row>
    <row r="803">
      <c r="A803" s="28" t="s">
        <v>174</v>
      </c>
      <c r="B803" s="16"/>
      <c r="I803" s="16"/>
    </row>
    <row r="804">
      <c r="A804" s="28" t="s">
        <v>174</v>
      </c>
      <c r="B804" s="16"/>
      <c r="I804" s="16"/>
    </row>
    <row r="805">
      <c r="A805" s="28" t="s">
        <v>174</v>
      </c>
      <c r="B805" s="16"/>
      <c r="I805" s="16"/>
    </row>
    <row r="806">
      <c r="A806" s="28" t="s">
        <v>174</v>
      </c>
      <c r="B806" s="16"/>
      <c r="I806" s="16"/>
    </row>
    <row r="807">
      <c r="A807" s="28" t="s">
        <v>174</v>
      </c>
      <c r="B807" s="16"/>
      <c r="I807" s="16"/>
    </row>
    <row r="808">
      <c r="A808" s="28" t="s">
        <v>174</v>
      </c>
      <c r="B808" s="16"/>
      <c r="I808" s="16"/>
    </row>
    <row r="809">
      <c r="A809" s="28" t="s">
        <v>174</v>
      </c>
      <c r="B809" s="16"/>
      <c r="I809" s="16"/>
    </row>
    <row r="810">
      <c r="A810" s="28" t="s">
        <v>174</v>
      </c>
      <c r="B810" s="16"/>
      <c r="I810" s="16"/>
    </row>
    <row r="811">
      <c r="A811" s="28" t="s">
        <v>174</v>
      </c>
      <c r="B811" s="16"/>
      <c r="I811" s="16"/>
    </row>
    <row r="812">
      <c r="A812" s="28" t="s">
        <v>174</v>
      </c>
      <c r="B812" s="16"/>
      <c r="I812" s="16"/>
    </row>
    <row r="813">
      <c r="A813" s="28" t="s">
        <v>174</v>
      </c>
      <c r="B813" s="16"/>
      <c r="I813" s="16"/>
    </row>
    <row r="814">
      <c r="A814" s="28" t="s">
        <v>174</v>
      </c>
      <c r="B814" s="16"/>
      <c r="I814" s="16"/>
    </row>
    <row r="815">
      <c r="A815" s="28" t="s">
        <v>174</v>
      </c>
      <c r="B815" s="16"/>
      <c r="I815" s="16"/>
    </row>
    <row r="816">
      <c r="A816" s="28" t="s">
        <v>174</v>
      </c>
      <c r="B816" s="16"/>
      <c r="I816" s="16"/>
    </row>
    <row r="817">
      <c r="A817" s="28" t="s">
        <v>174</v>
      </c>
      <c r="B817" s="16"/>
      <c r="I817" s="16"/>
    </row>
    <row r="818">
      <c r="A818" s="28" t="s">
        <v>174</v>
      </c>
      <c r="B818" s="16"/>
      <c r="I818" s="16"/>
    </row>
    <row r="819">
      <c r="A819" s="28" t="s">
        <v>174</v>
      </c>
      <c r="B819" s="16"/>
      <c r="I819" s="16"/>
    </row>
    <row r="820">
      <c r="A820" s="28" t="s">
        <v>174</v>
      </c>
      <c r="B820" s="16"/>
      <c r="I820" s="16"/>
    </row>
    <row r="821">
      <c r="A821" s="28" t="s">
        <v>174</v>
      </c>
      <c r="B821" s="16"/>
      <c r="I821" s="16"/>
    </row>
    <row r="822">
      <c r="A822" s="28" t="s">
        <v>174</v>
      </c>
      <c r="B822" s="16"/>
      <c r="I822" s="16"/>
    </row>
    <row r="823">
      <c r="A823" s="28" t="s">
        <v>174</v>
      </c>
      <c r="B823" s="16"/>
      <c r="I823" s="16"/>
    </row>
    <row r="824">
      <c r="A824" s="28" t="s">
        <v>174</v>
      </c>
      <c r="B824" s="16"/>
      <c r="I824" s="16"/>
    </row>
    <row r="825">
      <c r="A825" s="28" t="s">
        <v>174</v>
      </c>
      <c r="B825" s="16"/>
      <c r="I825" s="16"/>
    </row>
    <row r="826">
      <c r="A826" s="28" t="s">
        <v>174</v>
      </c>
      <c r="B826" s="16"/>
      <c r="I826" s="16"/>
    </row>
    <row r="827">
      <c r="A827" s="28" t="s">
        <v>174</v>
      </c>
      <c r="B827" s="16"/>
      <c r="I827" s="16"/>
    </row>
    <row r="828">
      <c r="A828" s="28" t="s">
        <v>174</v>
      </c>
      <c r="B828" s="16"/>
      <c r="I828" s="16"/>
    </row>
    <row r="829">
      <c r="A829" s="28" t="s">
        <v>174</v>
      </c>
      <c r="B829" s="16"/>
      <c r="I829" s="16"/>
    </row>
    <row r="830">
      <c r="A830" s="28" t="s">
        <v>174</v>
      </c>
      <c r="B830" s="16"/>
      <c r="I830" s="16"/>
    </row>
    <row r="831">
      <c r="A831" s="28" t="s">
        <v>174</v>
      </c>
      <c r="B831" s="16"/>
      <c r="I831" s="16"/>
    </row>
    <row r="832">
      <c r="A832" s="28" t="s">
        <v>174</v>
      </c>
      <c r="B832" s="16"/>
      <c r="I832" s="16"/>
    </row>
    <row r="833">
      <c r="A833" s="28" t="s">
        <v>174</v>
      </c>
      <c r="B833" s="16"/>
      <c r="I833" s="16"/>
    </row>
    <row r="834">
      <c r="A834" s="28" t="s">
        <v>174</v>
      </c>
      <c r="B834" s="16"/>
      <c r="I834" s="16"/>
    </row>
    <row r="835">
      <c r="A835" s="28" t="s">
        <v>174</v>
      </c>
      <c r="B835" s="16"/>
      <c r="I835" s="16"/>
    </row>
    <row r="836">
      <c r="A836" s="28" t="s">
        <v>174</v>
      </c>
      <c r="B836" s="16"/>
      <c r="I836" s="16"/>
    </row>
    <row r="837">
      <c r="A837" s="28" t="s">
        <v>174</v>
      </c>
      <c r="B837" s="16"/>
      <c r="I837" s="16"/>
    </row>
    <row r="838">
      <c r="A838" s="28" t="s">
        <v>174</v>
      </c>
      <c r="B838" s="16"/>
      <c r="I838" s="16"/>
    </row>
    <row r="839">
      <c r="A839" s="28" t="s">
        <v>174</v>
      </c>
      <c r="B839" s="16"/>
      <c r="I839" s="16"/>
    </row>
    <row r="840">
      <c r="A840" s="28" t="s">
        <v>174</v>
      </c>
      <c r="B840" s="16"/>
      <c r="I840" s="16"/>
    </row>
    <row r="841">
      <c r="A841" s="28" t="s">
        <v>174</v>
      </c>
      <c r="B841" s="16"/>
      <c r="I841" s="16"/>
    </row>
    <row r="842">
      <c r="A842" s="28" t="s">
        <v>174</v>
      </c>
      <c r="B842" s="16"/>
      <c r="I842" s="16"/>
    </row>
    <row r="843">
      <c r="A843" s="28" t="s">
        <v>174</v>
      </c>
      <c r="B843" s="16"/>
      <c r="I843" s="16"/>
    </row>
    <row r="844">
      <c r="A844" s="28" t="s">
        <v>174</v>
      </c>
      <c r="B844" s="16"/>
      <c r="I844" s="16"/>
    </row>
    <row r="845">
      <c r="A845" s="28" t="s">
        <v>174</v>
      </c>
      <c r="B845" s="16"/>
      <c r="I845" s="16"/>
    </row>
    <row r="846">
      <c r="A846" s="28" t="s">
        <v>174</v>
      </c>
      <c r="B846" s="16"/>
      <c r="I846" s="16"/>
    </row>
    <row r="847">
      <c r="A847" s="28" t="s">
        <v>174</v>
      </c>
      <c r="B847" s="16"/>
      <c r="I847" s="16"/>
    </row>
    <row r="848">
      <c r="A848" s="28" t="s">
        <v>174</v>
      </c>
      <c r="B848" s="16"/>
      <c r="I848" s="16"/>
    </row>
    <row r="849">
      <c r="A849" s="28" t="s">
        <v>174</v>
      </c>
      <c r="B849" s="16"/>
      <c r="I849" s="16"/>
    </row>
    <row r="850">
      <c r="A850" s="28" t="s">
        <v>174</v>
      </c>
      <c r="B850" s="16"/>
      <c r="I850" s="16"/>
    </row>
    <row r="851">
      <c r="A851" s="28" t="s">
        <v>174</v>
      </c>
      <c r="B851" s="16"/>
      <c r="I851" s="16"/>
    </row>
    <row r="852">
      <c r="A852" s="28" t="s">
        <v>174</v>
      </c>
      <c r="B852" s="16"/>
      <c r="I852" s="16"/>
    </row>
    <row r="853">
      <c r="A853" s="28" t="s">
        <v>174</v>
      </c>
      <c r="B853" s="16"/>
      <c r="I853" s="16"/>
    </row>
    <row r="854">
      <c r="A854" s="28" t="s">
        <v>174</v>
      </c>
      <c r="B854" s="16"/>
      <c r="I854" s="16"/>
    </row>
    <row r="855">
      <c r="A855" s="28" t="s">
        <v>174</v>
      </c>
      <c r="B855" s="16"/>
      <c r="I855" s="16"/>
    </row>
    <row r="856">
      <c r="A856" s="28" t="s">
        <v>174</v>
      </c>
      <c r="B856" s="16"/>
      <c r="I856" s="16"/>
    </row>
    <row r="857">
      <c r="A857" s="28" t="s">
        <v>174</v>
      </c>
      <c r="B857" s="16"/>
      <c r="I857" s="16"/>
    </row>
    <row r="858">
      <c r="A858" s="28" t="s">
        <v>174</v>
      </c>
      <c r="B858" s="16"/>
      <c r="I858" s="16"/>
    </row>
    <row r="859">
      <c r="A859" s="28" t="s">
        <v>174</v>
      </c>
      <c r="B859" s="16"/>
      <c r="I859" s="16"/>
    </row>
    <row r="860">
      <c r="A860" s="28" t="s">
        <v>174</v>
      </c>
      <c r="B860" s="16"/>
      <c r="I860" s="16"/>
    </row>
    <row r="861">
      <c r="A861" s="28" t="s">
        <v>174</v>
      </c>
      <c r="B861" s="16"/>
      <c r="I861" s="16"/>
    </row>
    <row r="862">
      <c r="A862" s="28" t="s">
        <v>174</v>
      </c>
      <c r="B862" s="16"/>
      <c r="I862" s="16"/>
    </row>
    <row r="863">
      <c r="A863" s="28" t="s">
        <v>174</v>
      </c>
      <c r="B863" s="16"/>
      <c r="I863" s="16"/>
    </row>
    <row r="864">
      <c r="A864" s="28" t="s">
        <v>174</v>
      </c>
      <c r="B864" s="16"/>
      <c r="I864" s="16"/>
    </row>
    <row r="865">
      <c r="A865" s="28" t="s">
        <v>174</v>
      </c>
      <c r="B865" s="16"/>
      <c r="I865" s="16"/>
    </row>
    <row r="866">
      <c r="A866" s="28" t="s">
        <v>174</v>
      </c>
      <c r="B866" s="16"/>
      <c r="I866" s="16"/>
    </row>
    <row r="867">
      <c r="A867" s="28" t="s">
        <v>174</v>
      </c>
      <c r="B867" s="16"/>
      <c r="I867" s="16"/>
    </row>
    <row r="868">
      <c r="A868" s="28" t="s">
        <v>174</v>
      </c>
      <c r="B868" s="16"/>
      <c r="I868" s="16"/>
    </row>
    <row r="869">
      <c r="A869" s="28" t="s">
        <v>174</v>
      </c>
      <c r="B869" s="16"/>
      <c r="I869" s="16"/>
    </row>
    <row r="870">
      <c r="A870" s="28" t="s">
        <v>174</v>
      </c>
      <c r="B870" s="16"/>
      <c r="I870" s="16"/>
    </row>
    <row r="871">
      <c r="A871" s="28" t="s">
        <v>174</v>
      </c>
      <c r="B871" s="16"/>
      <c r="I871" s="16"/>
    </row>
    <row r="872">
      <c r="A872" s="28" t="s">
        <v>174</v>
      </c>
      <c r="B872" s="16"/>
      <c r="I872" s="16"/>
    </row>
    <row r="873">
      <c r="A873" s="28" t="s">
        <v>174</v>
      </c>
      <c r="B873" s="16"/>
      <c r="I873" s="16"/>
    </row>
    <row r="874">
      <c r="A874" s="28" t="s">
        <v>174</v>
      </c>
      <c r="B874" s="16"/>
      <c r="I874" s="16"/>
    </row>
    <row r="875">
      <c r="A875" s="28" t="s">
        <v>174</v>
      </c>
      <c r="B875" s="16"/>
      <c r="I875" s="16"/>
    </row>
    <row r="876">
      <c r="A876" s="28" t="s">
        <v>174</v>
      </c>
      <c r="B876" s="16"/>
      <c r="I876" s="16"/>
    </row>
    <row r="877">
      <c r="A877" s="28" t="s">
        <v>174</v>
      </c>
      <c r="B877" s="16"/>
      <c r="I877" s="16"/>
    </row>
    <row r="878">
      <c r="A878" s="28" t="s">
        <v>174</v>
      </c>
      <c r="B878" s="16"/>
      <c r="I878" s="16"/>
    </row>
    <row r="879">
      <c r="A879" s="28" t="s">
        <v>174</v>
      </c>
      <c r="B879" s="16"/>
      <c r="I879" s="16"/>
    </row>
    <row r="880">
      <c r="A880" s="28" t="s">
        <v>174</v>
      </c>
      <c r="B880" s="16"/>
      <c r="I880" s="16"/>
    </row>
    <row r="881">
      <c r="A881" s="28" t="s">
        <v>174</v>
      </c>
      <c r="B881" s="16"/>
      <c r="I881" s="16"/>
    </row>
    <row r="882">
      <c r="A882" s="28" t="s">
        <v>174</v>
      </c>
      <c r="B882" s="16"/>
      <c r="I882" s="16"/>
    </row>
    <row r="883">
      <c r="A883" s="28" t="s">
        <v>174</v>
      </c>
      <c r="B883" s="16"/>
      <c r="I883" s="16"/>
    </row>
    <row r="884">
      <c r="A884" s="28" t="s">
        <v>174</v>
      </c>
      <c r="B884" s="16"/>
      <c r="I884" s="16"/>
    </row>
    <row r="885">
      <c r="A885" s="28" t="s">
        <v>174</v>
      </c>
      <c r="B885" s="16"/>
      <c r="I885" s="16"/>
    </row>
    <row r="886">
      <c r="A886" s="28" t="s">
        <v>174</v>
      </c>
      <c r="B886" s="16"/>
      <c r="I886" s="16"/>
    </row>
    <row r="887">
      <c r="A887" s="28" t="s">
        <v>174</v>
      </c>
      <c r="B887" s="16"/>
      <c r="I887" s="16"/>
    </row>
    <row r="888">
      <c r="A888" s="28" t="s">
        <v>174</v>
      </c>
      <c r="B888" s="16"/>
      <c r="I888" s="16"/>
    </row>
    <row r="889">
      <c r="A889" s="28" t="s">
        <v>174</v>
      </c>
      <c r="B889" s="16"/>
      <c r="I889" s="16"/>
    </row>
    <row r="890">
      <c r="A890" s="28" t="s">
        <v>174</v>
      </c>
      <c r="B890" s="16"/>
      <c r="I890" s="16"/>
    </row>
    <row r="891">
      <c r="A891" s="28" t="s">
        <v>174</v>
      </c>
      <c r="B891" s="16"/>
      <c r="I891" s="16"/>
    </row>
    <row r="892">
      <c r="A892" s="28" t="s">
        <v>174</v>
      </c>
      <c r="B892" s="16"/>
      <c r="I892" s="16"/>
    </row>
    <row r="893">
      <c r="A893" s="28" t="s">
        <v>174</v>
      </c>
      <c r="B893" s="16"/>
      <c r="I893" s="16"/>
    </row>
    <row r="894">
      <c r="A894" s="28" t="s">
        <v>174</v>
      </c>
      <c r="B894" s="16"/>
      <c r="I894" s="16"/>
    </row>
    <row r="895">
      <c r="A895" s="28" t="s">
        <v>174</v>
      </c>
      <c r="B895" s="16"/>
      <c r="I895" s="16"/>
    </row>
    <row r="896">
      <c r="A896" s="28" t="s">
        <v>174</v>
      </c>
      <c r="B896" s="16"/>
      <c r="I896" s="16"/>
    </row>
    <row r="897">
      <c r="A897" s="28" t="s">
        <v>174</v>
      </c>
      <c r="B897" s="16"/>
      <c r="I897" s="16"/>
    </row>
    <row r="898">
      <c r="A898" s="28" t="s">
        <v>174</v>
      </c>
      <c r="B898" s="16"/>
      <c r="I898" s="16"/>
    </row>
    <row r="899">
      <c r="A899" s="28" t="s">
        <v>174</v>
      </c>
      <c r="B899" s="16"/>
      <c r="I899" s="16"/>
    </row>
    <row r="900">
      <c r="A900" s="28" t="s">
        <v>174</v>
      </c>
      <c r="B900" s="16"/>
      <c r="I900" s="16"/>
    </row>
    <row r="901">
      <c r="A901" s="28" t="s">
        <v>174</v>
      </c>
      <c r="B901" s="16"/>
      <c r="I901" s="16"/>
    </row>
    <row r="902">
      <c r="A902" s="28" t="s">
        <v>174</v>
      </c>
      <c r="B902" s="16"/>
      <c r="I902" s="16"/>
    </row>
    <row r="903">
      <c r="A903" s="28" t="s">
        <v>174</v>
      </c>
      <c r="B903" s="16"/>
      <c r="I903" s="16"/>
    </row>
    <row r="904">
      <c r="A904" s="28" t="s">
        <v>174</v>
      </c>
      <c r="B904" s="16"/>
      <c r="I904" s="16"/>
    </row>
    <row r="905">
      <c r="A905" s="28" t="s">
        <v>174</v>
      </c>
      <c r="B905" s="16"/>
      <c r="I905" s="16"/>
    </row>
    <row r="906">
      <c r="A906" s="28" t="s">
        <v>174</v>
      </c>
      <c r="B906" s="16"/>
      <c r="I906" s="16"/>
    </row>
    <row r="907">
      <c r="A907" s="28" t="s">
        <v>174</v>
      </c>
      <c r="B907" s="16"/>
      <c r="I907" s="16"/>
    </row>
    <row r="908">
      <c r="A908" s="28" t="s">
        <v>174</v>
      </c>
      <c r="B908" s="16"/>
      <c r="I908" s="16"/>
    </row>
    <row r="909">
      <c r="A909" s="28" t="s">
        <v>174</v>
      </c>
      <c r="B909" s="16"/>
      <c r="I909" s="16"/>
    </row>
    <row r="910">
      <c r="A910" s="28" t="s">
        <v>174</v>
      </c>
      <c r="B910" s="16"/>
      <c r="I910" s="16"/>
    </row>
    <row r="911">
      <c r="A911" s="28" t="s">
        <v>174</v>
      </c>
      <c r="B911" s="16"/>
      <c r="I911" s="16"/>
    </row>
    <row r="912">
      <c r="A912" s="28" t="s">
        <v>174</v>
      </c>
      <c r="B912" s="16"/>
      <c r="I912" s="16"/>
    </row>
    <row r="913">
      <c r="A913" s="28" t="s">
        <v>174</v>
      </c>
      <c r="B913" s="16"/>
      <c r="I913" s="16"/>
    </row>
    <row r="914">
      <c r="A914" s="28" t="s">
        <v>174</v>
      </c>
      <c r="B914" s="16"/>
      <c r="I914" s="16"/>
    </row>
    <row r="915">
      <c r="A915" s="28" t="s">
        <v>174</v>
      </c>
      <c r="B915" s="16"/>
      <c r="I915" s="16"/>
    </row>
    <row r="916">
      <c r="A916" s="28" t="s">
        <v>174</v>
      </c>
      <c r="B916" s="16"/>
      <c r="I916" s="16"/>
    </row>
    <row r="917">
      <c r="A917" s="28" t="s">
        <v>174</v>
      </c>
      <c r="B917" s="16"/>
      <c r="I917" s="16"/>
    </row>
    <row r="918">
      <c r="A918" s="28" t="s">
        <v>174</v>
      </c>
      <c r="B918" s="16"/>
      <c r="I918" s="16"/>
    </row>
    <row r="919">
      <c r="A919" s="28" t="s">
        <v>174</v>
      </c>
      <c r="B919" s="16"/>
      <c r="I919" s="16"/>
    </row>
    <row r="920">
      <c r="A920" s="28" t="s">
        <v>174</v>
      </c>
      <c r="B920" s="16"/>
      <c r="I920" s="16"/>
    </row>
    <row r="921">
      <c r="A921" s="28" t="s">
        <v>174</v>
      </c>
      <c r="B921" s="16"/>
      <c r="I921" s="16"/>
    </row>
    <row r="922">
      <c r="A922" s="28" t="s">
        <v>174</v>
      </c>
      <c r="B922" s="16"/>
      <c r="I922" s="16"/>
    </row>
    <row r="923">
      <c r="A923" s="28" t="s">
        <v>174</v>
      </c>
      <c r="B923" s="16"/>
      <c r="I923" s="16"/>
    </row>
    <row r="924">
      <c r="A924" s="28" t="s">
        <v>174</v>
      </c>
      <c r="B924" s="16"/>
      <c r="I924" s="16"/>
    </row>
    <row r="925">
      <c r="A925" s="28" t="s">
        <v>174</v>
      </c>
      <c r="B925" s="16"/>
      <c r="I925" s="16"/>
    </row>
    <row r="926">
      <c r="A926" s="28" t="s">
        <v>174</v>
      </c>
      <c r="B926" s="16"/>
      <c r="I926" s="16"/>
    </row>
    <row r="927">
      <c r="A927" s="28" t="s">
        <v>174</v>
      </c>
      <c r="B927" s="16"/>
      <c r="I927" s="16"/>
    </row>
    <row r="928">
      <c r="A928" s="28" t="s">
        <v>174</v>
      </c>
      <c r="B928" s="16"/>
      <c r="I928" s="16"/>
    </row>
    <row r="929">
      <c r="A929" s="28" t="s">
        <v>174</v>
      </c>
      <c r="B929" s="16"/>
      <c r="I929" s="16"/>
    </row>
    <row r="930">
      <c r="A930" s="28" t="s">
        <v>174</v>
      </c>
      <c r="B930" s="16"/>
      <c r="I930" s="16"/>
    </row>
    <row r="931">
      <c r="A931" s="28" t="s">
        <v>174</v>
      </c>
      <c r="B931" s="16"/>
      <c r="I931" s="16"/>
    </row>
    <row r="932">
      <c r="A932" s="28" t="s">
        <v>174</v>
      </c>
      <c r="B932" s="16"/>
      <c r="I932" s="16"/>
    </row>
    <row r="933">
      <c r="A933" s="28" t="s">
        <v>174</v>
      </c>
      <c r="B933" s="16"/>
      <c r="I933" s="16"/>
    </row>
    <row r="934">
      <c r="A934" s="28" t="s">
        <v>174</v>
      </c>
      <c r="B934" s="16"/>
      <c r="I934" s="16"/>
    </row>
    <row r="935">
      <c r="A935" s="28" t="s">
        <v>174</v>
      </c>
      <c r="B935" s="16"/>
      <c r="I935" s="16"/>
    </row>
    <row r="936">
      <c r="A936" s="28" t="s">
        <v>174</v>
      </c>
      <c r="B936" s="16"/>
      <c r="I936" s="16"/>
    </row>
    <row r="937">
      <c r="A937" s="28" t="s">
        <v>174</v>
      </c>
      <c r="B937" s="16"/>
      <c r="I937" s="16"/>
    </row>
    <row r="938">
      <c r="A938" s="28" t="s">
        <v>174</v>
      </c>
      <c r="B938" s="16"/>
      <c r="I938" s="16"/>
    </row>
    <row r="939">
      <c r="A939" s="28" t="s">
        <v>174</v>
      </c>
      <c r="B939" s="16"/>
      <c r="I939" s="16"/>
    </row>
    <row r="940">
      <c r="A940" s="28" t="s">
        <v>174</v>
      </c>
      <c r="B940" s="16"/>
      <c r="I940" s="16"/>
    </row>
    <row r="941">
      <c r="A941" s="28" t="s">
        <v>174</v>
      </c>
      <c r="B941" s="16"/>
      <c r="I941" s="16"/>
    </row>
    <row r="942">
      <c r="A942" s="28" t="s">
        <v>174</v>
      </c>
      <c r="B942" s="16"/>
      <c r="I942" s="16"/>
    </row>
    <row r="943">
      <c r="A943" s="28" t="s">
        <v>174</v>
      </c>
      <c r="B943" s="16"/>
      <c r="I943" s="16"/>
    </row>
    <row r="944">
      <c r="A944" s="28" t="s">
        <v>174</v>
      </c>
      <c r="B944" s="16"/>
      <c r="I944" s="16"/>
    </row>
    <row r="945">
      <c r="A945" s="28" t="s">
        <v>174</v>
      </c>
      <c r="B945" s="16"/>
      <c r="I945" s="16"/>
    </row>
    <row r="946">
      <c r="A946" s="28" t="s">
        <v>174</v>
      </c>
      <c r="B946" s="16"/>
      <c r="I946" s="16"/>
    </row>
    <row r="947">
      <c r="A947" s="28" t="s">
        <v>174</v>
      </c>
      <c r="B947" s="16"/>
      <c r="I947" s="16"/>
    </row>
    <row r="948">
      <c r="A948" s="28" t="s">
        <v>174</v>
      </c>
      <c r="B948" s="16"/>
      <c r="I948" s="16"/>
    </row>
    <row r="949">
      <c r="A949" s="28" t="s">
        <v>174</v>
      </c>
      <c r="B949" s="16"/>
      <c r="I949" s="16"/>
    </row>
    <row r="950">
      <c r="A950" s="28" t="s">
        <v>174</v>
      </c>
      <c r="B950" s="16"/>
      <c r="I950" s="16"/>
    </row>
    <row r="951">
      <c r="A951" s="28" t="s">
        <v>174</v>
      </c>
      <c r="B951" s="16"/>
      <c r="I951" s="16"/>
    </row>
    <row r="952">
      <c r="A952" s="28" t="s">
        <v>174</v>
      </c>
      <c r="B952" s="16"/>
      <c r="I952" s="16"/>
    </row>
    <row r="953">
      <c r="A953" s="28" t="s">
        <v>174</v>
      </c>
      <c r="B953" s="16"/>
      <c r="I953" s="16"/>
    </row>
    <row r="954">
      <c r="A954" s="28" t="s">
        <v>174</v>
      </c>
      <c r="B954" s="16"/>
      <c r="I954" s="16"/>
    </row>
    <row r="955">
      <c r="A955" s="28" t="s">
        <v>174</v>
      </c>
      <c r="B955" s="16"/>
      <c r="I955" s="16"/>
    </row>
    <row r="956">
      <c r="A956" s="28" t="s">
        <v>174</v>
      </c>
      <c r="B956" s="16"/>
      <c r="I956" s="16"/>
    </row>
    <row r="957">
      <c r="A957" s="28" t="s">
        <v>174</v>
      </c>
      <c r="B957" s="16"/>
      <c r="I957" s="16"/>
    </row>
    <row r="958">
      <c r="A958" s="28" t="s">
        <v>174</v>
      </c>
      <c r="B958" s="16"/>
      <c r="I958" s="16"/>
    </row>
    <row r="959">
      <c r="A959" s="28" t="s">
        <v>174</v>
      </c>
      <c r="B959" s="16"/>
      <c r="I959" s="16"/>
    </row>
    <row r="960">
      <c r="A960" s="28" t="s">
        <v>174</v>
      </c>
      <c r="B960" s="16"/>
      <c r="I960" s="16"/>
    </row>
    <row r="961">
      <c r="A961" s="28" t="s">
        <v>174</v>
      </c>
      <c r="B961" s="16"/>
      <c r="I961" s="16"/>
    </row>
    <row r="962">
      <c r="A962" s="28" t="s">
        <v>174</v>
      </c>
      <c r="B962" s="16"/>
      <c r="I962" s="16"/>
    </row>
    <row r="963">
      <c r="A963" s="28" t="s">
        <v>174</v>
      </c>
      <c r="B963" s="16"/>
      <c r="I963" s="16"/>
    </row>
    <row r="964">
      <c r="A964" s="28" t="s">
        <v>174</v>
      </c>
      <c r="B964" s="16"/>
      <c r="I964" s="16"/>
    </row>
    <row r="965">
      <c r="A965" s="28" t="s">
        <v>174</v>
      </c>
      <c r="B965" s="16"/>
      <c r="I965" s="16"/>
    </row>
    <row r="966">
      <c r="A966" s="28" t="s">
        <v>174</v>
      </c>
      <c r="B966" s="16"/>
      <c r="I966" s="16"/>
    </row>
    <row r="967">
      <c r="A967" s="28" t="s">
        <v>174</v>
      </c>
      <c r="B967" s="16"/>
      <c r="I967" s="16"/>
    </row>
    <row r="968">
      <c r="A968" s="28" t="s">
        <v>174</v>
      </c>
      <c r="B968" s="16"/>
      <c r="I968" s="16"/>
    </row>
    <row r="969">
      <c r="A969" s="28" t="s">
        <v>174</v>
      </c>
      <c r="B969" s="16"/>
      <c r="I969" s="16"/>
    </row>
    <row r="970">
      <c r="A970" s="28" t="s">
        <v>174</v>
      </c>
      <c r="B970" s="16"/>
      <c r="I970" s="16"/>
    </row>
    <row r="971">
      <c r="A971" s="28" t="s">
        <v>174</v>
      </c>
      <c r="B971" s="16"/>
      <c r="I971" s="16"/>
    </row>
    <row r="972">
      <c r="A972" s="28" t="s">
        <v>174</v>
      </c>
      <c r="B972" s="16"/>
      <c r="I972" s="16"/>
    </row>
    <row r="973">
      <c r="A973" s="28" t="s">
        <v>174</v>
      </c>
      <c r="B973" s="16"/>
      <c r="I973" s="16"/>
    </row>
    <row r="974">
      <c r="A974" s="28" t="s">
        <v>174</v>
      </c>
      <c r="B974" s="16"/>
      <c r="I974" s="16"/>
    </row>
    <row r="975">
      <c r="A975" s="28" t="s">
        <v>174</v>
      </c>
      <c r="B975" s="16"/>
      <c r="I975" s="16"/>
    </row>
    <row r="976">
      <c r="A976" s="28" t="s">
        <v>174</v>
      </c>
      <c r="B976" s="16"/>
      <c r="I976" s="16"/>
    </row>
    <row r="977">
      <c r="A977" s="28" t="s">
        <v>174</v>
      </c>
      <c r="B977" s="16"/>
      <c r="I977" s="16"/>
    </row>
    <row r="978">
      <c r="A978" s="28" t="s">
        <v>174</v>
      </c>
      <c r="B978" s="16"/>
      <c r="I978" s="16"/>
    </row>
    <row r="979">
      <c r="A979" s="28" t="s">
        <v>174</v>
      </c>
      <c r="B979" s="16"/>
      <c r="I979" s="16"/>
    </row>
    <row r="980">
      <c r="A980" s="28" t="s">
        <v>174</v>
      </c>
      <c r="B980" s="16"/>
      <c r="I980" s="16"/>
    </row>
    <row r="981">
      <c r="A981" s="28" t="s">
        <v>174</v>
      </c>
      <c r="B981" s="16"/>
      <c r="I981" s="16"/>
    </row>
    <row r="982">
      <c r="A982" s="28" t="s">
        <v>174</v>
      </c>
      <c r="B982" s="16"/>
      <c r="I982" s="16"/>
    </row>
    <row r="983">
      <c r="A983" s="28" t="s">
        <v>174</v>
      </c>
      <c r="B983" s="16"/>
      <c r="I983" s="16"/>
    </row>
    <row r="984">
      <c r="A984" s="28" t="s">
        <v>174</v>
      </c>
      <c r="B984" s="16"/>
      <c r="I984" s="16"/>
    </row>
    <row r="985">
      <c r="A985" s="28" t="s">
        <v>174</v>
      </c>
      <c r="B985" s="16"/>
      <c r="I985" s="16"/>
    </row>
    <row r="986">
      <c r="A986" s="28" t="s">
        <v>174</v>
      </c>
      <c r="B986" s="16"/>
      <c r="I986" s="16"/>
    </row>
    <row r="987">
      <c r="A987" s="28" t="s">
        <v>174</v>
      </c>
      <c r="B987" s="16"/>
      <c r="I987" s="16"/>
    </row>
    <row r="988">
      <c r="A988" s="28" t="s">
        <v>174</v>
      </c>
      <c r="B988" s="16"/>
      <c r="I988" s="16"/>
    </row>
    <row r="989">
      <c r="A989" s="28" t="s">
        <v>174</v>
      </c>
      <c r="B989" s="16"/>
      <c r="I989" s="16"/>
    </row>
    <row r="990">
      <c r="A990" s="28" t="s">
        <v>174</v>
      </c>
      <c r="B990" s="16"/>
      <c r="I990" s="16"/>
    </row>
    <row r="991">
      <c r="A991" s="28" t="s">
        <v>174</v>
      </c>
      <c r="B991" s="16"/>
      <c r="I991" s="16"/>
    </row>
    <row r="992">
      <c r="A992" s="28" t="s">
        <v>174</v>
      </c>
      <c r="B992" s="16"/>
      <c r="I992" s="16"/>
    </row>
    <row r="993">
      <c r="A993" s="28" t="s">
        <v>174</v>
      </c>
      <c r="B993" s="16"/>
      <c r="I993" s="16"/>
    </row>
    <row r="994">
      <c r="A994" s="28" t="s">
        <v>174</v>
      </c>
      <c r="B994" s="16"/>
      <c r="I994" s="16"/>
    </row>
    <row r="995">
      <c r="A995" s="28" t="s">
        <v>174</v>
      </c>
      <c r="B995" s="16"/>
      <c r="I995" s="16"/>
    </row>
    <row r="996">
      <c r="A996" s="28" t="s">
        <v>174</v>
      </c>
      <c r="B996" s="16"/>
      <c r="I996" s="16"/>
    </row>
    <row r="997">
      <c r="A997" s="28" t="s">
        <v>174</v>
      </c>
      <c r="B997" s="16"/>
      <c r="I997" s="16"/>
    </row>
    <row r="998">
      <c r="A998" s="28" t="s">
        <v>174</v>
      </c>
      <c r="B998" s="16"/>
      <c r="I998" s="16"/>
    </row>
    <row r="999">
      <c r="A999" s="28" t="s">
        <v>174</v>
      </c>
      <c r="B999" s="16"/>
      <c r="I999" s="16"/>
    </row>
    <row r="1000">
      <c r="A1000" s="28" t="s">
        <v>174</v>
      </c>
      <c r="B1000" s="16"/>
      <c r="I1000" s="16"/>
    </row>
  </sheetData>
  <dataValidations>
    <dataValidation type="list" allowBlank="1" showErrorMessage="1" sqref="I2:I1000">
      <formula1>"NDA,MSA,SOW,Purchase Order,Service Agreement"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0" t="s">
        <v>2494</v>
      </c>
      <c r="B1" s="7" t="s">
        <v>2496</v>
      </c>
      <c r="C1" s="7" t="s">
        <v>8</v>
      </c>
      <c r="D1" s="7" t="s">
        <v>2269</v>
      </c>
      <c r="E1" s="7" t="s">
        <v>2270</v>
      </c>
      <c r="F1" s="7" t="s">
        <v>2497</v>
      </c>
      <c r="G1" s="7" t="s">
        <v>2498</v>
      </c>
      <c r="H1" s="7" t="s">
        <v>15</v>
      </c>
      <c r="I1" s="7" t="s">
        <v>2499</v>
      </c>
      <c r="J1" s="7" t="s">
        <v>1707</v>
      </c>
      <c r="K1" s="57"/>
      <c r="L1" s="57"/>
      <c r="M1" s="57"/>
      <c r="N1" s="57"/>
      <c r="O1" s="57"/>
      <c r="P1" s="57"/>
      <c r="Q1" s="57"/>
      <c r="R1" s="57"/>
      <c r="S1" s="57"/>
      <c r="T1" s="57"/>
      <c r="U1" s="57"/>
      <c r="V1" s="57"/>
      <c r="W1" s="57"/>
      <c r="X1" s="57"/>
      <c r="Y1" s="57"/>
      <c r="Z1" s="57"/>
      <c r="AA1" s="57"/>
      <c r="AB1" s="57"/>
    </row>
    <row r="2">
      <c r="A2" s="14">
        <f t="array" ref="A2:A1000">IF(C2:C1000&lt;&gt;"",IF(A2:A1000="",TODAY(),A2:A1000),"")</f>
        <v>0</v>
      </c>
      <c r="B2" s="19" t="str">
        <f t="array" ref="B2:B1000">IF(C2:C1000&lt;&gt;"","OB-"&amp;TEXT(ROW(C2:C1000)-1,"000"),)</f>
        <v>OB-001</v>
      </c>
      <c r="C2" s="19" t="s">
        <v>2291</v>
      </c>
      <c r="D2" s="19" t="s">
        <v>2510</v>
      </c>
      <c r="E2" s="55">
        <v>45323.0</v>
      </c>
      <c r="F2" s="55">
        <v>45327.0</v>
      </c>
      <c r="G2" s="19" t="s">
        <v>2511</v>
      </c>
      <c r="H2" s="19" t="s">
        <v>2512</v>
      </c>
      <c r="I2" s="19" t="s">
        <v>2296</v>
      </c>
      <c r="J2" s="19"/>
    </row>
    <row r="3">
      <c r="A3" s="14">
        <v>46232.0</v>
      </c>
      <c r="B3" s="16" t="s">
        <v>2513</v>
      </c>
      <c r="C3" s="19" t="s">
        <v>2301</v>
      </c>
      <c r="D3" s="19" t="s">
        <v>2514</v>
      </c>
      <c r="E3" s="55">
        <v>45383.0</v>
      </c>
      <c r="F3" s="55">
        <v>45387.0</v>
      </c>
      <c r="G3" s="19" t="s">
        <v>2515</v>
      </c>
      <c r="H3" s="19" t="s">
        <v>2512</v>
      </c>
      <c r="I3" s="19" t="s">
        <v>2302</v>
      </c>
      <c r="J3" s="19"/>
    </row>
    <row r="4">
      <c r="A4" s="14">
        <v>46232.0</v>
      </c>
      <c r="B4" s="16" t="s">
        <v>2516</v>
      </c>
      <c r="C4" s="19" t="s">
        <v>2304</v>
      </c>
      <c r="D4" s="19" t="s">
        <v>2517</v>
      </c>
      <c r="E4" s="55">
        <v>45444.0</v>
      </c>
      <c r="F4" s="55">
        <v>45448.0</v>
      </c>
      <c r="G4" s="19" t="s">
        <v>2518</v>
      </c>
      <c r="H4" s="19" t="s">
        <v>2518</v>
      </c>
      <c r="I4" s="19" t="s">
        <v>2307</v>
      </c>
      <c r="J4" s="19"/>
    </row>
    <row r="5">
      <c r="A5" s="28" t="s">
        <v>174</v>
      </c>
      <c r="B5" s="16"/>
      <c r="G5" s="16"/>
      <c r="H5" s="16"/>
    </row>
    <row r="6">
      <c r="A6" s="28" t="s">
        <v>174</v>
      </c>
      <c r="B6" s="16"/>
      <c r="G6" s="16"/>
      <c r="H6" s="16"/>
    </row>
    <row r="7">
      <c r="A7" s="28" t="s">
        <v>174</v>
      </c>
      <c r="B7" s="16"/>
      <c r="G7" s="16"/>
      <c r="H7" s="16"/>
    </row>
    <row r="8">
      <c r="A8" s="28" t="s">
        <v>174</v>
      </c>
      <c r="B8" s="16"/>
      <c r="G8" s="16"/>
      <c r="H8" s="16"/>
    </row>
    <row r="9">
      <c r="A9" s="28" t="s">
        <v>174</v>
      </c>
      <c r="B9" s="16"/>
      <c r="G9" s="16"/>
      <c r="H9" s="16"/>
    </row>
    <row r="10">
      <c r="A10" s="28" t="s">
        <v>174</v>
      </c>
      <c r="B10" s="16"/>
      <c r="G10" s="16"/>
      <c r="H10" s="16"/>
    </row>
    <row r="11">
      <c r="A11" s="28" t="s">
        <v>174</v>
      </c>
      <c r="B11" s="16"/>
      <c r="G11" s="16"/>
      <c r="H11" s="16"/>
    </row>
    <row r="12">
      <c r="A12" s="28" t="s">
        <v>174</v>
      </c>
      <c r="B12" s="16"/>
      <c r="G12" s="16"/>
      <c r="H12" s="16"/>
    </row>
    <row r="13">
      <c r="A13" s="28" t="s">
        <v>174</v>
      </c>
      <c r="B13" s="16"/>
      <c r="G13" s="16"/>
      <c r="H13" s="16"/>
    </row>
    <row r="14">
      <c r="A14" s="28" t="s">
        <v>174</v>
      </c>
      <c r="B14" s="16"/>
      <c r="G14" s="16"/>
      <c r="H14" s="16"/>
    </row>
    <row r="15">
      <c r="A15" s="28" t="s">
        <v>174</v>
      </c>
      <c r="B15" s="16"/>
      <c r="G15" s="16"/>
      <c r="H15" s="16"/>
    </row>
    <row r="16">
      <c r="A16" s="28" t="s">
        <v>174</v>
      </c>
      <c r="B16" s="16"/>
      <c r="G16" s="16"/>
      <c r="H16" s="16"/>
    </row>
    <row r="17">
      <c r="A17" s="28" t="s">
        <v>174</v>
      </c>
      <c r="B17" s="16"/>
      <c r="G17" s="16"/>
      <c r="H17" s="16"/>
    </row>
    <row r="18">
      <c r="A18" s="28" t="s">
        <v>174</v>
      </c>
      <c r="B18" s="16"/>
      <c r="G18" s="16"/>
      <c r="H18" s="16"/>
    </row>
    <row r="19">
      <c r="A19" s="28" t="s">
        <v>174</v>
      </c>
      <c r="B19" s="16"/>
      <c r="G19" s="16"/>
      <c r="H19" s="16"/>
    </row>
    <row r="20">
      <c r="A20" s="28" t="s">
        <v>174</v>
      </c>
      <c r="B20" s="16"/>
      <c r="G20" s="16"/>
      <c r="H20" s="16"/>
    </row>
    <row r="21">
      <c r="A21" s="28" t="s">
        <v>174</v>
      </c>
      <c r="B21" s="16"/>
      <c r="G21" s="16"/>
      <c r="H21" s="16"/>
    </row>
    <row r="22">
      <c r="A22" s="28" t="s">
        <v>174</v>
      </c>
      <c r="B22" s="16"/>
      <c r="G22" s="16"/>
      <c r="H22" s="16"/>
    </row>
    <row r="23">
      <c r="A23" s="28" t="s">
        <v>174</v>
      </c>
      <c r="B23" s="16"/>
      <c r="G23" s="16"/>
      <c r="H23" s="16"/>
    </row>
    <row r="24">
      <c r="A24" s="28" t="s">
        <v>174</v>
      </c>
      <c r="B24" s="16"/>
      <c r="G24" s="16"/>
      <c r="H24" s="16"/>
    </row>
    <row r="25">
      <c r="A25" s="28" t="s">
        <v>174</v>
      </c>
      <c r="B25" s="16"/>
      <c r="G25" s="16"/>
      <c r="H25" s="16"/>
    </row>
    <row r="26">
      <c r="A26" s="28" t="s">
        <v>174</v>
      </c>
      <c r="B26" s="16"/>
      <c r="G26" s="16"/>
      <c r="H26" s="16"/>
    </row>
    <row r="27">
      <c r="A27" s="28" t="s">
        <v>174</v>
      </c>
      <c r="B27" s="16"/>
      <c r="G27" s="16"/>
      <c r="H27" s="16"/>
    </row>
    <row r="28">
      <c r="A28" s="28" t="s">
        <v>174</v>
      </c>
      <c r="B28" s="16"/>
      <c r="G28" s="16"/>
      <c r="H28" s="16"/>
    </row>
    <row r="29">
      <c r="A29" s="28" t="s">
        <v>174</v>
      </c>
      <c r="B29" s="16"/>
      <c r="G29" s="16"/>
      <c r="H29" s="16"/>
    </row>
    <row r="30">
      <c r="A30" s="28" t="s">
        <v>174</v>
      </c>
      <c r="B30" s="16"/>
      <c r="G30" s="16"/>
      <c r="H30" s="16"/>
    </row>
    <row r="31">
      <c r="A31" s="28" t="s">
        <v>174</v>
      </c>
      <c r="B31" s="16"/>
      <c r="G31" s="16"/>
      <c r="H31" s="16"/>
    </row>
    <row r="32">
      <c r="A32" s="28" t="s">
        <v>174</v>
      </c>
      <c r="B32" s="16"/>
      <c r="G32" s="16"/>
      <c r="H32" s="16"/>
    </row>
    <row r="33">
      <c r="A33" s="28" t="s">
        <v>174</v>
      </c>
      <c r="B33" s="16"/>
      <c r="G33" s="16"/>
      <c r="H33" s="16"/>
    </row>
    <row r="34">
      <c r="A34" s="28" t="s">
        <v>174</v>
      </c>
      <c r="B34" s="16"/>
      <c r="G34" s="16"/>
      <c r="H34" s="16"/>
    </row>
    <row r="35">
      <c r="A35" s="28" t="s">
        <v>174</v>
      </c>
      <c r="B35" s="16"/>
      <c r="G35" s="16"/>
      <c r="H35" s="16"/>
    </row>
    <row r="36">
      <c r="A36" s="28" t="s">
        <v>174</v>
      </c>
      <c r="B36" s="16"/>
      <c r="G36" s="16"/>
      <c r="H36" s="16"/>
    </row>
    <row r="37">
      <c r="A37" s="28" t="s">
        <v>174</v>
      </c>
      <c r="B37" s="16"/>
      <c r="G37" s="16"/>
      <c r="H37" s="16"/>
    </row>
    <row r="38">
      <c r="A38" s="28" t="s">
        <v>174</v>
      </c>
      <c r="B38" s="16"/>
      <c r="G38" s="16"/>
      <c r="H38" s="16"/>
    </row>
    <row r="39">
      <c r="A39" s="28" t="s">
        <v>174</v>
      </c>
      <c r="B39" s="16"/>
      <c r="G39" s="16"/>
      <c r="H39" s="16"/>
    </row>
    <row r="40">
      <c r="A40" s="28" t="s">
        <v>174</v>
      </c>
      <c r="B40" s="16"/>
      <c r="G40" s="16"/>
      <c r="H40" s="16"/>
    </row>
    <row r="41">
      <c r="A41" s="28" t="s">
        <v>174</v>
      </c>
      <c r="B41" s="16"/>
      <c r="G41" s="16"/>
      <c r="H41" s="16"/>
    </row>
    <row r="42">
      <c r="A42" s="28" t="s">
        <v>174</v>
      </c>
      <c r="B42" s="16"/>
      <c r="G42" s="16"/>
      <c r="H42" s="16"/>
    </row>
    <row r="43">
      <c r="A43" s="28" t="s">
        <v>174</v>
      </c>
      <c r="B43" s="16"/>
      <c r="G43" s="16"/>
      <c r="H43" s="16"/>
    </row>
    <row r="44">
      <c r="A44" s="28" t="s">
        <v>174</v>
      </c>
      <c r="B44" s="16"/>
      <c r="G44" s="16"/>
      <c r="H44" s="16"/>
    </row>
    <row r="45">
      <c r="A45" s="28" t="s">
        <v>174</v>
      </c>
      <c r="B45" s="16"/>
      <c r="G45" s="16"/>
      <c r="H45" s="16"/>
    </row>
    <row r="46">
      <c r="A46" s="28" t="s">
        <v>174</v>
      </c>
      <c r="B46" s="16"/>
      <c r="G46" s="16"/>
      <c r="H46" s="16"/>
    </row>
    <row r="47">
      <c r="A47" s="28" t="s">
        <v>174</v>
      </c>
      <c r="B47" s="16"/>
      <c r="G47" s="16"/>
      <c r="H47" s="16"/>
    </row>
    <row r="48">
      <c r="A48" s="28" t="s">
        <v>174</v>
      </c>
      <c r="B48" s="16"/>
      <c r="G48" s="16"/>
      <c r="H48" s="16"/>
    </row>
    <row r="49">
      <c r="A49" s="28" t="s">
        <v>174</v>
      </c>
      <c r="B49" s="16"/>
      <c r="G49" s="16"/>
      <c r="H49" s="16"/>
    </row>
    <row r="50">
      <c r="A50" s="28" t="s">
        <v>174</v>
      </c>
      <c r="B50" s="16"/>
      <c r="G50" s="16"/>
      <c r="H50" s="16"/>
    </row>
    <row r="51">
      <c r="A51" s="28" t="s">
        <v>174</v>
      </c>
      <c r="B51" s="16"/>
      <c r="G51" s="16"/>
      <c r="H51" s="16"/>
    </row>
    <row r="52">
      <c r="A52" s="28" t="s">
        <v>174</v>
      </c>
      <c r="B52" s="16"/>
      <c r="G52" s="16"/>
      <c r="H52" s="16"/>
    </row>
    <row r="53">
      <c r="A53" s="28" t="s">
        <v>174</v>
      </c>
      <c r="B53" s="16"/>
      <c r="G53" s="16"/>
      <c r="H53" s="16"/>
    </row>
    <row r="54">
      <c r="A54" s="28" t="s">
        <v>174</v>
      </c>
      <c r="B54" s="16"/>
      <c r="G54" s="16"/>
      <c r="H54" s="16"/>
    </row>
    <row r="55">
      <c r="A55" s="28" t="s">
        <v>174</v>
      </c>
      <c r="B55" s="16"/>
      <c r="G55" s="16"/>
      <c r="H55" s="16"/>
    </row>
    <row r="56">
      <c r="A56" s="28" t="s">
        <v>174</v>
      </c>
      <c r="B56" s="16"/>
      <c r="G56" s="16"/>
      <c r="H56" s="16"/>
    </row>
    <row r="57">
      <c r="A57" s="28" t="s">
        <v>174</v>
      </c>
      <c r="B57" s="16"/>
      <c r="G57" s="16"/>
      <c r="H57" s="16"/>
    </row>
    <row r="58">
      <c r="A58" s="28" t="s">
        <v>174</v>
      </c>
      <c r="B58" s="16"/>
      <c r="G58" s="16"/>
      <c r="H58" s="16"/>
    </row>
    <row r="59">
      <c r="A59" s="28" t="s">
        <v>174</v>
      </c>
      <c r="B59" s="16"/>
      <c r="G59" s="16"/>
      <c r="H59" s="16"/>
    </row>
    <row r="60">
      <c r="A60" s="28" t="s">
        <v>174</v>
      </c>
      <c r="B60" s="16"/>
      <c r="G60" s="16"/>
      <c r="H60" s="16"/>
    </row>
    <row r="61">
      <c r="A61" s="28" t="s">
        <v>174</v>
      </c>
      <c r="B61" s="16"/>
      <c r="G61" s="16"/>
      <c r="H61" s="16"/>
    </row>
    <row r="62">
      <c r="A62" s="28" t="s">
        <v>174</v>
      </c>
      <c r="B62" s="16"/>
      <c r="G62" s="16"/>
      <c r="H62" s="16"/>
    </row>
    <row r="63">
      <c r="A63" s="28" t="s">
        <v>174</v>
      </c>
      <c r="B63" s="16"/>
      <c r="G63" s="16"/>
      <c r="H63" s="16"/>
    </row>
    <row r="64">
      <c r="A64" s="28" t="s">
        <v>174</v>
      </c>
      <c r="B64" s="16"/>
      <c r="G64" s="16"/>
      <c r="H64" s="16"/>
    </row>
    <row r="65">
      <c r="A65" s="28" t="s">
        <v>174</v>
      </c>
      <c r="B65" s="16"/>
      <c r="G65" s="16"/>
      <c r="H65" s="16"/>
    </row>
    <row r="66">
      <c r="A66" s="28" t="s">
        <v>174</v>
      </c>
      <c r="B66" s="16"/>
      <c r="G66" s="16"/>
      <c r="H66" s="16"/>
    </row>
    <row r="67">
      <c r="A67" s="28" t="s">
        <v>174</v>
      </c>
      <c r="B67" s="16"/>
      <c r="G67" s="16"/>
      <c r="H67" s="16"/>
    </row>
    <row r="68">
      <c r="A68" s="28" t="s">
        <v>174</v>
      </c>
      <c r="B68" s="16"/>
      <c r="G68" s="16"/>
      <c r="H68" s="16"/>
    </row>
    <row r="69">
      <c r="A69" s="28" t="s">
        <v>174</v>
      </c>
      <c r="B69" s="16"/>
      <c r="G69" s="16"/>
      <c r="H69" s="16"/>
    </row>
    <row r="70">
      <c r="A70" s="28" t="s">
        <v>174</v>
      </c>
      <c r="B70" s="16"/>
      <c r="G70" s="16"/>
      <c r="H70" s="16"/>
    </row>
    <row r="71">
      <c r="A71" s="28" t="s">
        <v>174</v>
      </c>
      <c r="B71" s="16"/>
      <c r="G71" s="16"/>
      <c r="H71" s="16"/>
    </row>
    <row r="72">
      <c r="A72" s="28" t="s">
        <v>174</v>
      </c>
      <c r="B72" s="16"/>
      <c r="G72" s="16"/>
      <c r="H72" s="16"/>
    </row>
    <row r="73">
      <c r="A73" s="28" t="s">
        <v>174</v>
      </c>
      <c r="B73" s="16"/>
      <c r="G73" s="16"/>
      <c r="H73" s="16"/>
    </row>
    <row r="74">
      <c r="A74" s="28" t="s">
        <v>174</v>
      </c>
      <c r="B74" s="16"/>
      <c r="G74" s="16"/>
      <c r="H74" s="16"/>
    </row>
    <row r="75">
      <c r="A75" s="28" t="s">
        <v>174</v>
      </c>
      <c r="B75" s="16"/>
      <c r="G75" s="16"/>
      <c r="H75" s="16"/>
    </row>
    <row r="76">
      <c r="A76" s="28" t="s">
        <v>174</v>
      </c>
      <c r="B76" s="16"/>
      <c r="G76" s="16"/>
      <c r="H76" s="16"/>
    </row>
    <row r="77">
      <c r="A77" s="28" t="s">
        <v>174</v>
      </c>
      <c r="B77" s="16"/>
      <c r="G77" s="16"/>
      <c r="H77" s="16"/>
    </row>
    <row r="78">
      <c r="A78" s="28" t="s">
        <v>174</v>
      </c>
      <c r="B78" s="16"/>
      <c r="G78" s="16"/>
      <c r="H78" s="16"/>
    </row>
    <row r="79">
      <c r="A79" s="28" t="s">
        <v>174</v>
      </c>
      <c r="B79" s="16"/>
      <c r="G79" s="16"/>
      <c r="H79" s="16"/>
    </row>
    <row r="80">
      <c r="A80" s="28" t="s">
        <v>174</v>
      </c>
      <c r="B80" s="16"/>
      <c r="G80" s="16"/>
      <c r="H80" s="16"/>
    </row>
    <row r="81">
      <c r="A81" s="28" t="s">
        <v>174</v>
      </c>
      <c r="B81" s="16"/>
      <c r="G81" s="16"/>
      <c r="H81" s="16"/>
    </row>
    <row r="82">
      <c r="A82" s="28" t="s">
        <v>174</v>
      </c>
      <c r="B82" s="16"/>
      <c r="G82" s="16"/>
      <c r="H82" s="16"/>
    </row>
    <row r="83">
      <c r="A83" s="28" t="s">
        <v>174</v>
      </c>
      <c r="B83" s="16"/>
      <c r="G83" s="16"/>
      <c r="H83" s="16"/>
    </row>
    <row r="84">
      <c r="A84" s="28" t="s">
        <v>174</v>
      </c>
      <c r="B84" s="16"/>
      <c r="G84" s="16"/>
      <c r="H84" s="16"/>
    </row>
    <row r="85">
      <c r="A85" s="28" t="s">
        <v>174</v>
      </c>
      <c r="B85" s="16"/>
      <c r="G85" s="16"/>
      <c r="H85" s="16"/>
    </row>
    <row r="86">
      <c r="A86" s="28" t="s">
        <v>174</v>
      </c>
      <c r="B86" s="16"/>
      <c r="G86" s="16"/>
      <c r="H86" s="16"/>
    </row>
    <row r="87">
      <c r="A87" s="28" t="s">
        <v>174</v>
      </c>
      <c r="B87" s="16"/>
      <c r="G87" s="16"/>
      <c r="H87" s="16"/>
    </row>
    <row r="88">
      <c r="A88" s="28" t="s">
        <v>174</v>
      </c>
      <c r="B88" s="16"/>
      <c r="G88" s="16"/>
      <c r="H88" s="16"/>
    </row>
    <row r="89">
      <c r="A89" s="28" t="s">
        <v>174</v>
      </c>
      <c r="B89" s="16"/>
      <c r="G89" s="16"/>
      <c r="H89" s="16"/>
    </row>
    <row r="90">
      <c r="A90" s="28" t="s">
        <v>174</v>
      </c>
      <c r="B90" s="16"/>
      <c r="G90" s="16"/>
      <c r="H90" s="16"/>
    </row>
    <row r="91">
      <c r="A91" s="28" t="s">
        <v>174</v>
      </c>
      <c r="B91" s="16"/>
      <c r="G91" s="16"/>
      <c r="H91" s="16"/>
    </row>
    <row r="92">
      <c r="A92" s="28" t="s">
        <v>174</v>
      </c>
      <c r="B92" s="16"/>
      <c r="G92" s="16"/>
      <c r="H92" s="16"/>
    </row>
    <row r="93">
      <c r="A93" s="28" t="s">
        <v>174</v>
      </c>
      <c r="B93" s="16"/>
      <c r="G93" s="16"/>
      <c r="H93" s="16"/>
    </row>
    <row r="94">
      <c r="A94" s="28" t="s">
        <v>174</v>
      </c>
      <c r="B94" s="16"/>
      <c r="G94" s="16"/>
      <c r="H94" s="16"/>
    </row>
    <row r="95">
      <c r="A95" s="28" t="s">
        <v>174</v>
      </c>
      <c r="B95" s="16"/>
      <c r="G95" s="16"/>
      <c r="H95" s="16"/>
    </row>
    <row r="96">
      <c r="A96" s="28" t="s">
        <v>174</v>
      </c>
      <c r="B96" s="16"/>
      <c r="G96" s="16"/>
      <c r="H96" s="16"/>
    </row>
    <row r="97">
      <c r="A97" s="28" t="s">
        <v>174</v>
      </c>
      <c r="B97" s="16"/>
      <c r="G97" s="16"/>
      <c r="H97" s="16"/>
    </row>
    <row r="98">
      <c r="A98" s="28" t="s">
        <v>174</v>
      </c>
      <c r="B98" s="16"/>
      <c r="G98" s="16"/>
      <c r="H98" s="16"/>
    </row>
    <row r="99">
      <c r="A99" s="28" t="s">
        <v>174</v>
      </c>
      <c r="B99" s="16"/>
      <c r="G99" s="16"/>
      <c r="H99" s="16"/>
    </row>
    <row r="100">
      <c r="A100" s="28" t="s">
        <v>174</v>
      </c>
      <c r="B100" s="16"/>
      <c r="G100" s="16"/>
      <c r="H100" s="16"/>
    </row>
    <row r="101">
      <c r="A101" s="28" t="s">
        <v>174</v>
      </c>
      <c r="B101" s="16"/>
      <c r="G101" s="16"/>
      <c r="H101" s="16"/>
    </row>
    <row r="102">
      <c r="A102" s="28" t="s">
        <v>174</v>
      </c>
      <c r="B102" s="16"/>
      <c r="G102" s="16"/>
      <c r="H102" s="16"/>
    </row>
    <row r="103">
      <c r="A103" s="28" t="s">
        <v>174</v>
      </c>
      <c r="B103" s="16"/>
      <c r="G103" s="16"/>
      <c r="H103" s="16"/>
    </row>
    <row r="104">
      <c r="A104" s="28" t="s">
        <v>174</v>
      </c>
      <c r="B104" s="16"/>
      <c r="G104" s="16"/>
      <c r="H104" s="16"/>
    </row>
    <row r="105">
      <c r="A105" s="28" t="s">
        <v>174</v>
      </c>
      <c r="B105" s="16"/>
      <c r="G105" s="16"/>
      <c r="H105" s="16"/>
    </row>
    <row r="106">
      <c r="A106" s="28" t="s">
        <v>174</v>
      </c>
      <c r="B106" s="16"/>
      <c r="G106" s="16"/>
      <c r="H106" s="16"/>
    </row>
    <row r="107">
      <c r="A107" s="28" t="s">
        <v>174</v>
      </c>
      <c r="B107" s="16"/>
      <c r="G107" s="16"/>
      <c r="H107" s="16"/>
    </row>
    <row r="108">
      <c r="A108" s="28" t="s">
        <v>174</v>
      </c>
      <c r="B108" s="16"/>
      <c r="G108" s="16"/>
      <c r="H108" s="16"/>
    </row>
    <row r="109">
      <c r="A109" s="28" t="s">
        <v>174</v>
      </c>
      <c r="B109" s="16"/>
      <c r="G109" s="16"/>
      <c r="H109" s="16"/>
    </row>
    <row r="110">
      <c r="A110" s="28" t="s">
        <v>174</v>
      </c>
      <c r="B110" s="16"/>
      <c r="G110" s="16"/>
      <c r="H110" s="16"/>
    </row>
    <row r="111">
      <c r="A111" s="28" t="s">
        <v>174</v>
      </c>
      <c r="B111" s="16"/>
      <c r="G111" s="16"/>
      <c r="H111" s="16"/>
    </row>
    <row r="112">
      <c r="A112" s="28" t="s">
        <v>174</v>
      </c>
      <c r="B112" s="16"/>
      <c r="G112" s="16"/>
      <c r="H112" s="16"/>
    </row>
    <row r="113">
      <c r="A113" s="28" t="s">
        <v>174</v>
      </c>
      <c r="B113" s="16"/>
      <c r="G113" s="16"/>
      <c r="H113" s="16"/>
    </row>
    <row r="114">
      <c r="A114" s="28" t="s">
        <v>174</v>
      </c>
      <c r="B114" s="16"/>
      <c r="G114" s="16"/>
      <c r="H114" s="16"/>
    </row>
    <row r="115">
      <c r="A115" s="28" t="s">
        <v>174</v>
      </c>
      <c r="B115" s="16"/>
      <c r="G115" s="16"/>
      <c r="H115" s="16"/>
    </row>
    <row r="116">
      <c r="A116" s="28" t="s">
        <v>174</v>
      </c>
      <c r="B116" s="16"/>
      <c r="G116" s="16"/>
      <c r="H116" s="16"/>
    </row>
    <row r="117">
      <c r="A117" s="28" t="s">
        <v>174</v>
      </c>
      <c r="B117" s="16"/>
      <c r="G117" s="16"/>
      <c r="H117" s="16"/>
    </row>
    <row r="118">
      <c r="A118" s="28" t="s">
        <v>174</v>
      </c>
      <c r="B118" s="16"/>
      <c r="G118" s="16"/>
      <c r="H118" s="16"/>
    </row>
    <row r="119">
      <c r="A119" s="28" t="s">
        <v>174</v>
      </c>
      <c r="B119" s="16"/>
      <c r="G119" s="16"/>
      <c r="H119" s="16"/>
    </row>
    <row r="120">
      <c r="A120" s="28" t="s">
        <v>174</v>
      </c>
      <c r="B120" s="16"/>
      <c r="G120" s="16"/>
      <c r="H120" s="16"/>
    </row>
    <row r="121">
      <c r="A121" s="28" t="s">
        <v>174</v>
      </c>
      <c r="B121" s="16"/>
      <c r="G121" s="16"/>
      <c r="H121" s="16"/>
    </row>
    <row r="122">
      <c r="A122" s="28" t="s">
        <v>174</v>
      </c>
      <c r="B122" s="16"/>
      <c r="G122" s="16"/>
      <c r="H122" s="16"/>
    </row>
    <row r="123">
      <c r="A123" s="28" t="s">
        <v>174</v>
      </c>
      <c r="B123" s="16"/>
      <c r="G123" s="16"/>
      <c r="H123" s="16"/>
    </row>
    <row r="124">
      <c r="A124" s="28" t="s">
        <v>174</v>
      </c>
      <c r="B124" s="16"/>
      <c r="G124" s="16"/>
      <c r="H124" s="16"/>
    </row>
    <row r="125">
      <c r="A125" s="28" t="s">
        <v>174</v>
      </c>
      <c r="B125" s="16"/>
      <c r="G125" s="16"/>
      <c r="H125" s="16"/>
    </row>
    <row r="126">
      <c r="A126" s="28" t="s">
        <v>174</v>
      </c>
      <c r="B126" s="16"/>
      <c r="G126" s="16"/>
      <c r="H126" s="16"/>
    </row>
    <row r="127">
      <c r="A127" s="28" t="s">
        <v>174</v>
      </c>
      <c r="B127" s="16"/>
      <c r="G127" s="16"/>
      <c r="H127" s="16"/>
    </row>
    <row r="128">
      <c r="A128" s="28" t="s">
        <v>174</v>
      </c>
      <c r="B128" s="16"/>
      <c r="G128" s="16"/>
      <c r="H128" s="16"/>
    </row>
    <row r="129">
      <c r="A129" s="28" t="s">
        <v>174</v>
      </c>
      <c r="B129" s="16"/>
      <c r="G129" s="16"/>
      <c r="H129" s="16"/>
    </row>
    <row r="130">
      <c r="A130" s="28" t="s">
        <v>174</v>
      </c>
      <c r="B130" s="16"/>
      <c r="G130" s="16"/>
      <c r="H130" s="16"/>
    </row>
    <row r="131">
      <c r="A131" s="28" t="s">
        <v>174</v>
      </c>
      <c r="B131" s="16"/>
      <c r="G131" s="16"/>
      <c r="H131" s="16"/>
    </row>
    <row r="132">
      <c r="A132" s="28" t="s">
        <v>174</v>
      </c>
      <c r="B132" s="16"/>
      <c r="G132" s="16"/>
      <c r="H132" s="16"/>
    </row>
    <row r="133">
      <c r="A133" s="28" t="s">
        <v>174</v>
      </c>
      <c r="B133" s="16"/>
      <c r="G133" s="16"/>
      <c r="H133" s="16"/>
    </row>
    <row r="134">
      <c r="A134" s="28" t="s">
        <v>174</v>
      </c>
      <c r="B134" s="16"/>
      <c r="G134" s="16"/>
      <c r="H134" s="16"/>
    </row>
    <row r="135">
      <c r="A135" s="28" t="s">
        <v>174</v>
      </c>
      <c r="B135" s="16"/>
      <c r="G135" s="16"/>
      <c r="H135" s="16"/>
    </row>
    <row r="136">
      <c r="A136" s="28" t="s">
        <v>174</v>
      </c>
      <c r="B136" s="16"/>
      <c r="G136" s="16"/>
      <c r="H136" s="16"/>
    </row>
    <row r="137">
      <c r="A137" s="28" t="s">
        <v>174</v>
      </c>
      <c r="B137" s="16"/>
      <c r="G137" s="16"/>
      <c r="H137" s="16"/>
    </row>
    <row r="138">
      <c r="A138" s="28" t="s">
        <v>174</v>
      </c>
      <c r="B138" s="16"/>
      <c r="G138" s="16"/>
      <c r="H138" s="16"/>
    </row>
    <row r="139">
      <c r="A139" s="28" t="s">
        <v>174</v>
      </c>
      <c r="B139" s="16"/>
      <c r="G139" s="16"/>
      <c r="H139" s="16"/>
    </row>
    <row r="140">
      <c r="A140" s="28" t="s">
        <v>174</v>
      </c>
      <c r="B140" s="16"/>
      <c r="G140" s="16"/>
      <c r="H140" s="16"/>
    </row>
    <row r="141">
      <c r="A141" s="28" t="s">
        <v>174</v>
      </c>
      <c r="B141" s="16"/>
      <c r="G141" s="16"/>
      <c r="H141" s="16"/>
    </row>
    <row r="142">
      <c r="A142" s="28" t="s">
        <v>174</v>
      </c>
      <c r="B142" s="16"/>
      <c r="G142" s="16"/>
      <c r="H142" s="16"/>
    </row>
    <row r="143">
      <c r="A143" s="28" t="s">
        <v>174</v>
      </c>
      <c r="B143" s="16"/>
      <c r="G143" s="16"/>
      <c r="H143" s="16"/>
    </row>
    <row r="144">
      <c r="A144" s="28" t="s">
        <v>174</v>
      </c>
      <c r="B144" s="16"/>
      <c r="G144" s="16"/>
      <c r="H144" s="16"/>
    </row>
    <row r="145">
      <c r="A145" s="28" t="s">
        <v>174</v>
      </c>
      <c r="B145" s="16"/>
      <c r="G145" s="16"/>
      <c r="H145" s="16"/>
    </row>
    <row r="146">
      <c r="A146" s="28" t="s">
        <v>174</v>
      </c>
      <c r="B146" s="16"/>
      <c r="G146" s="16"/>
      <c r="H146" s="16"/>
    </row>
    <row r="147">
      <c r="A147" s="28" t="s">
        <v>174</v>
      </c>
      <c r="B147" s="16"/>
      <c r="G147" s="16"/>
      <c r="H147" s="16"/>
    </row>
    <row r="148">
      <c r="A148" s="28" t="s">
        <v>174</v>
      </c>
      <c r="B148" s="16"/>
      <c r="G148" s="16"/>
      <c r="H148" s="16"/>
    </row>
    <row r="149">
      <c r="A149" s="28" t="s">
        <v>174</v>
      </c>
      <c r="B149" s="16"/>
      <c r="G149" s="16"/>
      <c r="H149" s="16"/>
    </row>
    <row r="150">
      <c r="A150" s="28" t="s">
        <v>174</v>
      </c>
      <c r="B150" s="16"/>
      <c r="G150" s="16"/>
      <c r="H150" s="16"/>
    </row>
    <row r="151">
      <c r="A151" s="28" t="s">
        <v>174</v>
      </c>
      <c r="B151" s="16"/>
      <c r="G151" s="16"/>
      <c r="H151" s="16"/>
    </row>
    <row r="152">
      <c r="A152" s="28" t="s">
        <v>174</v>
      </c>
      <c r="B152" s="16"/>
      <c r="G152" s="16"/>
      <c r="H152" s="16"/>
    </row>
    <row r="153">
      <c r="A153" s="28" t="s">
        <v>174</v>
      </c>
      <c r="B153" s="16"/>
      <c r="G153" s="16"/>
      <c r="H153" s="16"/>
    </row>
    <row r="154">
      <c r="A154" s="28" t="s">
        <v>174</v>
      </c>
      <c r="B154" s="16"/>
      <c r="G154" s="16"/>
      <c r="H154" s="16"/>
    </row>
    <row r="155">
      <c r="A155" s="28" t="s">
        <v>174</v>
      </c>
      <c r="B155" s="16"/>
      <c r="G155" s="16"/>
      <c r="H155" s="16"/>
    </row>
    <row r="156">
      <c r="A156" s="28" t="s">
        <v>174</v>
      </c>
      <c r="B156" s="16"/>
      <c r="G156" s="16"/>
      <c r="H156" s="16"/>
    </row>
    <row r="157">
      <c r="A157" s="28" t="s">
        <v>174</v>
      </c>
      <c r="B157" s="16"/>
      <c r="G157" s="16"/>
      <c r="H157" s="16"/>
    </row>
    <row r="158">
      <c r="A158" s="28" t="s">
        <v>174</v>
      </c>
      <c r="B158" s="16"/>
      <c r="G158" s="16"/>
      <c r="H158" s="16"/>
    </row>
    <row r="159">
      <c r="A159" s="28" t="s">
        <v>174</v>
      </c>
      <c r="B159" s="16"/>
      <c r="G159" s="16"/>
      <c r="H159" s="16"/>
    </row>
    <row r="160">
      <c r="A160" s="28" t="s">
        <v>174</v>
      </c>
      <c r="B160" s="16"/>
      <c r="G160" s="16"/>
      <c r="H160" s="16"/>
    </row>
    <row r="161">
      <c r="A161" s="28" t="s">
        <v>174</v>
      </c>
      <c r="B161" s="16"/>
      <c r="G161" s="16"/>
      <c r="H161" s="16"/>
    </row>
    <row r="162">
      <c r="A162" s="28" t="s">
        <v>174</v>
      </c>
      <c r="B162" s="16"/>
      <c r="G162" s="16"/>
      <c r="H162" s="16"/>
    </row>
    <row r="163">
      <c r="A163" s="28" t="s">
        <v>174</v>
      </c>
      <c r="B163" s="16"/>
      <c r="G163" s="16"/>
      <c r="H163" s="16"/>
    </row>
    <row r="164">
      <c r="A164" s="28" t="s">
        <v>174</v>
      </c>
      <c r="B164" s="16"/>
      <c r="G164" s="16"/>
      <c r="H164" s="16"/>
    </row>
    <row r="165">
      <c r="A165" s="28" t="s">
        <v>174</v>
      </c>
      <c r="B165" s="16"/>
      <c r="G165" s="16"/>
      <c r="H165" s="16"/>
    </row>
    <row r="166">
      <c r="A166" s="28" t="s">
        <v>174</v>
      </c>
      <c r="B166" s="16"/>
      <c r="G166" s="16"/>
      <c r="H166" s="16"/>
    </row>
    <row r="167">
      <c r="A167" s="28" t="s">
        <v>174</v>
      </c>
      <c r="B167" s="16"/>
      <c r="G167" s="16"/>
      <c r="H167" s="16"/>
    </row>
    <row r="168">
      <c r="A168" s="28" t="s">
        <v>174</v>
      </c>
      <c r="B168" s="16"/>
      <c r="G168" s="16"/>
      <c r="H168" s="16"/>
    </row>
    <row r="169">
      <c r="A169" s="28" t="s">
        <v>174</v>
      </c>
      <c r="B169" s="16"/>
      <c r="G169" s="16"/>
      <c r="H169" s="16"/>
    </row>
    <row r="170">
      <c r="A170" s="28" t="s">
        <v>174</v>
      </c>
      <c r="B170" s="16"/>
      <c r="G170" s="16"/>
      <c r="H170" s="16"/>
    </row>
    <row r="171">
      <c r="A171" s="28" t="s">
        <v>174</v>
      </c>
      <c r="B171" s="16"/>
      <c r="G171" s="16"/>
      <c r="H171" s="16"/>
    </row>
    <row r="172">
      <c r="A172" s="28" t="s">
        <v>174</v>
      </c>
      <c r="B172" s="16"/>
      <c r="G172" s="16"/>
      <c r="H172" s="16"/>
    </row>
    <row r="173">
      <c r="A173" s="28" t="s">
        <v>174</v>
      </c>
      <c r="B173" s="16"/>
      <c r="G173" s="16"/>
      <c r="H173" s="16"/>
    </row>
    <row r="174">
      <c r="A174" s="28" t="s">
        <v>174</v>
      </c>
      <c r="B174" s="16"/>
      <c r="G174" s="16"/>
      <c r="H174" s="16"/>
    </row>
    <row r="175">
      <c r="A175" s="28" t="s">
        <v>174</v>
      </c>
      <c r="B175" s="16"/>
      <c r="G175" s="16"/>
      <c r="H175" s="16"/>
    </row>
    <row r="176">
      <c r="A176" s="28" t="s">
        <v>174</v>
      </c>
      <c r="B176" s="16"/>
      <c r="G176" s="16"/>
      <c r="H176" s="16"/>
    </row>
    <row r="177">
      <c r="A177" s="28" t="s">
        <v>174</v>
      </c>
      <c r="B177" s="16"/>
      <c r="G177" s="16"/>
      <c r="H177" s="16"/>
    </row>
    <row r="178">
      <c r="A178" s="28" t="s">
        <v>174</v>
      </c>
      <c r="B178" s="16"/>
      <c r="G178" s="16"/>
      <c r="H178" s="16"/>
    </row>
    <row r="179">
      <c r="A179" s="28" t="s">
        <v>174</v>
      </c>
      <c r="B179" s="16"/>
      <c r="G179" s="16"/>
      <c r="H179" s="16"/>
    </row>
    <row r="180">
      <c r="A180" s="28" t="s">
        <v>174</v>
      </c>
      <c r="B180" s="16"/>
      <c r="G180" s="16"/>
      <c r="H180" s="16"/>
    </row>
    <row r="181">
      <c r="A181" s="28" t="s">
        <v>174</v>
      </c>
      <c r="B181" s="16"/>
      <c r="G181" s="16"/>
      <c r="H181" s="16"/>
    </row>
    <row r="182">
      <c r="A182" s="28" t="s">
        <v>174</v>
      </c>
      <c r="B182" s="16"/>
      <c r="G182" s="16"/>
      <c r="H182" s="16"/>
    </row>
    <row r="183">
      <c r="A183" s="28" t="s">
        <v>174</v>
      </c>
      <c r="B183" s="16"/>
      <c r="G183" s="16"/>
      <c r="H183" s="16"/>
    </row>
    <row r="184">
      <c r="A184" s="28" t="s">
        <v>174</v>
      </c>
      <c r="B184" s="16"/>
      <c r="G184" s="16"/>
      <c r="H184" s="16"/>
    </row>
    <row r="185">
      <c r="A185" s="28" t="s">
        <v>174</v>
      </c>
      <c r="B185" s="16"/>
      <c r="G185" s="16"/>
      <c r="H185" s="16"/>
    </row>
    <row r="186">
      <c r="A186" s="28" t="s">
        <v>174</v>
      </c>
      <c r="B186" s="16"/>
      <c r="G186" s="16"/>
      <c r="H186" s="16"/>
    </row>
    <row r="187">
      <c r="A187" s="28" t="s">
        <v>174</v>
      </c>
      <c r="B187" s="16"/>
      <c r="G187" s="16"/>
      <c r="H187" s="16"/>
    </row>
    <row r="188">
      <c r="A188" s="28" t="s">
        <v>174</v>
      </c>
      <c r="B188" s="16"/>
      <c r="G188" s="16"/>
      <c r="H188" s="16"/>
    </row>
    <row r="189">
      <c r="A189" s="28" t="s">
        <v>174</v>
      </c>
      <c r="B189" s="16"/>
      <c r="G189" s="16"/>
      <c r="H189" s="16"/>
    </row>
    <row r="190">
      <c r="A190" s="28" t="s">
        <v>174</v>
      </c>
      <c r="B190" s="16"/>
      <c r="G190" s="16"/>
      <c r="H190" s="16"/>
    </row>
    <row r="191">
      <c r="A191" s="28" t="s">
        <v>174</v>
      </c>
      <c r="B191" s="16"/>
      <c r="G191" s="16"/>
      <c r="H191" s="16"/>
    </row>
    <row r="192">
      <c r="A192" s="28" t="s">
        <v>174</v>
      </c>
      <c r="B192" s="16"/>
      <c r="G192" s="16"/>
      <c r="H192" s="16"/>
    </row>
    <row r="193">
      <c r="A193" s="28" t="s">
        <v>174</v>
      </c>
      <c r="B193" s="16"/>
      <c r="G193" s="16"/>
      <c r="H193" s="16"/>
    </row>
    <row r="194">
      <c r="A194" s="28" t="s">
        <v>174</v>
      </c>
      <c r="B194" s="16"/>
      <c r="G194" s="16"/>
      <c r="H194" s="16"/>
    </row>
    <row r="195">
      <c r="A195" s="28" t="s">
        <v>174</v>
      </c>
      <c r="B195" s="16"/>
      <c r="G195" s="16"/>
      <c r="H195" s="16"/>
    </row>
    <row r="196">
      <c r="A196" s="28" t="s">
        <v>174</v>
      </c>
      <c r="B196" s="16"/>
      <c r="G196" s="16"/>
      <c r="H196" s="16"/>
    </row>
    <row r="197">
      <c r="A197" s="28" t="s">
        <v>174</v>
      </c>
      <c r="B197" s="16"/>
      <c r="G197" s="16"/>
      <c r="H197" s="16"/>
    </row>
    <row r="198">
      <c r="A198" s="28" t="s">
        <v>174</v>
      </c>
      <c r="B198" s="16"/>
      <c r="G198" s="16"/>
      <c r="H198" s="16"/>
    </row>
    <row r="199">
      <c r="A199" s="28" t="s">
        <v>174</v>
      </c>
      <c r="B199" s="16"/>
      <c r="G199" s="16"/>
      <c r="H199" s="16"/>
    </row>
    <row r="200">
      <c r="A200" s="28" t="s">
        <v>174</v>
      </c>
      <c r="B200" s="16"/>
      <c r="G200" s="16"/>
      <c r="H200" s="16"/>
    </row>
    <row r="201">
      <c r="A201" s="28" t="s">
        <v>174</v>
      </c>
      <c r="B201" s="16"/>
      <c r="G201" s="16"/>
      <c r="H201" s="16"/>
    </row>
    <row r="202">
      <c r="A202" s="28" t="s">
        <v>174</v>
      </c>
      <c r="B202" s="16"/>
      <c r="G202" s="16"/>
      <c r="H202" s="16"/>
    </row>
    <row r="203">
      <c r="A203" s="28" t="s">
        <v>174</v>
      </c>
      <c r="B203" s="16"/>
      <c r="G203" s="16"/>
      <c r="H203" s="16"/>
    </row>
    <row r="204">
      <c r="A204" s="28" t="s">
        <v>174</v>
      </c>
      <c r="B204" s="16"/>
      <c r="G204" s="16"/>
      <c r="H204" s="16"/>
    </row>
    <row r="205">
      <c r="A205" s="28" t="s">
        <v>174</v>
      </c>
      <c r="B205" s="16"/>
      <c r="G205" s="16"/>
      <c r="H205" s="16"/>
    </row>
    <row r="206">
      <c r="A206" s="28" t="s">
        <v>174</v>
      </c>
      <c r="B206" s="16"/>
      <c r="G206" s="16"/>
      <c r="H206" s="16"/>
    </row>
    <row r="207">
      <c r="A207" s="28" t="s">
        <v>174</v>
      </c>
      <c r="B207" s="16"/>
      <c r="G207" s="16"/>
      <c r="H207" s="16"/>
    </row>
    <row r="208">
      <c r="A208" s="28" t="s">
        <v>174</v>
      </c>
      <c r="B208" s="16"/>
      <c r="G208" s="16"/>
      <c r="H208" s="16"/>
    </row>
    <row r="209">
      <c r="A209" s="28" t="s">
        <v>174</v>
      </c>
      <c r="B209" s="16"/>
      <c r="G209" s="16"/>
      <c r="H209" s="16"/>
    </row>
    <row r="210">
      <c r="A210" s="28" t="s">
        <v>174</v>
      </c>
      <c r="B210" s="16"/>
      <c r="G210" s="16"/>
      <c r="H210" s="16"/>
    </row>
    <row r="211">
      <c r="A211" s="28" t="s">
        <v>174</v>
      </c>
      <c r="B211" s="16"/>
      <c r="G211" s="16"/>
      <c r="H211" s="16"/>
    </row>
    <row r="212">
      <c r="A212" s="28" t="s">
        <v>174</v>
      </c>
      <c r="B212" s="16"/>
      <c r="G212" s="16"/>
      <c r="H212" s="16"/>
    </row>
    <row r="213">
      <c r="A213" s="28" t="s">
        <v>174</v>
      </c>
      <c r="B213" s="16"/>
      <c r="G213" s="16"/>
      <c r="H213" s="16"/>
    </row>
    <row r="214">
      <c r="A214" s="28" t="s">
        <v>174</v>
      </c>
      <c r="B214" s="16"/>
      <c r="G214" s="16"/>
      <c r="H214" s="16"/>
    </row>
    <row r="215">
      <c r="A215" s="28" t="s">
        <v>174</v>
      </c>
      <c r="B215" s="16"/>
      <c r="G215" s="16"/>
      <c r="H215" s="16"/>
    </row>
    <row r="216">
      <c r="A216" s="28" t="s">
        <v>174</v>
      </c>
      <c r="B216" s="16"/>
      <c r="G216" s="16"/>
      <c r="H216" s="16"/>
    </row>
    <row r="217">
      <c r="A217" s="28" t="s">
        <v>174</v>
      </c>
      <c r="B217" s="16"/>
      <c r="G217" s="16"/>
      <c r="H217" s="16"/>
    </row>
    <row r="218">
      <c r="A218" s="28" t="s">
        <v>174</v>
      </c>
      <c r="B218" s="16"/>
      <c r="G218" s="16"/>
      <c r="H218" s="16"/>
    </row>
    <row r="219">
      <c r="A219" s="28" t="s">
        <v>174</v>
      </c>
      <c r="B219" s="16"/>
      <c r="G219" s="16"/>
      <c r="H219" s="16"/>
    </row>
    <row r="220">
      <c r="A220" s="28" t="s">
        <v>174</v>
      </c>
      <c r="B220" s="16"/>
      <c r="G220" s="16"/>
      <c r="H220" s="16"/>
    </row>
    <row r="221">
      <c r="A221" s="28" t="s">
        <v>174</v>
      </c>
      <c r="B221" s="16"/>
      <c r="G221" s="16"/>
      <c r="H221" s="16"/>
    </row>
    <row r="222">
      <c r="A222" s="28" t="s">
        <v>174</v>
      </c>
      <c r="B222" s="16"/>
      <c r="G222" s="16"/>
      <c r="H222" s="16"/>
    </row>
    <row r="223">
      <c r="A223" s="28" t="s">
        <v>174</v>
      </c>
      <c r="B223" s="16"/>
      <c r="G223" s="16"/>
      <c r="H223" s="16"/>
    </row>
    <row r="224">
      <c r="A224" s="28" t="s">
        <v>174</v>
      </c>
      <c r="B224" s="16"/>
      <c r="G224" s="16"/>
      <c r="H224" s="16"/>
    </row>
    <row r="225">
      <c r="A225" s="28" t="s">
        <v>174</v>
      </c>
      <c r="B225" s="16"/>
      <c r="G225" s="16"/>
      <c r="H225" s="16"/>
    </row>
    <row r="226">
      <c r="A226" s="28" t="s">
        <v>174</v>
      </c>
      <c r="B226" s="16"/>
      <c r="G226" s="16"/>
      <c r="H226" s="16"/>
    </row>
    <row r="227">
      <c r="A227" s="28" t="s">
        <v>174</v>
      </c>
      <c r="B227" s="16"/>
      <c r="G227" s="16"/>
      <c r="H227" s="16"/>
    </row>
    <row r="228">
      <c r="A228" s="28" t="s">
        <v>174</v>
      </c>
      <c r="B228" s="16"/>
      <c r="G228" s="16"/>
      <c r="H228" s="16"/>
    </row>
    <row r="229">
      <c r="A229" s="28" t="s">
        <v>174</v>
      </c>
      <c r="B229" s="16"/>
      <c r="G229" s="16"/>
      <c r="H229" s="16"/>
    </row>
    <row r="230">
      <c r="A230" s="28" t="s">
        <v>174</v>
      </c>
      <c r="B230" s="16"/>
      <c r="G230" s="16"/>
      <c r="H230" s="16"/>
    </row>
    <row r="231">
      <c r="A231" s="28" t="s">
        <v>174</v>
      </c>
      <c r="B231" s="16"/>
      <c r="G231" s="16"/>
      <c r="H231" s="16"/>
    </row>
    <row r="232">
      <c r="A232" s="28" t="s">
        <v>174</v>
      </c>
      <c r="B232" s="16"/>
      <c r="G232" s="16"/>
      <c r="H232" s="16"/>
    </row>
    <row r="233">
      <c r="A233" s="28" t="s">
        <v>174</v>
      </c>
      <c r="B233" s="16"/>
      <c r="G233" s="16"/>
      <c r="H233" s="16"/>
    </row>
    <row r="234">
      <c r="A234" s="28" t="s">
        <v>174</v>
      </c>
      <c r="B234" s="16"/>
      <c r="G234" s="16"/>
      <c r="H234" s="16"/>
    </row>
    <row r="235">
      <c r="A235" s="28" t="s">
        <v>174</v>
      </c>
      <c r="B235" s="16"/>
      <c r="G235" s="16"/>
      <c r="H235" s="16"/>
    </row>
    <row r="236">
      <c r="A236" s="28" t="s">
        <v>174</v>
      </c>
      <c r="B236" s="16"/>
      <c r="G236" s="16"/>
      <c r="H236" s="16"/>
    </row>
    <row r="237">
      <c r="A237" s="28" t="s">
        <v>174</v>
      </c>
      <c r="B237" s="16"/>
      <c r="G237" s="16"/>
      <c r="H237" s="16"/>
    </row>
    <row r="238">
      <c r="A238" s="28" t="s">
        <v>174</v>
      </c>
      <c r="B238" s="16"/>
      <c r="G238" s="16"/>
      <c r="H238" s="16"/>
    </row>
    <row r="239">
      <c r="A239" s="28" t="s">
        <v>174</v>
      </c>
      <c r="B239" s="16"/>
      <c r="G239" s="16"/>
      <c r="H239" s="16"/>
    </row>
    <row r="240">
      <c r="A240" s="28" t="s">
        <v>174</v>
      </c>
      <c r="B240" s="16"/>
      <c r="G240" s="16"/>
      <c r="H240" s="16"/>
    </row>
    <row r="241">
      <c r="A241" s="28" t="s">
        <v>174</v>
      </c>
      <c r="B241" s="16"/>
      <c r="G241" s="16"/>
      <c r="H241" s="16"/>
    </row>
    <row r="242">
      <c r="A242" s="28" t="s">
        <v>174</v>
      </c>
      <c r="B242" s="16"/>
      <c r="G242" s="16"/>
      <c r="H242" s="16"/>
    </row>
    <row r="243">
      <c r="A243" s="28" t="s">
        <v>174</v>
      </c>
      <c r="B243" s="16"/>
      <c r="G243" s="16"/>
      <c r="H243" s="16"/>
    </row>
    <row r="244">
      <c r="A244" s="28" t="s">
        <v>174</v>
      </c>
      <c r="B244" s="16"/>
      <c r="G244" s="16"/>
      <c r="H244" s="16"/>
    </row>
    <row r="245">
      <c r="A245" s="28" t="s">
        <v>174</v>
      </c>
      <c r="B245" s="16"/>
      <c r="G245" s="16"/>
      <c r="H245" s="16"/>
    </row>
    <row r="246">
      <c r="A246" s="28" t="s">
        <v>174</v>
      </c>
      <c r="B246" s="16"/>
      <c r="G246" s="16"/>
      <c r="H246" s="16"/>
    </row>
    <row r="247">
      <c r="A247" s="28" t="s">
        <v>174</v>
      </c>
      <c r="B247" s="16"/>
      <c r="G247" s="16"/>
      <c r="H247" s="16"/>
    </row>
    <row r="248">
      <c r="A248" s="28" t="s">
        <v>174</v>
      </c>
      <c r="B248" s="16"/>
      <c r="G248" s="16"/>
      <c r="H248" s="16"/>
    </row>
    <row r="249">
      <c r="A249" s="28" t="s">
        <v>174</v>
      </c>
      <c r="B249" s="16"/>
      <c r="G249" s="16"/>
      <c r="H249" s="16"/>
    </row>
    <row r="250">
      <c r="A250" s="28" t="s">
        <v>174</v>
      </c>
      <c r="B250" s="16"/>
      <c r="G250" s="16"/>
      <c r="H250" s="16"/>
    </row>
    <row r="251">
      <c r="A251" s="28" t="s">
        <v>174</v>
      </c>
      <c r="B251" s="16"/>
      <c r="G251" s="16"/>
      <c r="H251" s="16"/>
    </row>
    <row r="252">
      <c r="A252" s="28" t="s">
        <v>174</v>
      </c>
      <c r="B252" s="16"/>
      <c r="G252" s="16"/>
      <c r="H252" s="16"/>
    </row>
    <row r="253">
      <c r="A253" s="28" t="s">
        <v>174</v>
      </c>
      <c r="B253" s="16"/>
      <c r="G253" s="16"/>
      <c r="H253" s="16"/>
    </row>
    <row r="254">
      <c r="A254" s="28" t="s">
        <v>174</v>
      </c>
      <c r="B254" s="16"/>
      <c r="G254" s="16"/>
      <c r="H254" s="16"/>
    </row>
    <row r="255">
      <c r="A255" s="28" t="s">
        <v>174</v>
      </c>
      <c r="B255" s="16"/>
      <c r="G255" s="16"/>
      <c r="H255" s="16"/>
    </row>
    <row r="256">
      <c r="A256" s="28" t="s">
        <v>174</v>
      </c>
      <c r="B256" s="16"/>
      <c r="G256" s="16"/>
      <c r="H256" s="16"/>
    </row>
    <row r="257">
      <c r="A257" s="28" t="s">
        <v>174</v>
      </c>
      <c r="B257" s="16"/>
      <c r="G257" s="16"/>
      <c r="H257" s="16"/>
    </row>
    <row r="258">
      <c r="A258" s="28" t="s">
        <v>174</v>
      </c>
      <c r="B258" s="16"/>
      <c r="G258" s="16"/>
      <c r="H258" s="16"/>
    </row>
    <row r="259">
      <c r="A259" s="28" t="s">
        <v>174</v>
      </c>
      <c r="B259" s="16"/>
      <c r="G259" s="16"/>
      <c r="H259" s="16"/>
    </row>
    <row r="260">
      <c r="A260" s="28" t="s">
        <v>174</v>
      </c>
      <c r="B260" s="16"/>
      <c r="G260" s="16"/>
      <c r="H260" s="16"/>
    </row>
    <row r="261">
      <c r="A261" s="28" t="s">
        <v>174</v>
      </c>
      <c r="B261" s="16"/>
      <c r="G261" s="16"/>
      <c r="H261" s="16"/>
    </row>
    <row r="262">
      <c r="A262" s="28" t="s">
        <v>174</v>
      </c>
      <c r="B262" s="16"/>
      <c r="G262" s="16"/>
      <c r="H262" s="16"/>
    </row>
    <row r="263">
      <c r="A263" s="28" t="s">
        <v>174</v>
      </c>
      <c r="B263" s="16"/>
      <c r="G263" s="16"/>
      <c r="H263" s="16"/>
    </row>
    <row r="264">
      <c r="A264" s="28" t="s">
        <v>174</v>
      </c>
      <c r="B264" s="16"/>
      <c r="G264" s="16"/>
      <c r="H264" s="16"/>
    </row>
    <row r="265">
      <c r="A265" s="28" t="s">
        <v>174</v>
      </c>
      <c r="B265" s="16"/>
      <c r="G265" s="16"/>
      <c r="H265" s="16"/>
    </row>
    <row r="266">
      <c r="A266" s="28" t="s">
        <v>174</v>
      </c>
      <c r="B266" s="16"/>
      <c r="G266" s="16"/>
      <c r="H266" s="16"/>
    </row>
    <row r="267">
      <c r="A267" s="28" t="s">
        <v>174</v>
      </c>
      <c r="B267" s="16"/>
      <c r="G267" s="16"/>
      <c r="H267" s="16"/>
    </row>
    <row r="268">
      <c r="A268" s="28" t="s">
        <v>174</v>
      </c>
      <c r="B268" s="16"/>
      <c r="G268" s="16"/>
      <c r="H268" s="16"/>
    </row>
    <row r="269">
      <c r="A269" s="28" t="s">
        <v>174</v>
      </c>
      <c r="B269" s="16"/>
      <c r="G269" s="16"/>
      <c r="H269" s="16"/>
    </row>
    <row r="270">
      <c r="A270" s="28" t="s">
        <v>174</v>
      </c>
      <c r="B270" s="16"/>
      <c r="G270" s="16"/>
      <c r="H270" s="16"/>
    </row>
    <row r="271">
      <c r="A271" s="28" t="s">
        <v>174</v>
      </c>
      <c r="B271" s="16"/>
      <c r="G271" s="16"/>
      <c r="H271" s="16"/>
    </row>
    <row r="272">
      <c r="A272" s="28" t="s">
        <v>174</v>
      </c>
      <c r="B272" s="16"/>
      <c r="G272" s="16"/>
      <c r="H272" s="16"/>
    </row>
    <row r="273">
      <c r="A273" s="28" t="s">
        <v>174</v>
      </c>
      <c r="B273" s="16"/>
      <c r="G273" s="16"/>
      <c r="H273" s="16"/>
    </row>
    <row r="274">
      <c r="A274" s="28" t="s">
        <v>174</v>
      </c>
      <c r="B274" s="16"/>
      <c r="G274" s="16"/>
      <c r="H274" s="16"/>
    </row>
    <row r="275">
      <c r="A275" s="28" t="s">
        <v>174</v>
      </c>
      <c r="B275" s="16"/>
      <c r="G275" s="16"/>
      <c r="H275" s="16"/>
    </row>
    <row r="276">
      <c r="A276" s="28" t="s">
        <v>174</v>
      </c>
      <c r="B276" s="16"/>
      <c r="G276" s="16"/>
      <c r="H276" s="16"/>
    </row>
    <row r="277">
      <c r="A277" s="28" t="s">
        <v>174</v>
      </c>
      <c r="B277" s="16"/>
      <c r="G277" s="16"/>
      <c r="H277" s="16"/>
    </row>
    <row r="278">
      <c r="A278" s="28" t="s">
        <v>174</v>
      </c>
      <c r="B278" s="16"/>
      <c r="G278" s="16"/>
      <c r="H278" s="16"/>
    </row>
    <row r="279">
      <c r="A279" s="28" t="s">
        <v>174</v>
      </c>
      <c r="B279" s="16"/>
      <c r="G279" s="16"/>
      <c r="H279" s="16"/>
    </row>
    <row r="280">
      <c r="A280" s="28" t="s">
        <v>174</v>
      </c>
      <c r="B280" s="16"/>
      <c r="G280" s="16"/>
      <c r="H280" s="16"/>
    </row>
    <row r="281">
      <c r="A281" s="28" t="s">
        <v>174</v>
      </c>
      <c r="B281" s="16"/>
      <c r="G281" s="16"/>
      <c r="H281" s="16"/>
    </row>
    <row r="282">
      <c r="A282" s="28" t="s">
        <v>174</v>
      </c>
      <c r="B282" s="16"/>
      <c r="G282" s="16"/>
      <c r="H282" s="16"/>
    </row>
    <row r="283">
      <c r="A283" s="28" t="s">
        <v>174</v>
      </c>
      <c r="B283" s="16"/>
      <c r="G283" s="16"/>
      <c r="H283" s="16"/>
    </row>
    <row r="284">
      <c r="A284" s="28" t="s">
        <v>174</v>
      </c>
      <c r="B284" s="16"/>
      <c r="G284" s="16"/>
      <c r="H284" s="16"/>
    </row>
    <row r="285">
      <c r="A285" s="28" t="s">
        <v>174</v>
      </c>
      <c r="B285" s="16"/>
      <c r="G285" s="16"/>
      <c r="H285" s="16"/>
    </row>
    <row r="286">
      <c r="A286" s="28" t="s">
        <v>174</v>
      </c>
      <c r="B286" s="16"/>
      <c r="G286" s="16"/>
      <c r="H286" s="16"/>
    </row>
    <row r="287">
      <c r="A287" s="28" t="s">
        <v>174</v>
      </c>
      <c r="B287" s="16"/>
      <c r="G287" s="16"/>
      <c r="H287" s="16"/>
    </row>
    <row r="288">
      <c r="A288" s="28" t="s">
        <v>174</v>
      </c>
      <c r="B288" s="16"/>
      <c r="G288" s="16"/>
      <c r="H288" s="16"/>
    </row>
    <row r="289">
      <c r="A289" s="28" t="s">
        <v>174</v>
      </c>
      <c r="B289" s="16"/>
      <c r="G289" s="16"/>
      <c r="H289" s="16"/>
    </row>
    <row r="290">
      <c r="A290" s="28" t="s">
        <v>174</v>
      </c>
      <c r="B290" s="16"/>
      <c r="G290" s="16"/>
      <c r="H290" s="16"/>
    </row>
    <row r="291">
      <c r="A291" s="28" t="s">
        <v>174</v>
      </c>
      <c r="B291" s="16"/>
      <c r="G291" s="16"/>
      <c r="H291" s="16"/>
    </row>
    <row r="292">
      <c r="A292" s="28" t="s">
        <v>174</v>
      </c>
      <c r="B292" s="16"/>
      <c r="G292" s="16"/>
      <c r="H292" s="16"/>
    </row>
    <row r="293">
      <c r="A293" s="28" t="s">
        <v>174</v>
      </c>
      <c r="B293" s="16"/>
      <c r="G293" s="16"/>
      <c r="H293" s="16"/>
    </row>
    <row r="294">
      <c r="A294" s="28" t="s">
        <v>174</v>
      </c>
      <c r="B294" s="16"/>
      <c r="G294" s="16"/>
      <c r="H294" s="16"/>
    </row>
    <row r="295">
      <c r="A295" s="28" t="s">
        <v>174</v>
      </c>
      <c r="B295" s="16"/>
      <c r="G295" s="16"/>
      <c r="H295" s="16"/>
    </row>
    <row r="296">
      <c r="A296" s="28" t="s">
        <v>174</v>
      </c>
      <c r="B296" s="16"/>
      <c r="G296" s="16"/>
      <c r="H296" s="16"/>
    </row>
    <row r="297">
      <c r="A297" s="28" t="s">
        <v>174</v>
      </c>
      <c r="B297" s="16"/>
      <c r="G297" s="16"/>
      <c r="H297" s="16"/>
    </row>
    <row r="298">
      <c r="A298" s="28" t="s">
        <v>174</v>
      </c>
      <c r="B298" s="16"/>
      <c r="G298" s="16"/>
      <c r="H298" s="16"/>
    </row>
    <row r="299">
      <c r="A299" s="28" t="s">
        <v>174</v>
      </c>
      <c r="B299" s="16"/>
      <c r="G299" s="16"/>
      <c r="H299" s="16"/>
    </row>
    <row r="300">
      <c r="A300" s="28" t="s">
        <v>174</v>
      </c>
      <c r="B300" s="16"/>
      <c r="G300" s="16"/>
      <c r="H300" s="16"/>
    </row>
    <row r="301">
      <c r="A301" s="28" t="s">
        <v>174</v>
      </c>
      <c r="B301" s="16"/>
      <c r="G301" s="16"/>
      <c r="H301" s="16"/>
    </row>
    <row r="302">
      <c r="A302" s="28" t="s">
        <v>174</v>
      </c>
      <c r="B302" s="16"/>
      <c r="G302" s="16"/>
      <c r="H302" s="16"/>
    </row>
    <row r="303">
      <c r="A303" s="28" t="s">
        <v>174</v>
      </c>
      <c r="B303" s="16"/>
      <c r="G303" s="16"/>
      <c r="H303" s="16"/>
    </row>
    <row r="304">
      <c r="A304" s="28" t="s">
        <v>174</v>
      </c>
      <c r="B304" s="16"/>
      <c r="G304" s="16"/>
      <c r="H304" s="16"/>
    </row>
    <row r="305">
      <c r="A305" s="28" t="s">
        <v>174</v>
      </c>
      <c r="B305" s="16"/>
      <c r="G305" s="16"/>
      <c r="H305" s="16"/>
    </row>
    <row r="306">
      <c r="A306" s="28" t="s">
        <v>174</v>
      </c>
      <c r="B306" s="16"/>
      <c r="G306" s="16"/>
      <c r="H306" s="16"/>
    </row>
    <row r="307">
      <c r="A307" s="28" t="s">
        <v>174</v>
      </c>
      <c r="B307" s="16"/>
      <c r="G307" s="16"/>
      <c r="H307" s="16"/>
    </row>
    <row r="308">
      <c r="A308" s="28" t="s">
        <v>174</v>
      </c>
      <c r="B308" s="16"/>
      <c r="G308" s="16"/>
      <c r="H308" s="16"/>
    </row>
    <row r="309">
      <c r="A309" s="28" t="s">
        <v>174</v>
      </c>
      <c r="B309" s="16"/>
      <c r="G309" s="16"/>
      <c r="H309" s="16"/>
    </row>
    <row r="310">
      <c r="A310" s="28" t="s">
        <v>174</v>
      </c>
      <c r="B310" s="16"/>
      <c r="G310" s="16"/>
      <c r="H310" s="16"/>
    </row>
    <row r="311">
      <c r="A311" s="28" t="s">
        <v>174</v>
      </c>
      <c r="B311" s="16"/>
      <c r="G311" s="16"/>
      <c r="H311" s="16"/>
    </row>
    <row r="312">
      <c r="A312" s="28" t="s">
        <v>174</v>
      </c>
      <c r="B312" s="16"/>
      <c r="G312" s="16"/>
      <c r="H312" s="16"/>
    </row>
    <row r="313">
      <c r="A313" s="28" t="s">
        <v>174</v>
      </c>
      <c r="B313" s="16"/>
      <c r="G313" s="16"/>
      <c r="H313" s="16"/>
    </row>
    <row r="314">
      <c r="A314" s="28" t="s">
        <v>174</v>
      </c>
      <c r="B314" s="16"/>
      <c r="G314" s="16"/>
      <c r="H314" s="16"/>
    </row>
    <row r="315">
      <c r="A315" s="28" t="s">
        <v>174</v>
      </c>
      <c r="B315" s="16"/>
      <c r="G315" s="16"/>
      <c r="H315" s="16"/>
    </row>
    <row r="316">
      <c r="A316" s="28" t="s">
        <v>174</v>
      </c>
      <c r="B316" s="16"/>
      <c r="G316" s="16"/>
      <c r="H316" s="16"/>
    </row>
    <row r="317">
      <c r="A317" s="28" t="s">
        <v>174</v>
      </c>
      <c r="B317" s="16"/>
      <c r="G317" s="16"/>
      <c r="H317" s="16"/>
    </row>
    <row r="318">
      <c r="A318" s="28" t="s">
        <v>174</v>
      </c>
      <c r="B318" s="16"/>
      <c r="G318" s="16"/>
      <c r="H318" s="16"/>
    </row>
    <row r="319">
      <c r="A319" s="28" t="s">
        <v>174</v>
      </c>
      <c r="B319" s="16"/>
      <c r="G319" s="16"/>
      <c r="H319" s="16"/>
    </row>
    <row r="320">
      <c r="A320" s="28" t="s">
        <v>174</v>
      </c>
      <c r="B320" s="16"/>
      <c r="G320" s="16"/>
      <c r="H320" s="16"/>
    </row>
    <row r="321">
      <c r="A321" s="28" t="s">
        <v>174</v>
      </c>
      <c r="B321" s="16"/>
      <c r="G321" s="16"/>
      <c r="H321" s="16"/>
    </row>
    <row r="322">
      <c r="A322" s="28" t="s">
        <v>174</v>
      </c>
      <c r="B322" s="16"/>
      <c r="G322" s="16"/>
      <c r="H322" s="16"/>
    </row>
    <row r="323">
      <c r="A323" s="28" t="s">
        <v>174</v>
      </c>
      <c r="B323" s="16"/>
      <c r="G323" s="16"/>
      <c r="H323" s="16"/>
    </row>
    <row r="324">
      <c r="A324" s="28" t="s">
        <v>174</v>
      </c>
      <c r="B324" s="16"/>
      <c r="G324" s="16"/>
      <c r="H324" s="16"/>
    </row>
    <row r="325">
      <c r="A325" s="28" t="s">
        <v>174</v>
      </c>
      <c r="B325" s="16"/>
      <c r="G325" s="16"/>
      <c r="H325" s="16"/>
    </row>
    <row r="326">
      <c r="A326" s="28" t="s">
        <v>174</v>
      </c>
      <c r="B326" s="16"/>
      <c r="G326" s="16"/>
      <c r="H326" s="16"/>
    </row>
    <row r="327">
      <c r="A327" s="28" t="s">
        <v>174</v>
      </c>
      <c r="B327" s="16"/>
      <c r="G327" s="16"/>
      <c r="H327" s="16"/>
    </row>
    <row r="328">
      <c r="A328" s="28" t="s">
        <v>174</v>
      </c>
      <c r="B328" s="16"/>
      <c r="G328" s="16"/>
      <c r="H328" s="16"/>
    </row>
    <row r="329">
      <c r="A329" s="28" t="s">
        <v>174</v>
      </c>
      <c r="B329" s="16"/>
      <c r="G329" s="16"/>
      <c r="H329" s="16"/>
    </row>
    <row r="330">
      <c r="A330" s="28" t="s">
        <v>174</v>
      </c>
      <c r="B330" s="16"/>
      <c r="G330" s="16"/>
      <c r="H330" s="16"/>
    </row>
    <row r="331">
      <c r="A331" s="28" t="s">
        <v>174</v>
      </c>
      <c r="B331" s="16"/>
      <c r="G331" s="16"/>
      <c r="H331" s="16"/>
    </row>
    <row r="332">
      <c r="A332" s="28" t="s">
        <v>174</v>
      </c>
      <c r="B332" s="16"/>
      <c r="G332" s="16"/>
      <c r="H332" s="16"/>
    </row>
    <row r="333">
      <c r="A333" s="28" t="s">
        <v>174</v>
      </c>
      <c r="B333" s="16"/>
      <c r="G333" s="16"/>
      <c r="H333" s="16"/>
    </row>
    <row r="334">
      <c r="A334" s="28" t="s">
        <v>174</v>
      </c>
      <c r="B334" s="16"/>
      <c r="G334" s="16"/>
      <c r="H334" s="16"/>
    </row>
    <row r="335">
      <c r="A335" s="28" t="s">
        <v>174</v>
      </c>
      <c r="B335" s="16"/>
      <c r="G335" s="16"/>
      <c r="H335" s="16"/>
    </row>
    <row r="336">
      <c r="A336" s="28" t="s">
        <v>174</v>
      </c>
      <c r="B336" s="16"/>
      <c r="G336" s="16"/>
      <c r="H336" s="16"/>
    </row>
    <row r="337">
      <c r="A337" s="28" t="s">
        <v>174</v>
      </c>
      <c r="B337" s="16"/>
      <c r="G337" s="16"/>
      <c r="H337" s="16"/>
    </row>
    <row r="338">
      <c r="A338" s="28" t="s">
        <v>174</v>
      </c>
      <c r="B338" s="16"/>
      <c r="G338" s="16"/>
      <c r="H338" s="16"/>
    </row>
    <row r="339">
      <c r="A339" s="28" t="s">
        <v>174</v>
      </c>
      <c r="B339" s="16"/>
      <c r="G339" s="16"/>
      <c r="H339" s="16"/>
    </row>
    <row r="340">
      <c r="A340" s="28" t="s">
        <v>174</v>
      </c>
      <c r="B340" s="16"/>
      <c r="G340" s="16"/>
      <c r="H340" s="16"/>
    </row>
    <row r="341">
      <c r="A341" s="28" t="s">
        <v>174</v>
      </c>
      <c r="B341" s="16"/>
      <c r="G341" s="16"/>
      <c r="H341" s="16"/>
    </row>
    <row r="342">
      <c r="A342" s="28" t="s">
        <v>174</v>
      </c>
      <c r="B342" s="16"/>
      <c r="G342" s="16"/>
      <c r="H342" s="16"/>
    </row>
    <row r="343">
      <c r="A343" s="28" t="s">
        <v>174</v>
      </c>
      <c r="B343" s="16"/>
      <c r="G343" s="16"/>
      <c r="H343" s="16"/>
    </row>
    <row r="344">
      <c r="A344" s="28" t="s">
        <v>174</v>
      </c>
      <c r="B344" s="16"/>
      <c r="G344" s="16"/>
      <c r="H344" s="16"/>
    </row>
    <row r="345">
      <c r="A345" s="28" t="s">
        <v>174</v>
      </c>
      <c r="B345" s="16"/>
      <c r="G345" s="16"/>
      <c r="H345" s="16"/>
    </row>
    <row r="346">
      <c r="A346" s="28" t="s">
        <v>174</v>
      </c>
      <c r="B346" s="16"/>
      <c r="G346" s="16"/>
      <c r="H346" s="16"/>
    </row>
    <row r="347">
      <c r="A347" s="28" t="s">
        <v>174</v>
      </c>
      <c r="B347" s="16"/>
      <c r="G347" s="16"/>
      <c r="H347" s="16"/>
    </row>
    <row r="348">
      <c r="A348" s="28" t="s">
        <v>174</v>
      </c>
      <c r="B348" s="16"/>
      <c r="G348" s="16"/>
      <c r="H348" s="16"/>
    </row>
    <row r="349">
      <c r="A349" s="28" t="s">
        <v>174</v>
      </c>
      <c r="B349" s="16"/>
      <c r="G349" s="16"/>
      <c r="H349" s="16"/>
    </row>
    <row r="350">
      <c r="A350" s="28" t="s">
        <v>174</v>
      </c>
      <c r="B350" s="16"/>
      <c r="G350" s="16"/>
      <c r="H350" s="16"/>
    </row>
    <row r="351">
      <c r="A351" s="28" t="s">
        <v>174</v>
      </c>
      <c r="B351" s="16"/>
      <c r="G351" s="16"/>
      <c r="H351" s="16"/>
    </row>
    <row r="352">
      <c r="A352" s="28" t="s">
        <v>174</v>
      </c>
      <c r="B352" s="16"/>
      <c r="G352" s="16"/>
      <c r="H352" s="16"/>
    </row>
    <row r="353">
      <c r="A353" s="28" t="s">
        <v>174</v>
      </c>
      <c r="B353" s="16"/>
      <c r="G353" s="16"/>
      <c r="H353" s="16"/>
    </row>
    <row r="354">
      <c r="A354" s="28" t="s">
        <v>174</v>
      </c>
      <c r="B354" s="16"/>
      <c r="G354" s="16"/>
      <c r="H354" s="16"/>
    </row>
    <row r="355">
      <c r="A355" s="28" t="s">
        <v>174</v>
      </c>
      <c r="B355" s="16"/>
      <c r="G355" s="16"/>
      <c r="H355" s="16"/>
    </row>
    <row r="356">
      <c r="A356" s="28" t="s">
        <v>174</v>
      </c>
      <c r="B356" s="16"/>
      <c r="G356" s="16"/>
      <c r="H356" s="16"/>
    </row>
    <row r="357">
      <c r="A357" s="28" t="s">
        <v>174</v>
      </c>
      <c r="B357" s="16"/>
      <c r="G357" s="16"/>
      <c r="H357" s="16"/>
    </row>
    <row r="358">
      <c r="A358" s="28" t="s">
        <v>174</v>
      </c>
      <c r="B358" s="16"/>
      <c r="G358" s="16"/>
      <c r="H358" s="16"/>
    </row>
    <row r="359">
      <c r="A359" s="28" t="s">
        <v>174</v>
      </c>
      <c r="B359" s="16"/>
      <c r="G359" s="16"/>
      <c r="H359" s="16"/>
    </row>
    <row r="360">
      <c r="A360" s="28" t="s">
        <v>174</v>
      </c>
      <c r="B360" s="16"/>
      <c r="G360" s="16"/>
      <c r="H360" s="16"/>
    </row>
    <row r="361">
      <c r="A361" s="28" t="s">
        <v>174</v>
      </c>
      <c r="B361" s="16"/>
      <c r="G361" s="16"/>
      <c r="H361" s="16"/>
    </row>
    <row r="362">
      <c r="A362" s="28" t="s">
        <v>174</v>
      </c>
      <c r="B362" s="16"/>
      <c r="G362" s="16"/>
      <c r="H362" s="16"/>
    </row>
    <row r="363">
      <c r="A363" s="28" t="s">
        <v>174</v>
      </c>
      <c r="B363" s="16"/>
      <c r="G363" s="16"/>
      <c r="H363" s="16"/>
    </row>
    <row r="364">
      <c r="A364" s="28" t="s">
        <v>174</v>
      </c>
      <c r="B364" s="16"/>
      <c r="G364" s="16"/>
      <c r="H364" s="16"/>
    </row>
    <row r="365">
      <c r="A365" s="28" t="s">
        <v>174</v>
      </c>
      <c r="B365" s="16"/>
      <c r="G365" s="16"/>
      <c r="H365" s="16"/>
    </row>
    <row r="366">
      <c r="A366" s="28" t="s">
        <v>174</v>
      </c>
      <c r="B366" s="16"/>
      <c r="G366" s="16"/>
      <c r="H366" s="16"/>
    </row>
    <row r="367">
      <c r="A367" s="28" t="s">
        <v>174</v>
      </c>
      <c r="B367" s="16"/>
      <c r="G367" s="16"/>
      <c r="H367" s="16"/>
    </row>
    <row r="368">
      <c r="A368" s="28" t="s">
        <v>174</v>
      </c>
      <c r="B368" s="16"/>
      <c r="G368" s="16"/>
      <c r="H368" s="16"/>
    </row>
    <row r="369">
      <c r="A369" s="28" t="s">
        <v>174</v>
      </c>
      <c r="B369" s="16"/>
      <c r="G369" s="16"/>
      <c r="H369" s="16"/>
    </row>
    <row r="370">
      <c r="A370" s="28" t="s">
        <v>174</v>
      </c>
      <c r="B370" s="16"/>
      <c r="G370" s="16"/>
      <c r="H370" s="16"/>
    </row>
    <row r="371">
      <c r="A371" s="28" t="s">
        <v>174</v>
      </c>
      <c r="B371" s="16"/>
      <c r="G371" s="16"/>
      <c r="H371" s="16"/>
    </row>
    <row r="372">
      <c r="A372" s="28" t="s">
        <v>174</v>
      </c>
      <c r="B372" s="16"/>
      <c r="G372" s="16"/>
      <c r="H372" s="16"/>
    </row>
    <row r="373">
      <c r="A373" s="28" t="s">
        <v>174</v>
      </c>
      <c r="B373" s="16"/>
      <c r="G373" s="16"/>
      <c r="H373" s="16"/>
    </row>
    <row r="374">
      <c r="A374" s="28" t="s">
        <v>174</v>
      </c>
      <c r="B374" s="16"/>
      <c r="G374" s="16"/>
      <c r="H374" s="16"/>
    </row>
    <row r="375">
      <c r="A375" s="28" t="s">
        <v>174</v>
      </c>
      <c r="B375" s="16"/>
      <c r="G375" s="16"/>
      <c r="H375" s="16"/>
    </row>
    <row r="376">
      <c r="A376" s="28" t="s">
        <v>174</v>
      </c>
      <c r="B376" s="16"/>
      <c r="G376" s="16"/>
      <c r="H376" s="16"/>
    </row>
    <row r="377">
      <c r="A377" s="28" t="s">
        <v>174</v>
      </c>
      <c r="B377" s="16"/>
      <c r="G377" s="16"/>
      <c r="H377" s="16"/>
    </row>
    <row r="378">
      <c r="A378" s="28" t="s">
        <v>174</v>
      </c>
      <c r="B378" s="16"/>
      <c r="G378" s="16"/>
      <c r="H378" s="16"/>
    </row>
    <row r="379">
      <c r="A379" s="28" t="s">
        <v>174</v>
      </c>
      <c r="B379" s="16"/>
      <c r="G379" s="16"/>
      <c r="H379" s="16"/>
    </row>
    <row r="380">
      <c r="A380" s="28" t="s">
        <v>174</v>
      </c>
      <c r="B380" s="16"/>
      <c r="G380" s="16"/>
      <c r="H380" s="16"/>
    </row>
    <row r="381">
      <c r="A381" s="28" t="s">
        <v>174</v>
      </c>
      <c r="B381" s="16"/>
      <c r="G381" s="16"/>
      <c r="H381" s="16"/>
    </row>
    <row r="382">
      <c r="A382" s="28" t="s">
        <v>174</v>
      </c>
      <c r="B382" s="16"/>
      <c r="G382" s="16"/>
      <c r="H382" s="16"/>
    </row>
    <row r="383">
      <c r="A383" s="28" t="s">
        <v>174</v>
      </c>
      <c r="B383" s="16"/>
      <c r="G383" s="16"/>
      <c r="H383" s="16"/>
    </row>
    <row r="384">
      <c r="A384" s="28" t="s">
        <v>174</v>
      </c>
      <c r="B384" s="16"/>
      <c r="G384" s="16"/>
      <c r="H384" s="16"/>
    </row>
    <row r="385">
      <c r="A385" s="28" t="s">
        <v>174</v>
      </c>
      <c r="B385" s="16"/>
      <c r="G385" s="16"/>
      <c r="H385" s="16"/>
    </row>
    <row r="386">
      <c r="A386" s="28" t="s">
        <v>174</v>
      </c>
      <c r="B386" s="16"/>
      <c r="G386" s="16"/>
      <c r="H386" s="16"/>
    </row>
    <row r="387">
      <c r="A387" s="28" t="s">
        <v>174</v>
      </c>
      <c r="B387" s="16"/>
      <c r="G387" s="16"/>
      <c r="H387" s="16"/>
    </row>
    <row r="388">
      <c r="A388" s="28" t="s">
        <v>174</v>
      </c>
      <c r="B388" s="16"/>
      <c r="G388" s="16"/>
      <c r="H388" s="16"/>
    </row>
    <row r="389">
      <c r="A389" s="28" t="s">
        <v>174</v>
      </c>
      <c r="B389" s="16"/>
      <c r="G389" s="16"/>
      <c r="H389" s="16"/>
    </row>
    <row r="390">
      <c r="A390" s="28" t="s">
        <v>174</v>
      </c>
      <c r="B390" s="16"/>
      <c r="G390" s="16"/>
      <c r="H390" s="16"/>
    </row>
    <row r="391">
      <c r="A391" s="28" t="s">
        <v>174</v>
      </c>
      <c r="B391" s="16"/>
      <c r="G391" s="16"/>
      <c r="H391" s="16"/>
    </row>
    <row r="392">
      <c r="A392" s="28" t="s">
        <v>174</v>
      </c>
      <c r="B392" s="16"/>
      <c r="G392" s="16"/>
      <c r="H392" s="16"/>
    </row>
    <row r="393">
      <c r="A393" s="28" t="s">
        <v>174</v>
      </c>
      <c r="B393" s="16"/>
      <c r="G393" s="16"/>
      <c r="H393" s="16"/>
    </row>
    <row r="394">
      <c r="A394" s="28" t="s">
        <v>174</v>
      </c>
      <c r="B394" s="16"/>
      <c r="G394" s="16"/>
      <c r="H394" s="16"/>
    </row>
    <row r="395">
      <c r="A395" s="28" t="s">
        <v>174</v>
      </c>
      <c r="B395" s="16"/>
      <c r="G395" s="16"/>
      <c r="H395" s="16"/>
    </row>
    <row r="396">
      <c r="A396" s="28" t="s">
        <v>174</v>
      </c>
      <c r="B396" s="16"/>
      <c r="G396" s="16"/>
      <c r="H396" s="16"/>
    </row>
    <row r="397">
      <c r="A397" s="28" t="s">
        <v>174</v>
      </c>
      <c r="B397" s="16"/>
      <c r="G397" s="16"/>
      <c r="H397" s="16"/>
    </row>
    <row r="398">
      <c r="A398" s="28" t="s">
        <v>174</v>
      </c>
      <c r="B398" s="16"/>
      <c r="G398" s="16"/>
      <c r="H398" s="16"/>
    </row>
    <row r="399">
      <c r="A399" s="28" t="s">
        <v>174</v>
      </c>
      <c r="B399" s="16"/>
      <c r="G399" s="16"/>
      <c r="H399" s="16"/>
    </row>
    <row r="400">
      <c r="A400" s="28" t="s">
        <v>174</v>
      </c>
      <c r="B400" s="16"/>
      <c r="G400" s="16"/>
      <c r="H400" s="16"/>
    </row>
    <row r="401">
      <c r="A401" s="28" t="s">
        <v>174</v>
      </c>
      <c r="B401" s="16"/>
      <c r="G401" s="16"/>
      <c r="H401" s="16"/>
    </row>
    <row r="402">
      <c r="A402" s="28" t="s">
        <v>174</v>
      </c>
      <c r="B402" s="16"/>
      <c r="G402" s="16"/>
      <c r="H402" s="16"/>
    </row>
    <row r="403">
      <c r="A403" s="28" t="s">
        <v>174</v>
      </c>
      <c r="B403" s="16"/>
      <c r="G403" s="16"/>
      <c r="H403" s="16"/>
    </row>
    <row r="404">
      <c r="A404" s="28" t="s">
        <v>174</v>
      </c>
      <c r="B404" s="16"/>
      <c r="G404" s="16"/>
      <c r="H404" s="16"/>
    </row>
    <row r="405">
      <c r="A405" s="28" t="s">
        <v>174</v>
      </c>
      <c r="B405" s="16"/>
      <c r="G405" s="16"/>
      <c r="H405" s="16"/>
    </row>
    <row r="406">
      <c r="A406" s="28" t="s">
        <v>174</v>
      </c>
      <c r="B406" s="16"/>
      <c r="G406" s="16"/>
      <c r="H406" s="16"/>
    </row>
    <row r="407">
      <c r="A407" s="28" t="s">
        <v>174</v>
      </c>
      <c r="B407" s="16"/>
      <c r="G407" s="16"/>
      <c r="H407" s="16"/>
    </row>
    <row r="408">
      <c r="A408" s="28" t="s">
        <v>174</v>
      </c>
      <c r="B408" s="16"/>
      <c r="G408" s="16"/>
      <c r="H408" s="16"/>
    </row>
    <row r="409">
      <c r="A409" s="28" t="s">
        <v>174</v>
      </c>
      <c r="B409" s="16"/>
      <c r="G409" s="16"/>
      <c r="H409" s="16"/>
    </row>
    <row r="410">
      <c r="A410" s="28" t="s">
        <v>174</v>
      </c>
      <c r="B410" s="16"/>
      <c r="G410" s="16"/>
      <c r="H410" s="16"/>
    </row>
    <row r="411">
      <c r="A411" s="28" t="s">
        <v>174</v>
      </c>
      <c r="B411" s="16"/>
      <c r="G411" s="16"/>
      <c r="H411" s="16"/>
    </row>
    <row r="412">
      <c r="A412" s="28" t="s">
        <v>174</v>
      </c>
      <c r="B412" s="16"/>
      <c r="G412" s="16"/>
      <c r="H412" s="16"/>
    </row>
    <row r="413">
      <c r="A413" s="28" t="s">
        <v>174</v>
      </c>
      <c r="B413" s="16"/>
      <c r="G413" s="16"/>
      <c r="H413" s="16"/>
    </row>
    <row r="414">
      <c r="A414" s="28" t="s">
        <v>174</v>
      </c>
      <c r="B414" s="16"/>
      <c r="G414" s="16"/>
      <c r="H414" s="16"/>
    </row>
    <row r="415">
      <c r="A415" s="28" t="s">
        <v>174</v>
      </c>
      <c r="B415" s="16"/>
      <c r="G415" s="16"/>
      <c r="H415" s="16"/>
    </row>
    <row r="416">
      <c r="A416" s="28" t="s">
        <v>174</v>
      </c>
      <c r="B416" s="16"/>
      <c r="G416" s="16"/>
      <c r="H416" s="16"/>
    </row>
    <row r="417">
      <c r="A417" s="28" t="s">
        <v>174</v>
      </c>
      <c r="B417" s="16"/>
      <c r="G417" s="16"/>
      <c r="H417" s="16"/>
    </row>
    <row r="418">
      <c r="A418" s="28" t="s">
        <v>174</v>
      </c>
      <c r="B418" s="16"/>
      <c r="G418" s="16"/>
      <c r="H418" s="16"/>
    </row>
    <row r="419">
      <c r="A419" s="28" t="s">
        <v>174</v>
      </c>
      <c r="B419" s="16"/>
      <c r="G419" s="16"/>
      <c r="H419" s="16"/>
    </row>
    <row r="420">
      <c r="A420" s="28" t="s">
        <v>174</v>
      </c>
      <c r="B420" s="16"/>
      <c r="G420" s="16"/>
      <c r="H420" s="16"/>
    </row>
    <row r="421">
      <c r="A421" s="28" t="s">
        <v>174</v>
      </c>
      <c r="B421" s="16"/>
      <c r="G421" s="16"/>
      <c r="H421" s="16"/>
    </row>
    <row r="422">
      <c r="A422" s="28" t="s">
        <v>174</v>
      </c>
      <c r="B422" s="16"/>
      <c r="G422" s="16"/>
      <c r="H422" s="16"/>
    </row>
    <row r="423">
      <c r="A423" s="28" t="s">
        <v>174</v>
      </c>
      <c r="B423" s="16"/>
      <c r="G423" s="16"/>
      <c r="H423" s="16"/>
    </row>
    <row r="424">
      <c r="A424" s="28" t="s">
        <v>174</v>
      </c>
      <c r="B424" s="16"/>
      <c r="G424" s="16"/>
      <c r="H424" s="16"/>
    </row>
    <row r="425">
      <c r="A425" s="28" t="s">
        <v>174</v>
      </c>
      <c r="B425" s="16"/>
      <c r="G425" s="16"/>
      <c r="H425" s="16"/>
    </row>
    <row r="426">
      <c r="A426" s="28" t="s">
        <v>174</v>
      </c>
      <c r="B426" s="16"/>
      <c r="G426" s="16"/>
      <c r="H426" s="16"/>
    </row>
    <row r="427">
      <c r="A427" s="28" t="s">
        <v>174</v>
      </c>
      <c r="B427" s="16"/>
      <c r="G427" s="16"/>
      <c r="H427" s="16"/>
    </row>
    <row r="428">
      <c r="A428" s="28" t="s">
        <v>174</v>
      </c>
      <c r="B428" s="16"/>
      <c r="G428" s="16"/>
      <c r="H428" s="16"/>
    </row>
    <row r="429">
      <c r="A429" s="28" t="s">
        <v>174</v>
      </c>
      <c r="B429" s="16"/>
      <c r="G429" s="16"/>
      <c r="H429" s="16"/>
    </row>
    <row r="430">
      <c r="A430" s="28" t="s">
        <v>174</v>
      </c>
      <c r="B430" s="16"/>
      <c r="G430" s="16"/>
      <c r="H430" s="16"/>
    </row>
    <row r="431">
      <c r="A431" s="28" t="s">
        <v>174</v>
      </c>
      <c r="B431" s="16"/>
      <c r="G431" s="16"/>
      <c r="H431" s="16"/>
    </row>
    <row r="432">
      <c r="A432" s="28" t="s">
        <v>174</v>
      </c>
      <c r="B432" s="16"/>
      <c r="G432" s="16"/>
      <c r="H432" s="16"/>
    </row>
    <row r="433">
      <c r="A433" s="28" t="s">
        <v>174</v>
      </c>
      <c r="B433" s="16"/>
      <c r="G433" s="16"/>
      <c r="H433" s="16"/>
    </row>
    <row r="434">
      <c r="A434" s="28" t="s">
        <v>174</v>
      </c>
      <c r="B434" s="16"/>
      <c r="G434" s="16"/>
      <c r="H434" s="16"/>
    </row>
    <row r="435">
      <c r="A435" s="28" t="s">
        <v>174</v>
      </c>
      <c r="B435" s="16"/>
      <c r="G435" s="16"/>
      <c r="H435" s="16"/>
    </row>
    <row r="436">
      <c r="A436" s="28" t="s">
        <v>174</v>
      </c>
      <c r="B436" s="16"/>
      <c r="G436" s="16"/>
      <c r="H436" s="16"/>
    </row>
    <row r="437">
      <c r="A437" s="28" t="s">
        <v>174</v>
      </c>
      <c r="B437" s="16"/>
      <c r="G437" s="16"/>
      <c r="H437" s="16"/>
    </row>
    <row r="438">
      <c r="A438" s="28" t="s">
        <v>174</v>
      </c>
      <c r="B438" s="16"/>
      <c r="G438" s="16"/>
      <c r="H438" s="16"/>
    </row>
    <row r="439">
      <c r="A439" s="28" t="s">
        <v>174</v>
      </c>
      <c r="B439" s="16"/>
      <c r="G439" s="16"/>
      <c r="H439" s="16"/>
    </row>
    <row r="440">
      <c r="A440" s="28" t="s">
        <v>174</v>
      </c>
      <c r="B440" s="16"/>
      <c r="G440" s="16"/>
      <c r="H440" s="16"/>
    </row>
    <row r="441">
      <c r="A441" s="28" t="s">
        <v>174</v>
      </c>
      <c r="B441" s="16"/>
      <c r="G441" s="16"/>
      <c r="H441" s="16"/>
    </row>
    <row r="442">
      <c r="A442" s="28" t="s">
        <v>174</v>
      </c>
      <c r="B442" s="16"/>
      <c r="G442" s="16"/>
      <c r="H442" s="16"/>
    </row>
    <row r="443">
      <c r="A443" s="28" t="s">
        <v>174</v>
      </c>
      <c r="B443" s="16"/>
      <c r="G443" s="16"/>
      <c r="H443" s="16"/>
    </row>
    <row r="444">
      <c r="A444" s="28" t="s">
        <v>174</v>
      </c>
      <c r="B444" s="16"/>
      <c r="G444" s="16"/>
      <c r="H444" s="16"/>
    </row>
    <row r="445">
      <c r="A445" s="28" t="s">
        <v>174</v>
      </c>
      <c r="B445" s="16"/>
      <c r="G445" s="16"/>
      <c r="H445" s="16"/>
    </row>
    <row r="446">
      <c r="A446" s="28" t="s">
        <v>174</v>
      </c>
      <c r="B446" s="16"/>
      <c r="G446" s="16"/>
      <c r="H446" s="16"/>
    </row>
    <row r="447">
      <c r="A447" s="28" t="s">
        <v>174</v>
      </c>
      <c r="B447" s="16"/>
      <c r="G447" s="16"/>
      <c r="H447" s="16"/>
    </row>
    <row r="448">
      <c r="A448" s="28" t="s">
        <v>174</v>
      </c>
      <c r="B448" s="16"/>
      <c r="G448" s="16"/>
      <c r="H448" s="16"/>
    </row>
    <row r="449">
      <c r="A449" s="28" t="s">
        <v>174</v>
      </c>
      <c r="B449" s="16"/>
      <c r="G449" s="16"/>
      <c r="H449" s="16"/>
    </row>
    <row r="450">
      <c r="A450" s="28" t="s">
        <v>174</v>
      </c>
      <c r="B450" s="16"/>
      <c r="G450" s="16"/>
      <c r="H450" s="16"/>
    </row>
    <row r="451">
      <c r="A451" s="28" t="s">
        <v>174</v>
      </c>
      <c r="B451" s="16"/>
      <c r="G451" s="16"/>
      <c r="H451" s="16"/>
    </row>
    <row r="452">
      <c r="A452" s="28" t="s">
        <v>174</v>
      </c>
      <c r="B452" s="16"/>
      <c r="G452" s="16"/>
      <c r="H452" s="16"/>
    </row>
    <row r="453">
      <c r="A453" s="28" t="s">
        <v>174</v>
      </c>
      <c r="B453" s="16"/>
      <c r="G453" s="16"/>
      <c r="H453" s="16"/>
    </row>
    <row r="454">
      <c r="A454" s="28" t="s">
        <v>174</v>
      </c>
      <c r="B454" s="16"/>
      <c r="G454" s="16"/>
      <c r="H454" s="16"/>
    </row>
    <row r="455">
      <c r="A455" s="28" t="s">
        <v>174</v>
      </c>
      <c r="B455" s="16"/>
      <c r="G455" s="16"/>
      <c r="H455" s="16"/>
    </row>
    <row r="456">
      <c r="A456" s="28" t="s">
        <v>174</v>
      </c>
      <c r="B456" s="16"/>
      <c r="G456" s="16"/>
      <c r="H456" s="16"/>
    </row>
    <row r="457">
      <c r="A457" s="28" t="s">
        <v>174</v>
      </c>
      <c r="B457" s="16"/>
      <c r="G457" s="16"/>
      <c r="H457" s="16"/>
    </row>
    <row r="458">
      <c r="A458" s="28" t="s">
        <v>174</v>
      </c>
      <c r="B458" s="16"/>
      <c r="G458" s="16"/>
      <c r="H458" s="16"/>
    </row>
    <row r="459">
      <c r="A459" s="28" t="s">
        <v>174</v>
      </c>
      <c r="B459" s="16"/>
      <c r="G459" s="16"/>
      <c r="H459" s="16"/>
    </row>
    <row r="460">
      <c r="A460" s="28" t="s">
        <v>174</v>
      </c>
      <c r="B460" s="16"/>
      <c r="G460" s="16"/>
      <c r="H460" s="16"/>
    </row>
    <row r="461">
      <c r="A461" s="28" t="s">
        <v>174</v>
      </c>
      <c r="B461" s="16"/>
      <c r="G461" s="16"/>
      <c r="H461" s="16"/>
    </row>
    <row r="462">
      <c r="A462" s="28" t="s">
        <v>174</v>
      </c>
      <c r="B462" s="16"/>
      <c r="G462" s="16"/>
      <c r="H462" s="16"/>
    </row>
    <row r="463">
      <c r="A463" s="28" t="s">
        <v>174</v>
      </c>
      <c r="B463" s="16"/>
      <c r="G463" s="16"/>
      <c r="H463" s="16"/>
    </row>
    <row r="464">
      <c r="A464" s="28" t="s">
        <v>174</v>
      </c>
      <c r="B464" s="16"/>
      <c r="G464" s="16"/>
      <c r="H464" s="16"/>
    </row>
    <row r="465">
      <c r="A465" s="28" t="s">
        <v>174</v>
      </c>
      <c r="B465" s="16"/>
      <c r="G465" s="16"/>
      <c r="H465" s="16"/>
    </row>
    <row r="466">
      <c r="A466" s="28" t="s">
        <v>174</v>
      </c>
      <c r="B466" s="16"/>
      <c r="G466" s="16"/>
      <c r="H466" s="16"/>
    </row>
    <row r="467">
      <c r="A467" s="28" t="s">
        <v>174</v>
      </c>
      <c r="B467" s="16"/>
      <c r="G467" s="16"/>
      <c r="H467" s="16"/>
    </row>
    <row r="468">
      <c r="A468" s="28" t="s">
        <v>174</v>
      </c>
      <c r="B468" s="16"/>
      <c r="G468" s="16"/>
      <c r="H468" s="16"/>
    </row>
    <row r="469">
      <c r="A469" s="28" t="s">
        <v>174</v>
      </c>
      <c r="B469" s="16"/>
      <c r="G469" s="16"/>
      <c r="H469" s="16"/>
    </row>
    <row r="470">
      <c r="A470" s="28" t="s">
        <v>174</v>
      </c>
      <c r="B470" s="16"/>
      <c r="G470" s="16"/>
      <c r="H470" s="16"/>
    </row>
    <row r="471">
      <c r="A471" s="28" t="s">
        <v>174</v>
      </c>
      <c r="B471" s="16"/>
      <c r="G471" s="16"/>
      <c r="H471" s="16"/>
    </row>
    <row r="472">
      <c r="A472" s="28" t="s">
        <v>174</v>
      </c>
      <c r="B472" s="16"/>
      <c r="G472" s="16"/>
      <c r="H472" s="16"/>
    </row>
    <row r="473">
      <c r="A473" s="28" t="s">
        <v>174</v>
      </c>
      <c r="B473" s="16"/>
      <c r="G473" s="16"/>
      <c r="H473" s="16"/>
    </row>
    <row r="474">
      <c r="A474" s="28" t="s">
        <v>174</v>
      </c>
      <c r="B474" s="16"/>
      <c r="G474" s="16"/>
      <c r="H474" s="16"/>
    </row>
    <row r="475">
      <c r="A475" s="28" t="s">
        <v>174</v>
      </c>
      <c r="B475" s="16"/>
      <c r="G475" s="16"/>
      <c r="H475" s="16"/>
    </row>
    <row r="476">
      <c r="A476" s="28" t="s">
        <v>174</v>
      </c>
      <c r="B476" s="16"/>
      <c r="G476" s="16"/>
      <c r="H476" s="16"/>
    </row>
    <row r="477">
      <c r="A477" s="28" t="s">
        <v>174</v>
      </c>
      <c r="B477" s="16"/>
      <c r="G477" s="16"/>
      <c r="H477" s="16"/>
    </row>
    <row r="478">
      <c r="A478" s="28" t="s">
        <v>174</v>
      </c>
      <c r="B478" s="16"/>
      <c r="G478" s="16"/>
      <c r="H478" s="16"/>
    </row>
    <row r="479">
      <c r="A479" s="28" t="s">
        <v>174</v>
      </c>
      <c r="B479" s="16"/>
      <c r="G479" s="16"/>
      <c r="H479" s="16"/>
    </row>
    <row r="480">
      <c r="A480" s="28" t="s">
        <v>174</v>
      </c>
      <c r="B480" s="16"/>
      <c r="G480" s="16"/>
      <c r="H480" s="16"/>
    </row>
    <row r="481">
      <c r="A481" s="28" t="s">
        <v>174</v>
      </c>
      <c r="B481" s="16"/>
      <c r="G481" s="16"/>
      <c r="H481" s="16"/>
    </row>
    <row r="482">
      <c r="A482" s="28" t="s">
        <v>174</v>
      </c>
      <c r="B482" s="16"/>
      <c r="G482" s="16"/>
      <c r="H482" s="16"/>
    </row>
    <row r="483">
      <c r="A483" s="28" t="s">
        <v>174</v>
      </c>
      <c r="B483" s="16"/>
      <c r="G483" s="16"/>
      <c r="H483" s="16"/>
    </row>
    <row r="484">
      <c r="A484" s="28" t="s">
        <v>174</v>
      </c>
      <c r="B484" s="16"/>
      <c r="G484" s="16"/>
      <c r="H484" s="16"/>
    </row>
    <row r="485">
      <c r="A485" s="28" t="s">
        <v>174</v>
      </c>
      <c r="B485" s="16"/>
      <c r="G485" s="16"/>
      <c r="H485" s="16"/>
    </row>
    <row r="486">
      <c r="A486" s="28" t="s">
        <v>174</v>
      </c>
      <c r="B486" s="16"/>
      <c r="G486" s="16"/>
      <c r="H486" s="16"/>
    </row>
    <row r="487">
      <c r="A487" s="28" t="s">
        <v>174</v>
      </c>
      <c r="B487" s="16"/>
      <c r="G487" s="16"/>
      <c r="H487" s="16"/>
    </row>
    <row r="488">
      <c r="A488" s="28" t="s">
        <v>174</v>
      </c>
      <c r="B488" s="16"/>
      <c r="G488" s="16"/>
      <c r="H488" s="16"/>
    </row>
    <row r="489">
      <c r="A489" s="28" t="s">
        <v>174</v>
      </c>
      <c r="B489" s="16"/>
      <c r="G489" s="16"/>
      <c r="H489" s="16"/>
    </row>
    <row r="490">
      <c r="A490" s="28" t="s">
        <v>174</v>
      </c>
      <c r="B490" s="16"/>
      <c r="G490" s="16"/>
      <c r="H490" s="16"/>
    </row>
    <row r="491">
      <c r="A491" s="28" t="s">
        <v>174</v>
      </c>
      <c r="B491" s="16"/>
      <c r="G491" s="16"/>
      <c r="H491" s="16"/>
    </row>
    <row r="492">
      <c r="A492" s="28" t="s">
        <v>174</v>
      </c>
      <c r="B492" s="16"/>
      <c r="G492" s="16"/>
      <c r="H492" s="16"/>
    </row>
    <row r="493">
      <c r="A493" s="28" t="s">
        <v>174</v>
      </c>
      <c r="B493" s="16"/>
      <c r="G493" s="16"/>
      <c r="H493" s="16"/>
    </row>
    <row r="494">
      <c r="A494" s="28" t="s">
        <v>174</v>
      </c>
      <c r="B494" s="16"/>
      <c r="G494" s="16"/>
      <c r="H494" s="16"/>
    </row>
    <row r="495">
      <c r="A495" s="28" t="s">
        <v>174</v>
      </c>
      <c r="B495" s="16"/>
      <c r="G495" s="16"/>
      <c r="H495" s="16"/>
    </row>
    <row r="496">
      <c r="A496" s="28" t="s">
        <v>174</v>
      </c>
      <c r="B496" s="16"/>
      <c r="G496" s="16"/>
      <c r="H496" s="16"/>
    </row>
    <row r="497">
      <c r="A497" s="28" t="s">
        <v>174</v>
      </c>
      <c r="B497" s="16"/>
      <c r="G497" s="16"/>
      <c r="H497" s="16"/>
    </row>
    <row r="498">
      <c r="A498" s="28" t="s">
        <v>174</v>
      </c>
      <c r="B498" s="16"/>
      <c r="G498" s="16"/>
      <c r="H498" s="16"/>
    </row>
    <row r="499">
      <c r="A499" s="28" t="s">
        <v>174</v>
      </c>
      <c r="B499" s="16"/>
      <c r="G499" s="16"/>
      <c r="H499" s="16"/>
    </row>
    <row r="500">
      <c r="A500" s="28" t="s">
        <v>174</v>
      </c>
      <c r="B500" s="16"/>
      <c r="G500" s="16"/>
      <c r="H500" s="16"/>
    </row>
    <row r="501">
      <c r="A501" s="28" t="s">
        <v>174</v>
      </c>
      <c r="B501" s="16"/>
      <c r="G501" s="16"/>
      <c r="H501" s="16"/>
    </row>
    <row r="502">
      <c r="A502" s="28" t="s">
        <v>174</v>
      </c>
      <c r="B502" s="16"/>
      <c r="G502" s="16"/>
      <c r="H502" s="16"/>
    </row>
    <row r="503">
      <c r="A503" s="28" t="s">
        <v>174</v>
      </c>
      <c r="B503" s="16"/>
      <c r="G503" s="16"/>
      <c r="H503" s="16"/>
    </row>
    <row r="504">
      <c r="A504" s="28" t="s">
        <v>174</v>
      </c>
      <c r="B504" s="16"/>
      <c r="G504" s="16"/>
      <c r="H504" s="16"/>
    </row>
    <row r="505">
      <c r="A505" s="28" t="s">
        <v>174</v>
      </c>
      <c r="B505" s="16"/>
      <c r="G505" s="16"/>
      <c r="H505" s="16"/>
    </row>
    <row r="506">
      <c r="A506" s="28" t="s">
        <v>174</v>
      </c>
      <c r="B506" s="16"/>
      <c r="G506" s="16"/>
      <c r="H506" s="16"/>
    </row>
    <row r="507">
      <c r="A507" s="28" t="s">
        <v>174</v>
      </c>
      <c r="B507" s="16"/>
      <c r="G507" s="16"/>
      <c r="H507" s="16"/>
    </row>
    <row r="508">
      <c r="A508" s="28" t="s">
        <v>174</v>
      </c>
      <c r="B508" s="16"/>
      <c r="G508" s="16"/>
      <c r="H508" s="16"/>
    </row>
    <row r="509">
      <c r="A509" s="28" t="s">
        <v>174</v>
      </c>
      <c r="B509" s="16"/>
      <c r="G509" s="16"/>
      <c r="H509" s="16"/>
    </row>
    <row r="510">
      <c r="A510" s="28" t="s">
        <v>174</v>
      </c>
      <c r="B510" s="16"/>
      <c r="G510" s="16"/>
      <c r="H510" s="16"/>
    </row>
    <row r="511">
      <c r="A511" s="28" t="s">
        <v>174</v>
      </c>
      <c r="B511" s="16"/>
      <c r="G511" s="16"/>
      <c r="H511" s="16"/>
    </row>
    <row r="512">
      <c r="A512" s="28" t="s">
        <v>174</v>
      </c>
      <c r="B512" s="16"/>
      <c r="G512" s="16"/>
      <c r="H512" s="16"/>
    </row>
    <row r="513">
      <c r="A513" s="28" t="s">
        <v>174</v>
      </c>
      <c r="B513" s="16"/>
      <c r="G513" s="16"/>
      <c r="H513" s="16"/>
    </row>
    <row r="514">
      <c r="A514" s="28" t="s">
        <v>174</v>
      </c>
      <c r="B514" s="16"/>
      <c r="G514" s="16"/>
      <c r="H514" s="16"/>
    </row>
    <row r="515">
      <c r="A515" s="28" t="s">
        <v>174</v>
      </c>
      <c r="B515" s="16"/>
      <c r="G515" s="16"/>
      <c r="H515" s="16"/>
    </row>
    <row r="516">
      <c r="A516" s="28" t="s">
        <v>174</v>
      </c>
      <c r="B516" s="16"/>
      <c r="G516" s="16"/>
      <c r="H516" s="16"/>
    </row>
    <row r="517">
      <c r="A517" s="28" t="s">
        <v>174</v>
      </c>
      <c r="B517" s="16"/>
      <c r="G517" s="16"/>
      <c r="H517" s="16"/>
    </row>
    <row r="518">
      <c r="A518" s="28" t="s">
        <v>174</v>
      </c>
      <c r="B518" s="16"/>
      <c r="G518" s="16"/>
      <c r="H518" s="16"/>
    </row>
    <row r="519">
      <c r="A519" s="28" t="s">
        <v>174</v>
      </c>
      <c r="B519" s="16"/>
      <c r="G519" s="16"/>
      <c r="H519" s="16"/>
    </row>
    <row r="520">
      <c r="A520" s="28" t="s">
        <v>174</v>
      </c>
      <c r="B520" s="16"/>
      <c r="G520" s="16"/>
      <c r="H520" s="16"/>
    </row>
    <row r="521">
      <c r="A521" s="28" t="s">
        <v>174</v>
      </c>
      <c r="B521" s="16"/>
      <c r="G521" s="16"/>
      <c r="H521" s="16"/>
    </row>
    <row r="522">
      <c r="A522" s="28" t="s">
        <v>174</v>
      </c>
      <c r="B522" s="16"/>
      <c r="G522" s="16"/>
      <c r="H522" s="16"/>
    </row>
    <row r="523">
      <c r="A523" s="28" t="s">
        <v>174</v>
      </c>
      <c r="B523" s="16"/>
      <c r="G523" s="16"/>
      <c r="H523" s="16"/>
    </row>
    <row r="524">
      <c r="A524" s="28" t="s">
        <v>174</v>
      </c>
      <c r="B524" s="16"/>
      <c r="G524" s="16"/>
      <c r="H524" s="16"/>
    </row>
    <row r="525">
      <c r="A525" s="28" t="s">
        <v>174</v>
      </c>
      <c r="B525" s="16"/>
      <c r="G525" s="16"/>
      <c r="H525" s="16"/>
    </row>
    <row r="526">
      <c r="A526" s="28" t="s">
        <v>174</v>
      </c>
      <c r="B526" s="16"/>
      <c r="G526" s="16"/>
      <c r="H526" s="16"/>
    </row>
    <row r="527">
      <c r="A527" s="28" t="s">
        <v>174</v>
      </c>
      <c r="B527" s="16"/>
      <c r="G527" s="16"/>
      <c r="H527" s="16"/>
    </row>
    <row r="528">
      <c r="A528" s="28" t="s">
        <v>174</v>
      </c>
      <c r="B528" s="16"/>
      <c r="G528" s="16"/>
      <c r="H528" s="16"/>
    </row>
    <row r="529">
      <c r="A529" s="28" t="s">
        <v>174</v>
      </c>
      <c r="B529" s="16"/>
      <c r="G529" s="16"/>
      <c r="H529" s="16"/>
    </row>
    <row r="530">
      <c r="A530" s="28" t="s">
        <v>174</v>
      </c>
      <c r="B530" s="16"/>
      <c r="G530" s="16"/>
      <c r="H530" s="16"/>
    </row>
    <row r="531">
      <c r="A531" s="28" t="s">
        <v>174</v>
      </c>
      <c r="B531" s="16"/>
      <c r="G531" s="16"/>
      <c r="H531" s="16"/>
    </row>
    <row r="532">
      <c r="A532" s="28" t="s">
        <v>174</v>
      </c>
      <c r="B532" s="16"/>
      <c r="G532" s="16"/>
      <c r="H532" s="16"/>
    </row>
    <row r="533">
      <c r="A533" s="28" t="s">
        <v>174</v>
      </c>
      <c r="B533" s="16"/>
      <c r="G533" s="16"/>
      <c r="H533" s="16"/>
    </row>
    <row r="534">
      <c r="A534" s="28" t="s">
        <v>174</v>
      </c>
      <c r="B534" s="16"/>
      <c r="G534" s="16"/>
      <c r="H534" s="16"/>
    </row>
    <row r="535">
      <c r="A535" s="28" t="s">
        <v>174</v>
      </c>
      <c r="B535" s="16"/>
      <c r="G535" s="16"/>
      <c r="H535" s="16"/>
    </row>
    <row r="536">
      <c r="A536" s="28" t="s">
        <v>174</v>
      </c>
      <c r="B536" s="16"/>
      <c r="G536" s="16"/>
      <c r="H536" s="16"/>
    </row>
    <row r="537">
      <c r="A537" s="28" t="s">
        <v>174</v>
      </c>
      <c r="B537" s="16"/>
      <c r="G537" s="16"/>
      <c r="H537" s="16"/>
    </row>
    <row r="538">
      <c r="A538" s="28" t="s">
        <v>174</v>
      </c>
      <c r="B538" s="16"/>
      <c r="G538" s="16"/>
      <c r="H538" s="16"/>
    </row>
    <row r="539">
      <c r="A539" s="28" t="s">
        <v>174</v>
      </c>
      <c r="B539" s="16"/>
      <c r="G539" s="16"/>
      <c r="H539" s="16"/>
    </row>
    <row r="540">
      <c r="A540" s="28" t="s">
        <v>174</v>
      </c>
      <c r="B540" s="16"/>
      <c r="G540" s="16"/>
      <c r="H540" s="16"/>
    </row>
    <row r="541">
      <c r="A541" s="28" t="s">
        <v>174</v>
      </c>
      <c r="B541" s="16"/>
      <c r="G541" s="16"/>
      <c r="H541" s="16"/>
    </row>
    <row r="542">
      <c r="A542" s="28" t="s">
        <v>174</v>
      </c>
      <c r="B542" s="16"/>
      <c r="G542" s="16"/>
      <c r="H542" s="16"/>
    </row>
    <row r="543">
      <c r="A543" s="28" t="s">
        <v>174</v>
      </c>
      <c r="B543" s="16"/>
      <c r="G543" s="16"/>
      <c r="H543" s="16"/>
    </row>
    <row r="544">
      <c r="A544" s="28" t="s">
        <v>174</v>
      </c>
      <c r="B544" s="16"/>
      <c r="G544" s="16"/>
      <c r="H544" s="16"/>
    </row>
    <row r="545">
      <c r="A545" s="28" t="s">
        <v>174</v>
      </c>
      <c r="B545" s="16"/>
      <c r="G545" s="16"/>
      <c r="H545" s="16"/>
    </row>
    <row r="546">
      <c r="A546" s="28" t="s">
        <v>174</v>
      </c>
      <c r="B546" s="16"/>
      <c r="G546" s="16"/>
      <c r="H546" s="16"/>
    </row>
    <row r="547">
      <c r="A547" s="28" t="s">
        <v>174</v>
      </c>
      <c r="B547" s="16"/>
      <c r="G547" s="16"/>
      <c r="H547" s="16"/>
    </row>
    <row r="548">
      <c r="A548" s="28" t="s">
        <v>174</v>
      </c>
      <c r="B548" s="16"/>
      <c r="G548" s="16"/>
      <c r="H548" s="16"/>
    </row>
    <row r="549">
      <c r="A549" s="28" t="s">
        <v>174</v>
      </c>
      <c r="B549" s="16"/>
      <c r="G549" s="16"/>
      <c r="H549" s="16"/>
    </row>
    <row r="550">
      <c r="A550" s="28" t="s">
        <v>174</v>
      </c>
      <c r="B550" s="16"/>
      <c r="G550" s="16"/>
      <c r="H550" s="16"/>
    </row>
    <row r="551">
      <c r="A551" s="28" t="s">
        <v>174</v>
      </c>
      <c r="B551" s="16"/>
      <c r="G551" s="16"/>
      <c r="H551" s="16"/>
    </row>
    <row r="552">
      <c r="A552" s="28" t="s">
        <v>174</v>
      </c>
      <c r="B552" s="16"/>
      <c r="G552" s="16"/>
      <c r="H552" s="16"/>
    </row>
    <row r="553">
      <c r="A553" s="28" t="s">
        <v>174</v>
      </c>
      <c r="B553" s="16"/>
      <c r="G553" s="16"/>
      <c r="H553" s="16"/>
    </row>
    <row r="554">
      <c r="A554" s="28" t="s">
        <v>174</v>
      </c>
      <c r="B554" s="16"/>
      <c r="G554" s="16"/>
      <c r="H554" s="16"/>
    </row>
    <row r="555">
      <c r="A555" s="28" t="s">
        <v>174</v>
      </c>
      <c r="B555" s="16"/>
      <c r="G555" s="16"/>
      <c r="H555" s="16"/>
    </row>
    <row r="556">
      <c r="A556" s="28" t="s">
        <v>174</v>
      </c>
      <c r="B556" s="16"/>
      <c r="G556" s="16"/>
      <c r="H556" s="16"/>
    </row>
    <row r="557">
      <c r="A557" s="28" t="s">
        <v>174</v>
      </c>
      <c r="B557" s="16"/>
      <c r="G557" s="16"/>
      <c r="H557" s="16"/>
    </row>
    <row r="558">
      <c r="A558" s="28" t="s">
        <v>174</v>
      </c>
      <c r="B558" s="16"/>
      <c r="G558" s="16"/>
      <c r="H558" s="16"/>
    </row>
    <row r="559">
      <c r="A559" s="28" t="s">
        <v>174</v>
      </c>
      <c r="B559" s="16"/>
      <c r="G559" s="16"/>
      <c r="H559" s="16"/>
    </row>
    <row r="560">
      <c r="A560" s="28" t="s">
        <v>174</v>
      </c>
      <c r="B560" s="16"/>
      <c r="G560" s="16"/>
      <c r="H560" s="16"/>
    </row>
    <row r="561">
      <c r="A561" s="28" t="s">
        <v>174</v>
      </c>
      <c r="B561" s="16"/>
      <c r="G561" s="16"/>
      <c r="H561" s="16"/>
    </row>
    <row r="562">
      <c r="A562" s="28" t="s">
        <v>174</v>
      </c>
      <c r="B562" s="16"/>
      <c r="G562" s="16"/>
      <c r="H562" s="16"/>
    </row>
    <row r="563">
      <c r="A563" s="28" t="s">
        <v>174</v>
      </c>
      <c r="B563" s="16"/>
      <c r="G563" s="16"/>
      <c r="H563" s="16"/>
    </row>
    <row r="564">
      <c r="A564" s="28" t="s">
        <v>174</v>
      </c>
      <c r="B564" s="16"/>
      <c r="G564" s="16"/>
      <c r="H564" s="16"/>
    </row>
    <row r="565">
      <c r="A565" s="28" t="s">
        <v>174</v>
      </c>
      <c r="B565" s="16"/>
      <c r="G565" s="16"/>
      <c r="H565" s="16"/>
    </row>
    <row r="566">
      <c r="A566" s="28" t="s">
        <v>174</v>
      </c>
      <c r="B566" s="16"/>
      <c r="G566" s="16"/>
      <c r="H566" s="16"/>
    </row>
    <row r="567">
      <c r="A567" s="28" t="s">
        <v>174</v>
      </c>
      <c r="B567" s="16"/>
      <c r="G567" s="16"/>
      <c r="H567" s="16"/>
    </row>
    <row r="568">
      <c r="A568" s="28" t="s">
        <v>174</v>
      </c>
      <c r="B568" s="16"/>
      <c r="G568" s="16"/>
      <c r="H568" s="16"/>
    </row>
    <row r="569">
      <c r="A569" s="28" t="s">
        <v>174</v>
      </c>
      <c r="B569" s="16"/>
      <c r="G569" s="16"/>
      <c r="H569" s="16"/>
    </row>
    <row r="570">
      <c r="A570" s="28" t="s">
        <v>174</v>
      </c>
      <c r="B570" s="16"/>
      <c r="G570" s="16"/>
      <c r="H570" s="16"/>
    </row>
    <row r="571">
      <c r="A571" s="28" t="s">
        <v>174</v>
      </c>
      <c r="B571" s="16"/>
      <c r="G571" s="16"/>
      <c r="H571" s="16"/>
    </row>
    <row r="572">
      <c r="A572" s="28" t="s">
        <v>174</v>
      </c>
      <c r="B572" s="16"/>
      <c r="G572" s="16"/>
      <c r="H572" s="16"/>
    </row>
    <row r="573">
      <c r="A573" s="28" t="s">
        <v>174</v>
      </c>
      <c r="B573" s="16"/>
      <c r="G573" s="16"/>
      <c r="H573" s="16"/>
    </row>
    <row r="574">
      <c r="A574" s="28" t="s">
        <v>174</v>
      </c>
      <c r="B574" s="16"/>
      <c r="G574" s="16"/>
      <c r="H574" s="16"/>
    </row>
    <row r="575">
      <c r="A575" s="28" t="s">
        <v>174</v>
      </c>
      <c r="B575" s="16"/>
      <c r="G575" s="16"/>
      <c r="H575" s="16"/>
    </row>
    <row r="576">
      <c r="A576" s="28" t="s">
        <v>174</v>
      </c>
      <c r="B576" s="16"/>
      <c r="G576" s="16"/>
      <c r="H576" s="16"/>
    </row>
    <row r="577">
      <c r="A577" s="28" t="s">
        <v>174</v>
      </c>
      <c r="B577" s="16"/>
      <c r="G577" s="16"/>
      <c r="H577" s="16"/>
    </row>
    <row r="578">
      <c r="A578" s="28" t="s">
        <v>174</v>
      </c>
      <c r="B578" s="16"/>
      <c r="G578" s="16"/>
      <c r="H578" s="16"/>
    </row>
    <row r="579">
      <c r="A579" s="28" t="s">
        <v>174</v>
      </c>
      <c r="B579" s="16"/>
      <c r="G579" s="16"/>
      <c r="H579" s="16"/>
    </row>
    <row r="580">
      <c r="A580" s="28" t="s">
        <v>174</v>
      </c>
      <c r="B580" s="16"/>
      <c r="G580" s="16"/>
      <c r="H580" s="16"/>
    </row>
    <row r="581">
      <c r="A581" s="28" t="s">
        <v>174</v>
      </c>
      <c r="B581" s="16"/>
      <c r="G581" s="16"/>
      <c r="H581" s="16"/>
    </row>
    <row r="582">
      <c r="A582" s="28" t="s">
        <v>174</v>
      </c>
      <c r="B582" s="16"/>
      <c r="G582" s="16"/>
      <c r="H582" s="16"/>
    </row>
    <row r="583">
      <c r="A583" s="28" t="s">
        <v>174</v>
      </c>
      <c r="B583" s="16"/>
      <c r="G583" s="16"/>
      <c r="H583" s="16"/>
    </row>
    <row r="584">
      <c r="A584" s="28" t="s">
        <v>174</v>
      </c>
      <c r="B584" s="16"/>
      <c r="G584" s="16"/>
      <c r="H584" s="16"/>
    </row>
    <row r="585">
      <c r="A585" s="28" t="s">
        <v>174</v>
      </c>
      <c r="B585" s="16"/>
      <c r="G585" s="16"/>
      <c r="H585" s="16"/>
    </row>
    <row r="586">
      <c r="A586" s="28" t="s">
        <v>174</v>
      </c>
      <c r="B586" s="16"/>
      <c r="G586" s="16"/>
      <c r="H586" s="16"/>
    </row>
    <row r="587">
      <c r="A587" s="28" t="s">
        <v>174</v>
      </c>
      <c r="B587" s="16"/>
      <c r="G587" s="16"/>
      <c r="H587" s="16"/>
    </row>
    <row r="588">
      <c r="A588" s="28" t="s">
        <v>174</v>
      </c>
      <c r="B588" s="16"/>
      <c r="G588" s="16"/>
      <c r="H588" s="16"/>
    </row>
    <row r="589">
      <c r="A589" s="28" t="s">
        <v>174</v>
      </c>
      <c r="B589" s="16"/>
      <c r="G589" s="16"/>
      <c r="H589" s="16"/>
    </row>
    <row r="590">
      <c r="A590" s="28" t="s">
        <v>174</v>
      </c>
      <c r="B590" s="16"/>
      <c r="G590" s="16"/>
      <c r="H590" s="16"/>
    </row>
    <row r="591">
      <c r="A591" s="28" t="s">
        <v>174</v>
      </c>
      <c r="B591" s="16"/>
      <c r="G591" s="16"/>
      <c r="H591" s="16"/>
    </row>
    <row r="592">
      <c r="A592" s="28" t="s">
        <v>174</v>
      </c>
      <c r="B592" s="16"/>
      <c r="G592" s="16"/>
      <c r="H592" s="16"/>
    </row>
    <row r="593">
      <c r="A593" s="28" t="s">
        <v>174</v>
      </c>
      <c r="B593" s="16"/>
      <c r="G593" s="16"/>
      <c r="H593" s="16"/>
    </row>
    <row r="594">
      <c r="A594" s="28" t="s">
        <v>174</v>
      </c>
      <c r="B594" s="16"/>
      <c r="G594" s="16"/>
      <c r="H594" s="16"/>
    </row>
    <row r="595">
      <c r="A595" s="28" t="s">
        <v>174</v>
      </c>
      <c r="B595" s="16"/>
      <c r="G595" s="16"/>
      <c r="H595" s="16"/>
    </row>
    <row r="596">
      <c r="A596" s="28" t="s">
        <v>174</v>
      </c>
      <c r="B596" s="16"/>
      <c r="G596" s="16"/>
      <c r="H596" s="16"/>
    </row>
    <row r="597">
      <c r="A597" s="28" t="s">
        <v>174</v>
      </c>
      <c r="B597" s="16"/>
      <c r="G597" s="16"/>
      <c r="H597" s="16"/>
    </row>
    <row r="598">
      <c r="A598" s="28" t="s">
        <v>174</v>
      </c>
      <c r="B598" s="16"/>
      <c r="G598" s="16"/>
      <c r="H598" s="16"/>
    </row>
    <row r="599">
      <c r="A599" s="28" t="s">
        <v>174</v>
      </c>
      <c r="B599" s="16"/>
      <c r="G599" s="16"/>
      <c r="H599" s="16"/>
    </row>
    <row r="600">
      <c r="A600" s="28" t="s">
        <v>174</v>
      </c>
      <c r="B600" s="16"/>
      <c r="G600" s="16"/>
      <c r="H600" s="16"/>
    </row>
    <row r="601">
      <c r="A601" s="28" t="s">
        <v>174</v>
      </c>
      <c r="B601" s="16"/>
      <c r="G601" s="16"/>
      <c r="H601" s="16"/>
    </row>
    <row r="602">
      <c r="A602" s="28" t="s">
        <v>174</v>
      </c>
      <c r="B602" s="16"/>
      <c r="G602" s="16"/>
      <c r="H602" s="16"/>
    </row>
    <row r="603">
      <c r="A603" s="28" t="s">
        <v>174</v>
      </c>
      <c r="B603" s="16"/>
      <c r="G603" s="16"/>
      <c r="H603" s="16"/>
    </row>
    <row r="604">
      <c r="A604" s="28" t="s">
        <v>174</v>
      </c>
      <c r="B604" s="16"/>
      <c r="G604" s="16"/>
      <c r="H604" s="16"/>
    </row>
    <row r="605">
      <c r="A605" s="28" t="s">
        <v>174</v>
      </c>
      <c r="B605" s="16"/>
      <c r="G605" s="16"/>
      <c r="H605" s="16"/>
    </row>
    <row r="606">
      <c r="A606" s="28" t="s">
        <v>174</v>
      </c>
      <c r="B606" s="16"/>
      <c r="G606" s="16"/>
      <c r="H606" s="16"/>
    </row>
    <row r="607">
      <c r="A607" s="28" t="s">
        <v>174</v>
      </c>
      <c r="B607" s="16"/>
      <c r="G607" s="16"/>
      <c r="H607" s="16"/>
    </row>
    <row r="608">
      <c r="A608" s="28" t="s">
        <v>174</v>
      </c>
      <c r="B608" s="16"/>
      <c r="G608" s="16"/>
      <c r="H608" s="16"/>
    </row>
    <row r="609">
      <c r="A609" s="28" t="s">
        <v>174</v>
      </c>
      <c r="B609" s="16"/>
      <c r="G609" s="16"/>
      <c r="H609" s="16"/>
    </row>
    <row r="610">
      <c r="A610" s="28" t="s">
        <v>174</v>
      </c>
      <c r="B610" s="16"/>
      <c r="G610" s="16"/>
      <c r="H610" s="16"/>
    </row>
    <row r="611">
      <c r="A611" s="28" t="s">
        <v>174</v>
      </c>
      <c r="B611" s="16"/>
      <c r="G611" s="16"/>
      <c r="H611" s="16"/>
    </row>
    <row r="612">
      <c r="A612" s="28" t="s">
        <v>174</v>
      </c>
      <c r="B612" s="16"/>
      <c r="G612" s="16"/>
      <c r="H612" s="16"/>
    </row>
    <row r="613">
      <c r="A613" s="28" t="s">
        <v>174</v>
      </c>
      <c r="B613" s="16"/>
      <c r="G613" s="16"/>
      <c r="H613" s="16"/>
    </row>
    <row r="614">
      <c r="A614" s="28" t="s">
        <v>174</v>
      </c>
      <c r="B614" s="16"/>
      <c r="G614" s="16"/>
      <c r="H614" s="16"/>
    </row>
    <row r="615">
      <c r="A615" s="28" t="s">
        <v>174</v>
      </c>
      <c r="B615" s="16"/>
      <c r="G615" s="16"/>
      <c r="H615" s="16"/>
    </row>
    <row r="616">
      <c r="A616" s="28" t="s">
        <v>174</v>
      </c>
      <c r="B616" s="16"/>
      <c r="G616" s="16"/>
      <c r="H616" s="16"/>
    </row>
    <row r="617">
      <c r="A617" s="28" t="s">
        <v>174</v>
      </c>
      <c r="B617" s="16"/>
      <c r="G617" s="16"/>
      <c r="H617" s="16"/>
    </row>
    <row r="618">
      <c r="A618" s="28" t="s">
        <v>174</v>
      </c>
      <c r="B618" s="16"/>
      <c r="G618" s="16"/>
      <c r="H618" s="16"/>
    </row>
    <row r="619">
      <c r="A619" s="28" t="s">
        <v>174</v>
      </c>
      <c r="B619" s="16"/>
      <c r="G619" s="16"/>
      <c r="H619" s="16"/>
    </row>
    <row r="620">
      <c r="A620" s="28" t="s">
        <v>174</v>
      </c>
      <c r="B620" s="16"/>
      <c r="G620" s="16"/>
      <c r="H620" s="16"/>
    </row>
    <row r="621">
      <c r="A621" s="28" t="s">
        <v>174</v>
      </c>
      <c r="B621" s="16"/>
      <c r="G621" s="16"/>
      <c r="H621" s="16"/>
    </row>
    <row r="622">
      <c r="A622" s="28" t="s">
        <v>174</v>
      </c>
      <c r="B622" s="16"/>
      <c r="G622" s="16"/>
      <c r="H622" s="16"/>
    </row>
    <row r="623">
      <c r="A623" s="28" t="s">
        <v>174</v>
      </c>
      <c r="B623" s="16"/>
      <c r="G623" s="16"/>
      <c r="H623" s="16"/>
    </row>
    <row r="624">
      <c r="A624" s="28" t="s">
        <v>174</v>
      </c>
      <c r="B624" s="16"/>
      <c r="G624" s="16"/>
      <c r="H624" s="16"/>
    </row>
    <row r="625">
      <c r="A625" s="28" t="s">
        <v>174</v>
      </c>
      <c r="B625" s="16"/>
      <c r="G625" s="16"/>
      <c r="H625" s="16"/>
    </row>
    <row r="626">
      <c r="A626" s="28" t="s">
        <v>174</v>
      </c>
      <c r="B626" s="16"/>
      <c r="G626" s="16"/>
      <c r="H626" s="16"/>
    </row>
    <row r="627">
      <c r="A627" s="28" t="s">
        <v>174</v>
      </c>
      <c r="B627" s="16"/>
      <c r="G627" s="16"/>
      <c r="H627" s="16"/>
    </row>
    <row r="628">
      <c r="A628" s="28" t="s">
        <v>174</v>
      </c>
      <c r="B628" s="16"/>
      <c r="G628" s="16"/>
      <c r="H628" s="16"/>
    </row>
    <row r="629">
      <c r="A629" s="28" t="s">
        <v>174</v>
      </c>
      <c r="B629" s="16"/>
      <c r="G629" s="16"/>
      <c r="H629" s="16"/>
    </row>
    <row r="630">
      <c r="A630" s="28" t="s">
        <v>174</v>
      </c>
      <c r="B630" s="16"/>
      <c r="G630" s="16"/>
      <c r="H630" s="16"/>
    </row>
    <row r="631">
      <c r="A631" s="28" t="s">
        <v>174</v>
      </c>
      <c r="B631" s="16"/>
      <c r="G631" s="16"/>
      <c r="H631" s="16"/>
    </row>
    <row r="632">
      <c r="A632" s="28" t="s">
        <v>174</v>
      </c>
      <c r="B632" s="16"/>
      <c r="G632" s="16"/>
      <c r="H632" s="16"/>
    </row>
    <row r="633">
      <c r="A633" s="28" t="s">
        <v>174</v>
      </c>
      <c r="B633" s="16"/>
      <c r="G633" s="16"/>
      <c r="H633" s="16"/>
    </row>
    <row r="634">
      <c r="A634" s="28" t="s">
        <v>174</v>
      </c>
      <c r="B634" s="16"/>
      <c r="G634" s="16"/>
      <c r="H634" s="16"/>
    </row>
    <row r="635">
      <c r="A635" s="28" t="s">
        <v>174</v>
      </c>
      <c r="B635" s="16"/>
      <c r="G635" s="16"/>
      <c r="H635" s="16"/>
    </row>
    <row r="636">
      <c r="A636" s="28" t="s">
        <v>174</v>
      </c>
      <c r="B636" s="16"/>
      <c r="G636" s="16"/>
      <c r="H636" s="16"/>
    </row>
    <row r="637">
      <c r="A637" s="28" t="s">
        <v>174</v>
      </c>
      <c r="B637" s="16"/>
      <c r="G637" s="16"/>
      <c r="H637" s="16"/>
    </row>
    <row r="638">
      <c r="A638" s="28" t="s">
        <v>174</v>
      </c>
      <c r="B638" s="16"/>
      <c r="G638" s="16"/>
      <c r="H638" s="16"/>
    </row>
    <row r="639">
      <c r="A639" s="28" t="s">
        <v>174</v>
      </c>
      <c r="B639" s="16"/>
      <c r="G639" s="16"/>
      <c r="H639" s="16"/>
    </row>
    <row r="640">
      <c r="A640" s="28" t="s">
        <v>174</v>
      </c>
      <c r="B640" s="16"/>
      <c r="G640" s="16"/>
      <c r="H640" s="16"/>
    </row>
    <row r="641">
      <c r="A641" s="28" t="s">
        <v>174</v>
      </c>
      <c r="B641" s="16"/>
      <c r="G641" s="16"/>
      <c r="H641" s="16"/>
    </row>
    <row r="642">
      <c r="A642" s="28" t="s">
        <v>174</v>
      </c>
      <c r="B642" s="16"/>
      <c r="G642" s="16"/>
      <c r="H642" s="16"/>
    </row>
    <row r="643">
      <c r="A643" s="28" t="s">
        <v>174</v>
      </c>
      <c r="B643" s="16"/>
      <c r="G643" s="16"/>
      <c r="H643" s="16"/>
    </row>
    <row r="644">
      <c r="A644" s="28" t="s">
        <v>174</v>
      </c>
      <c r="B644" s="16"/>
      <c r="G644" s="16"/>
      <c r="H644" s="16"/>
    </row>
    <row r="645">
      <c r="A645" s="28" t="s">
        <v>174</v>
      </c>
      <c r="B645" s="16"/>
      <c r="G645" s="16"/>
      <c r="H645" s="16"/>
    </row>
    <row r="646">
      <c r="A646" s="28" t="s">
        <v>174</v>
      </c>
      <c r="B646" s="16"/>
      <c r="G646" s="16"/>
      <c r="H646" s="16"/>
    </row>
    <row r="647">
      <c r="A647" s="28" t="s">
        <v>174</v>
      </c>
      <c r="B647" s="16"/>
      <c r="G647" s="16"/>
      <c r="H647" s="16"/>
    </row>
    <row r="648">
      <c r="A648" s="28" t="s">
        <v>174</v>
      </c>
      <c r="B648" s="16"/>
      <c r="G648" s="16"/>
      <c r="H648" s="16"/>
    </row>
    <row r="649">
      <c r="A649" s="28" t="s">
        <v>174</v>
      </c>
      <c r="B649" s="16"/>
      <c r="G649" s="16"/>
      <c r="H649" s="16"/>
    </row>
    <row r="650">
      <c r="A650" s="28" t="s">
        <v>174</v>
      </c>
      <c r="B650" s="16"/>
      <c r="G650" s="16"/>
      <c r="H650" s="16"/>
    </row>
    <row r="651">
      <c r="A651" s="28" t="s">
        <v>174</v>
      </c>
      <c r="B651" s="16"/>
      <c r="G651" s="16"/>
      <c r="H651" s="16"/>
    </row>
    <row r="652">
      <c r="A652" s="28" t="s">
        <v>174</v>
      </c>
      <c r="B652" s="16"/>
      <c r="G652" s="16"/>
      <c r="H652" s="16"/>
    </row>
    <row r="653">
      <c r="A653" s="28" t="s">
        <v>174</v>
      </c>
      <c r="B653" s="16"/>
      <c r="G653" s="16"/>
      <c r="H653" s="16"/>
    </row>
    <row r="654">
      <c r="A654" s="28" t="s">
        <v>174</v>
      </c>
      <c r="B654" s="16"/>
      <c r="G654" s="16"/>
      <c r="H654" s="16"/>
    </row>
    <row r="655">
      <c r="A655" s="28" t="s">
        <v>174</v>
      </c>
      <c r="B655" s="16"/>
      <c r="G655" s="16"/>
      <c r="H655" s="16"/>
    </row>
    <row r="656">
      <c r="A656" s="28" t="s">
        <v>174</v>
      </c>
      <c r="B656" s="16"/>
      <c r="G656" s="16"/>
      <c r="H656" s="16"/>
    </row>
    <row r="657">
      <c r="A657" s="28" t="s">
        <v>174</v>
      </c>
      <c r="B657" s="16"/>
      <c r="G657" s="16"/>
      <c r="H657" s="16"/>
    </row>
    <row r="658">
      <c r="A658" s="28" t="s">
        <v>174</v>
      </c>
      <c r="B658" s="16"/>
      <c r="G658" s="16"/>
      <c r="H658" s="16"/>
    </row>
    <row r="659">
      <c r="A659" s="28" t="s">
        <v>174</v>
      </c>
      <c r="B659" s="16"/>
      <c r="G659" s="16"/>
      <c r="H659" s="16"/>
    </row>
    <row r="660">
      <c r="A660" s="28" t="s">
        <v>174</v>
      </c>
      <c r="B660" s="16"/>
      <c r="G660" s="16"/>
      <c r="H660" s="16"/>
    </row>
    <row r="661">
      <c r="A661" s="28" t="s">
        <v>174</v>
      </c>
      <c r="B661" s="16"/>
      <c r="G661" s="16"/>
      <c r="H661" s="16"/>
    </row>
    <row r="662">
      <c r="A662" s="28" t="s">
        <v>174</v>
      </c>
      <c r="B662" s="16"/>
      <c r="G662" s="16"/>
      <c r="H662" s="16"/>
    </row>
    <row r="663">
      <c r="A663" s="28" t="s">
        <v>174</v>
      </c>
      <c r="B663" s="16"/>
      <c r="G663" s="16"/>
      <c r="H663" s="16"/>
    </row>
    <row r="664">
      <c r="A664" s="28" t="s">
        <v>174</v>
      </c>
      <c r="B664" s="16"/>
      <c r="G664" s="16"/>
      <c r="H664" s="16"/>
    </row>
    <row r="665">
      <c r="A665" s="28" t="s">
        <v>174</v>
      </c>
      <c r="B665" s="16"/>
      <c r="G665" s="16"/>
      <c r="H665" s="16"/>
    </row>
    <row r="666">
      <c r="A666" s="28" t="s">
        <v>174</v>
      </c>
      <c r="B666" s="16"/>
      <c r="G666" s="16"/>
      <c r="H666" s="16"/>
    </row>
    <row r="667">
      <c r="A667" s="28" t="s">
        <v>174</v>
      </c>
      <c r="B667" s="16"/>
      <c r="G667" s="16"/>
      <c r="H667" s="16"/>
    </row>
    <row r="668">
      <c r="A668" s="28" t="s">
        <v>174</v>
      </c>
      <c r="B668" s="16"/>
      <c r="G668" s="16"/>
      <c r="H668" s="16"/>
    </row>
    <row r="669">
      <c r="A669" s="28" t="s">
        <v>174</v>
      </c>
      <c r="B669" s="16"/>
      <c r="G669" s="16"/>
      <c r="H669" s="16"/>
    </row>
    <row r="670">
      <c r="A670" s="28" t="s">
        <v>174</v>
      </c>
      <c r="B670" s="16"/>
      <c r="G670" s="16"/>
      <c r="H670" s="16"/>
    </row>
    <row r="671">
      <c r="A671" s="28" t="s">
        <v>174</v>
      </c>
      <c r="B671" s="16"/>
      <c r="G671" s="16"/>
      <c r="H671" s="16"/>
    </row>
    <row r="672">
      <c r="A672" s="28" t="s">
        <v>174</v>
      </c>
      <c r="B672" s="16"/>
      <c r="G672" s="16"/>
      <c r="H672" s="16"/>
    </row>
    <row r="673">
      <c r="A673" s="28" t="s">
        <v>174</v>
      </c>
      <c r="B673" s="16"/>
      <c r="G673" s="16"/>
      <c r="H673" s="16"/>
    </row>
    <row r="674">
      <c r="A674" s="28" t="s">
        <v>174</v>
      </c>
      <c r="B674" s="16"/>
      <c r="G674" s="16"/>
      <c r="H674" s="16"/>
    </row>
    <row r="675">
      <c r="A675" s="28" t="s">
        <v>174</v>
      </c>
      <c r="B675" s="16"/>
      <c r="G675" s="16"/>
      <c r="H675" s="16"/>
    </row>
    <row r="676">
      <c r="A676" s="28" t="s">
        <v>174</v>
      </c>
      <c r="B676" s="16"/>
      <c r="G676" s="16"/>
      <c r="H676" s="16"/>
    </row>
    <row r="677">
      <c r="A677" s="28" t="s">
        <v>174</v>
      </c>
      <c r="B677" s="16"/>
      <c r="G677" s="16"/>
      <c r="H677" s="16"/>
    </row>
    <row r="678">
      <c r="A678" s="28" t="s">
        <v>174</v>
      </c>
      <c r="B678" s="16"/>
      <c r="G678" s="16"/>
      <c r="H678" s="16"/>
    </row>
    <row r="679">
      <c r="A679" s="28" t="s">
        <v>174</v>
      </c>
      <c r="B679" s="16"/>
      <c r="G679" s="16"/>
      <c r="H679" s="16"/>
    </row>
    <row r="680">
      <c r="A680" s="28" t="s">
        <v>174</v>
      </c>
      <c r="B680" s="16"/>
      <c r="G680" s="16"/>
      <c r="H680" s="16"/>
    </row>
    <row r="681">
      <c r="A681" s="28" t="s">
        <v>174</v>
      </c>
      <c r="B681" s="16"/>
      <c r="G681" s="16"/>
      <c r="H681" s="16"/>
    </row>
    <row r="682">
      <c r="A682" s="28" t="s">
        <v>174</v>
      </c>
      <c r="B682" s="16"/>
      <c r="G682" s="16"/>
      <c r="H682" s="16"/>
    </row>
    <row r="683">
      <c r="A683" s="28" t="s">
        <v>174</v>
      </c>
      <c r="B683" s="16"/>
      <c r="G683" s="16"/>
      <c r="H683" s="16"/>
    </row>
    <row r="684">
      <c r="A684" s="28" t="s">
        <v>174</v>
      </c>
      <c r="B684" s="16"/>
      <c r="G684" s="16"/>
      <c r="H684" s="16"/>
    </row>
    <row r="685">
      <c r="A685" s="28" t="s">
        <v>174</v>
      </c>
      <c r="B685" s="16"/>
      <c r="G685" s="16"/>
      <c r="H685" s="16"/>
    </row>
    <row r="686">
      <c r="A686" s="28" t="s">
        <v>174</v>
      </c>
      <c r="B686" s="16"/>
      <c r="G686" s="16"/>
      <c r="H686" s="16"/>
    </row>
    <row r="687">
      <c r="A687" s="28" t="s">
        <v>174</v>
      </c>
      <c r="B687" s="16"/>
      <c r="G687" s="16"/>
      <c r="H687" s="16"/>
    </row>
    <row r="688">
      <c r="A688" s="28" t="s">
        <v>174</v>
      </c>
      <c r="B688" s="16"/>
      <c r="G688" s="16"/>
      <c r="H688" s="16"/>
    </row>
    <row r="689">
      <c r="A689" s="28" t="s">
        <v>174</v>
      </c>
      <c r="B689" s="16"/>
      <c r="G689" s="16"/>
      <c r="H689" s="16"/>
    </row>
    <row r="690">
      <c r="A690" s="28" t="s">
        <v>174</v>
      </c>
      <c r="B690" s="16"/>
      <c r="G690" s="16"/>
      <c r="H690" s="16"/>
    </row>
    <row r="691">
      <c r="A691" s="28" t="s">
        <v>174</v>
      </c>
      <c r="B691" s="16"/>
      <c r="G691" s="16"/>
      <c r="H691" s="16"/>
    </row>
    <row r="692">
      <c r="A692" s="28" t="s">
        <v>174</v>
      </c>
      <c r="B692" s="16"/>
      <c r="G692" s="16"/>
      <c r="H692" s="16"/>
    </row>
    <row r="693">
      <c r="A693" s="28" t="s">
        <v>174</v>
      </c>
      <c r="B693" s="16"/>
      <c r="G693" s="16"/>
      <c r="H693" s="16"/>
    </row>
    <row r="694">
      <c r="A694" s="28" t="s">
        <v>174</v>
      </c>
      <c r="B694" s="16"/>
      <c r="G694" s="16"/>
      <c r="H694" s="16"/>
    </row>
    <row r="695">
      <c r="A695" s="28" t="s">
        <v>174</v>
      </c>
      <c r="B695" s="16"/>
      <c r="G695" s="16"/>
      <c r="H695" s="16"/>
    </row>
    <row r="696">
      <c r="A696" s="28" t="s">
        <v>174</v>
      </c>
      <c r="B696" s="16"/>
      <c r="G696" s="16"/>
      <c r="H696" s="16"/>
    </row>
    <row r="697">
      <c r="A697" s="28" t="s">
        <v>174</v>
      </c>
      <c r="B697" s="16"/>
      <c r="G697" s="16"/>
      <c r="H697" s="16"/>
    </row>
    <row r="698">
      <c r="A698" s="28" t="s">
        <v>174</v>
      </c>
      <c r="B698" s="16"/>
      <c r="G698" s="16"/>
      <c r="H698" s="16"/>
    </row>
    <row r="699">
      <c r="A699" s="28" t="s">
        <v>174</v>
      </c>
      <c r="B699" s="16"/>
      <c r="G699" s="16"/>
      <c r="H699" s="16"/>
    </row>
    <row r="700">
      <c r="A700" s="28" t="s">
        <v>174</v>
      </c>
      <c r="B700" s="16"/>
      <c r="G700" s="16"/>
      <c r="H700" s="16"/>
    </row>
    <row r="701">
      <c r="A701" s="28" t="s">
        <v>174</v>
      </c>
      <c r="B701" s="16"/>
      <c r="G701" s="16"/>
      <c r="H701" s="16"/>
    </row>
    <row r="702">
      <c r="A702" s="28" t="s">
        <v>174</v>
      </c>
      <c r="B702" s="16"/>
      <c r="G702" s="16"/>
      <c r="H702" s="16"/>
    </row>
    <row r="703">
      <c r="A703" s="28" t="s">
        <v>174</v>
      </c>
      <c r="B703" s="16"/>
      <c r="G703" s="16"/>
      <c r="H703" s="16"/>
    </row>
    <row r="704">
      <c r="A704" s="28" t="s">
        <v>174</v>
      </c>
      <c r="B704" s="16"/>
      <c r="G704" s="16"/>
      <c r="H704" s="16"/>
    </row>
    <row r="705">
      <c r="A705" s="28" t="s">
        <v>174</v>
      </c>
      <c r="B705" s="16"/>
      <c r="G705" s="16"/>
      <c r="H705" s="16"/>
    </row>
    <row r="706">
      <c r="A706" s="28" t="s">
        <v>174</v>
      </c>
      <c r="B706" s="16"/>
      <c r="G706" s="16"/>
      <c r="H706" s="16"/>
    </row>
    <row r="707">
      <c r="A707" s="28" t="s">
        <v>174</v>
      </c>
      <c r="B707" s="16"/>
      <c r="G707" s="16"/>
      <c r="H707" s="16"/>
    </row>
    <row r="708">
      <c r="A708" s="28" t="s">
        <v>174</v>
      </c>
      <c r="B708" s="16"/>
      <c r="G708" s="16"/>
      <c r="H708" s="16"/>
    </row>
    <row r="709">
      <c r="A709" s="28" t="s">
        <v>174</v>
      </c>
      <c r="B709" s="16"/>
      <c r="G709" s="16"/>
      <c r="H709" s="16"/>
    </row>
    <row r="710">
      <c r="A710" s="28" t="s">
        <v>174</v>
      </c>
      <c r="B710" s="16"/>
      <c r="G710" s="16"/>
      <c r="H710" s="16"/>
    </row>
    <row r="711">
      <c r="A711" s="28" t="s">
        <v>174</v>
      </c>
      <c r="B711" s="16"/>
      <c r="G711" s="16"/>
      <c r="H711" s="16"/>
    </row>
    <row r="712">
      <c r="A712" s="28" t="s">
        <v>174</v>
      </c>
      <c r="B712" s="16"/>
      <c r="G712" s="16"/>
      <c r="H712" s="16"/>
    </row>
    <row r="713">
      <c r="A713" s="28" t="s">
        <v>174</v>
      </c>
      <c r="B713" s="16"/>
      <c r="G713" s="16"/>
      <c r="H713" s="16"/>
    </row>
    <row r="714">
      <c r="A714" s="28" t="s">
        <v>174</v>
      </c>
      <c r="B714" s="16"/>
      <c r="G714" s="16"/>
      <c r="H714" s="16"/>
    </row>
    <row r="715">
      <c r="A715" s="28" t="s">
        <v>174</v>
      </c>
      <c r="B715" s="16"/>
      <c r="G715" s="16"/>
      <c r="H715" s="16"/>
    </row>
    <row r="716">
      <c r="A716" s="28" t="s">
        <v>174</v>
      </c>
      <c r="B716" s="16"/>
      <c r="G716" s="16"/>
      <c r="H716" s="16"/>
    </row>
    <row r="717">
      <c r="A717" s="28" t="s">
        <v>174</v>
      </c>
      <c r="B717" s="16"/>
      <c r="G717" s="16"/>
      <c r="H717" s="16"/>
    </row>
    <row r="718">
      <c r="A718" s="28" t="s">
        <v>174</v>
      </c>
      <c r="B718" s="16"/>
      <c r="G718" s="16"/>
      <c r="H718" s="16"/>
    </row>
    <row r="719">
      <c r="A719" s="28" t="s">
        <v>174</v>
      </c>
      <c r="B719" s="16"/>
      <c r="G719" s="16"/>
      <c r="H719" s="16"/>
    </row>
    <row r="720">
      <c r="A720" s="28" t="s">
        <v>174</v>
      </c>
      <c r="B720" s="16"/>
      <c r="G720" s="16"/>
      <c r="H720" s="16"/>
    </row>
    <row r="721">
      <c r="A721" s="28" t="s">
        <v>174</v>
      </c>
      <c r="B721" s="16"/>
      <c r="G721" s="16"/>
      <c r="H721" s="16"/>
    </row>
    <row r="722">
      <c r="A722" s="28" t="s">
        <v>174</v>
      </c>
      <c r="B722" s="16"/>
      <c r="G722" s="16"/>
      <c r="H722" s="16"/>
    </row>
    <row r="723">
      <c r="A723" s="28" t="s">
        <v>174</v>
      </c>
      <c r="B723" s="16"/>
      <c r="G723" s="16"/>
      <c r="H723" s="16"/>
    </row>
    <row r="724">
      <c r="A724" s="28" t="s">
        <v>174</v>
      </c>
      <c r="B724" s="16"/>
      <c r="G724" s="16"/>
      <c r="H724" s="16"/>
    </row>
    <row r="725">
      <c r="A725" s="28" t="s">
        <v>174</v>
      </c>
      <c r="B725" s="16"/>
      <c r="G725" s="16"/>
      <c r="H725" s="16"/>
    </row>
    <row r="726">
      <c r="A726" s="28" t="s">
        <v>174</v>
      </c>
      <c r="B726" s="16"/>
      <c r="G726" s="16"/>
      <c r="H726" s="16"/>
    </row>
    <row r="727">
      <c r="A727" s="28" t="s">
        <v>174</v>
      </c>
      <c r="B727" s="16"/>
      <c r="G727" s="16"/>
      <c r="H727" s="16"/>
    </row>
    <row r="728">
      <c r="A728" s="28" t="s">
        <v>174</v>
      </c>
      <c r="B728" s="16"/>
      <c r="G728" s="16"/>
      <c r="H728" s="16"/>
    </row>
    <row r="729">
      <c r="A729" s="28" t="s">
        <v>174</v>
      </c>
      <c r="B729" s="16"/>
      <c r="G729" s="16"/>
      <c r="H729" s="16"/>
    </row>
    <row r="730">
      <c r="A730" s="28" t="s">
        <v>174</v>
      </c>
      <c r="B730" s="16"/>
      <c r="G730" s="16"/>
      <c r="H730" s="16"/>
    </row>
    <row r="731">
      <c r="A731" s="28" t="s">
        <v>174</v>
      </c>
      <c r="B731" s="16"/>
      <c r="G731" s="16"/>
      <c r="H731" s="16"/>
    </row>
    <row r="732">
      <c r="A732" s="28" t="s">
        <v>174</v>
      </c>
      <c r="B732" s="16"/>
      <c r="G732" s="16"/>
      <c r="H732" s="16"/>
    </row>
    <row r="733">
      <c r="A733" s="28" t="s">
        <v>174</v>
      </c>
      <c r="B733" s="16"/>
      <c r="G733" s="16"/>
      <c r="H733" s="16"/>
    </row>
    <row r="734">
      <c r="A734" s="28" t="s">
        <v>174</v>
      </c>
      <c r="B734" s="16"/>
      <c r="G734" s="16"/>
      <c r="H734" s="16"/>
    </row>
    <row r="735">
      <c r="A735" s="28" t="s">
        <v>174</v>
      </c>
      <c r="B735" s="16"/>
      <c r="G735" s="16"/>
      <c r="H735" s="16"/>
    </row>
    <row r="736">
      <c r="A736" s="28" t="s">
        <v>174</v>
      </c>
      <c r="B736" s="16"/>
      <c r="G736" s="16"/>
      <c r="H736" s="16"/>
    </row>
    <row r="737">
      <c r="A737" s="28" t="s">
        <v>174</v>
      </c>
      <c r="B737" s="16"/>
      <c r="G737" s="16"/>
      <c r="H737" s="16"/>
    </row>
    <row r="738">
      <c r="A738" s="28" t="s">
        <v>174</v>
      </c>
      <c r="B738" s="16"/>
      <c r="G738" s="16"/>
      <c r="H738" s="16"/>
    </row>
    <row r="739">
      <c r="A739" s="28" t="s">
        <v>174</v>
      </c>
      <c r="B739" s="16"/>
      <c r="G739" s="16"/>
      <c r="H739" s="16"/>
    </row>
    <row r="740">
      <c r="A740" s="28" t="s">
        <v>174</v>
      </c>
      <c r="B740" s="16"/>
      <c r="G740" s="16"/>
      <c r="H740" s="16"/>
    </row>
    <row r="741">
      <c r="A741" s="28" t="s">
        <v>174</v>
      </c>
      <c r="B741" s="16"/>
      <c r="G741" s="16"/>
      <c r="H741" s="16"/>
    </row>
    <row r="742">
      <c r="A742" s="28" t="s">
        <v>174</v>
      </c>
      <c r="B742" s="16"/>
      <c r="G742" s="16"/>
      <c r="H742" s="16"/>
    </row>
    <row r="743">
      <c r="A743" s="28" t="s">
        <v>174</v>
      </c>
      <c r="B743" s="16"/>
      <c r="G743" s="16"/>
      <c r="H743" s="16"/>
    </row>
    <row r="744">
      <c r="A744" s="28" t="s">
        <v>174</v>
      </c>
      <c r="B744" s="16"/>
      <c r="G744" s="16"/>
      <c r="H744" s="16"/>
    </row>
    <row r="745">
      <c r="A745" s="28" t="s">
        <v>174</v>
      </c>
      <c r="B745" s="16"/>
      <c r="G745" s="16"/>
      <c r="H745" s="16"/>
    </row>
    <row r="746">
      <c r="A746" s="28" t="s">
        <v>174</v>
      </c>
      <c r="B746" s="16"/>
      <c r="G746" s="16"/>
      <c r="H746" s="16"/>
    </row>
    <row r="747">
      <c r="A747" s="28" t="s">
        <v>174</v>
      </c>
      <c r="B747" s="16"/>
      <c r="G747" s="16"/>
      <c r="H747" s="16"/>
    </row>
    <row r="748">
      <c r="A748" s="28" t="s">
        <v>174</v>
      </c>
      <c r="B748" s="16"/>
      <c r="G748" s="16"/>
      <c r="H748" s="16"/>
    </row>
    <row r="749">
      <c r="A749" s="28" t="s">
        <v>174</v>
      </c>
      <c r="B749" s="16"/>
      <c r="G749" s="16"/>
      <c r="H749" s="16"/>
    </row>
    <row r="750">
      <c r="A750" s="28" t="s">
        <v>174</v>
      </c>
      <c r="B750" s="16"/>
      <c r="G750" s="16"/>
      <c r="H750" s="16"/>
    </row>
    <row r="751">
      <c r="A751" s="28" t="s">
        <v>174</v>
      </c>
      <c r="B751" s="16"/>
      <c r="G751" s="16"/>
      <c r="H751" s="16"/>
    </row>
    <row r="752">
      <c r="A752" s="28" t="s">
        <v>174</v>
      </c>
      <c r="B752" s="16"/>
      <c r="G752" s="16"/>
      <c r="H752" s="16"/>
    </row>
    <row r="753">
      <c r="A753" s="28" t="s">
        <v>174</v>
      </c>
      <c r="B753" s="16"/>
      <c r="G753" s="16"/>
      <c r="H753" s="16"/>
    </row>
    <row r="754">
      <c r="A754" s="28" t="s">
        <v>174</v>
      </c>
      <c r="B754" s="16"/>
      <c r="G754" s="16"/>
      <c r="H754" s="16"/>
    </row>
    <row r="755">
      <c r="A755" s="28" t="s">
        <v>174</v>
      </c>
      <c r="B755" s="16"/>
      <c r="G755" s="16"/>
      <c r="H755" s="16"/>
    </row>
    <row r="756">
      <c r="A756" s="28" t="s">
        <v>174</v>
      </c>
      <c r="B756" s="16"/>
      <c r="G756" s="16"/>
      <c r="H756" s="16"/>
    </row>
    <row r="757">
      <c r="A757" s="28" t="s">
        <v>174</v>
      </c>
      <c r="B757" s="16"/>
      <c r="G757" s="16"/>
      <c r="H757" s="16"/>
    </row>
    <row r="758">
      <c r="A758" s="28" t="s">
        <v>174</v>
      </c>
      <c r="B758" s="16"/>
      <c r="G758" s="16"/>
      <c r="H758" s="16"/>
    </row>
    <row r="759">
      <c r="A759" s="28" t="s">
        <v>174</v>
      </c>
      <c r="B759" s="16"/>
      <c r="G759" s="16"/>
      <c r="H759" s="16"/>
    </row>
    <row r="760">
      <c r="A760" s="28" t="s">
        <v>174</v>
      </c>
      <c r="B760" s="16"/>
      <c r="G760" s="16"/>
      <c r="H760" s="16"/>
    </row>
    <row r="761">
      <c r="A761" s="28" t="s">
        <v>174</v>
      </c>
      <c r="B761" s="16"/>
      <c r="G761" s="16"/>
      <c r="H761" s="16"/>
    </row>
    <row r="762">
      <c r="A762" s="28" t="s">
        <v>174</v>
      </c>
      <c r="B762" s="16"/>
      <c r="G762" s="16"/>
      <c r="H762" s="16"/>
    </row>
    <row r="763">
      <c r="A763" s="28" t="s">
        <v>174</v>
      </c>
      <c r="B763" s="16"/>
      <c r="G763" s="16"/>
      <c r="H763" s="16"/>
    </row>
    <row r="764">
      <c r="A764" s="28" t="s">
        <v>174</v>
      </c>
      <c r="B764" s="16"/>
      <c r="G764" s="16"/>
      <c r="H764" s="16"/>
    </row>
    <row r="765">
      <c r="A765" s="28" t="s">
        <v>174</v>
      </c>
      <c r="B765" s="16"/>
      <c r="G765" s="16"/>
      <c r="H765" s="16"/>
    </row>
    <row r="766">
      <c r="A766" s="28" t="s">
        <v>174</v>
      </c>
      <c r="B766" s="16"/>
      <c r="G766" s="16"/>
      <c r="H766" s="16"/>
    </row>
    <row r="767">
      <c r="A767" s="28" t="s">
        <v>174</v>
      </c>
      <c r="B767" s="16"/>
      <c r="G767" s="16"/>
      <c r="H767" s="16"/>
    </row>
    <row r="768">
      <c r="A768" s="28" t="s">
        <v>174</v>
      </c>
      <c r="B768" s="16"/>
      <c r="G768" s="16"/>
      <c r="H768" s="16"/>
    </row>
    <row r="769">
      <c r="A769" s="28" t="s">
        <v>174</v>
      </c>
      <c r="B769" s="16"/>
      <c r="G769" s="16"/>
      <c r="H769" s="16"/>
    </row>
    <row r="770">
      <c r="A770" s="28" t="s">
        <v>174</v>
      </c>
      <c r="B770" s="16"/>
      <c r="G770" s="16"/>
      <c r="H770" s="16"/>
    </row>
    <row r="771">
      <c r="A771" s="28" t="s">
        <v>174</v>
      </c>
      <c r="B771" s="16"/>
      <c r="G771" s="16"/>
      <c r="H771" s="16"/>
    </row>
    <row r="772">
      <c r="A772" s="28" t="s">
        <v>174</v>
      </c>
      <c r="B772" s="16"/>
      <c r="G772" s="16"/>
      <c r="H772" s="16"/>
    </row>
    <row r="773">
      <c r="A773" s="28" t="s">
        <v>174</v>
      </c>
      <c r="B773" s="16"/>
      <c r="G773" s="16"/>
      <c r="H773" s="16"/>
    </row>
    <row r="774">
      <c r="A774" s="28" t="s">
        <v>174</v>
      </c>
      <c r="B774" s="16"/>
      <c r="G774" s="16"/>
      <c r="H774" s="16"/>
    </row>
    <row r="775">
      <c r="A775" s="28" t="s">
        <v>174</v>
      </c>
      <c r="B775" s="16"/>
      <c r="G775" s="16"/>
      <c r="H775" s="16"/>
    </row>
    <row r="776">
      <c r="A776" s="28" t="s">
        <v>174</v>
      </c>
      <c r="B776" s="16"/>
      <c r="G776" s="16"/>
      <c r="H776" s="16"/>
    </row>
    <row r="777">
      <c r="A777" s="28" t="s">
        <v>174</v>
      </c>
      <c r="B777" s="16"/>
      <c r="G777" s="16"/>
      <c r="H777" s="16"/>
    </row>
    <row r="778">
      <c r="A778" s="28" t="s">
        <v>174</v>
      </c>
      <c r="B778" s="16"/>
      <c r="G778" s="16"/>
      <c r="H778" s="16"/>
    </row>
    <row r="779">
      <c r="A779" s="28" t="s">
        <v>174</v>
      </c>
      <c r="B779" s="16"/>
      <c r="G779" s="16"/>
      <c r="H779" s="16"/>
    </row>
    <row r="780">
      <c r="A780" s="28" t="s">
        <v>174</v>
      </c>
      <c r="B780" s="16"/>
      <c r="G780" s="16"/>
      <c r="H780" s="16"/>
    </row>
    <row r="781">
      <c r="A781" s="28" t="s">
        <v>174</v>
      </c>
      <c r="B781" s="16"/>
      <c r="G781" s="16"/>
      <c r="H781" s="16"/>
    </row>
    <row r="782">
      <c r="A782" s="28" t="s">
        <v>174</v>
      </c>
      <c r="B782" s="16"/>
      <c r="G782" s="16"/>
      <c r="H782" s="16"/>
    </row>
    <row r="783">
      <c r="A783" s="28" t="s">
        <v>174</v>
      </c>
      <c r="B783" s="16"/>
      <c r="G783" s="16"/>
      <c r="H783" s="16"/>
    </row>
    <row r="784">
      <c r="A784" s="28" t="s">
        <v>174</v>
      </c>
      <c r="B784" s="16"/>
      <c r="G784" s="16"/>
      <c r="H784" s="16"/>
    </row>
    <row r="785">
      <c r="A785" s="28" t="s">
        <v>174</v>
      </c>
      <c r="B785" s="16"/>
      <c r="G785" s="16"/>
      <c r="H785" s="16"/>
    </row>
    <row r="786">
      <c r="A786" s="28" t="s">
        <v>174</v>
      </c>
      <c r="B786" s="16"/>
      <c r="G786" s="16"/>
      <c r="H786" s="16"/>
    </row>
    <row r="787">
      <c r="A787" s="28" t="s">
        <v>174</v>
      </c>
      <c r="B787" s="16"/>
      <c r="G787" s="16"/>
      <c r="H787" s="16"/>
    </row>
    <row r="788">
      <c r="A788" s="28" t="s">
        <v>174</v>
      </c>
      <c r="B788" s="16"/>
      <c r="G788" s="16"/>
      <c r="H788" s="16"/>
    </row>
    <row r="789">
      <c r="A789" s="28" t="s">
        <v>174</v>
      </c>
      <c r="B789" s="16"/>
      <c r="G789" s="16"/>
      <c r="H789" s="16"/>
    </row>
    <row r="790">
      <c r="A790" s="28" t="s">
        <v>174</v>
      </c>
      <c r="B790" s="16"/>
      <c r="G790" s="16"/>
      <c r="H790" s="16"/>
    </row>
    <row r="791">
      <c r="A791" s="28" t="s">
        <v>174</v>
      </c>
      <c r="B791" s="16"/>
      <c r="G791" s="16"/>
      <c r="H791" s="16"/>
    </row>
    <row r="792">
      <c r="A792" s="28" t="s">
        <v>174</v>
      </c>
      <c r="B792" s="16"/>
      <c r="G792" s="16"/>
      <c r="H792" s="16"/>
    </row>
    <row r="793">
      <c r="A793" s="28" t="s">
        <v>174</v>
      </c>
      <c r="B793" s="16"/>
      <c r="G793" s="16"/>
      <c r="H793" s="16"/>
    </row>
    <row r="794">
      <c r="A794" s="28" t="s">
        <v>174</v>
      </c>
      <c r="B794" s="16"/>
      <c r="G794" s="16"/>
      <c r="H794" s="16"/>
    </row>
    <row r="795">
      <c r="A795" s="28" t="s">
        <v>174</v>
      </c>
      <c r="B795" s="16"/>
      <c r="G795" s="16"/>
      <c r="H795" s="16"/>
    </row>
    <row r="796">
      <c r="A796" s="28" t="s">
        <v>174</v>
      </c>
      <c r="B796" s="16"/>
      <c r="G796" s="16"/>
      <c r="H796" s="16"/>
    </row>
    <row r="797">
      <c r="A797" s="28" t="s">
        <v>174</v>
      </c>
      <c r="B797" s="16"/>
      <c r="G797" s="16"/>
      <c r="H797" s="16"/>
    </row>
    <row r="798">
      <c r="A798" s="28" t="s">
        <v>174</v>
      </c>
      <c r="B798" s="16"/>
      <c r="G798" s="16"/>
      <c r="H798" s="16"/>
    </row>
    <row r="799">
      <c r="A799" s="28" t="s">
        <v>174</v>
      </c>
      <c r="B799" s="16"/>
      <c r="G799" s="16"/>
      <c r="H799" s="16"/>
    </row>
    <row r="800">
      <c r="A800" s="28" t="s">
        <v>174</v>
      </c>
      <c r="B800" s="16"/>
      <c r="G800" s="16"/>
      <c r="H800" s="16"/>
    </row>
    <row r="801">
      <c r="A801" s="28" t="s">
        <v>174</v>
      </c>
      <c r="B801" s="16"/>
      <c r="G801" s="16"/>
      <c r="H801" s="16"/>
    </row>
    <row r="802">
      <c r="A802" s="28" t="s">
        <v>174</v>
      </c>
      <c r="B802" s="16"/>
      <c r="G802" s="16"/>
      <c r="H802" s="16"/>
    </row>
    <row r="803">
      <c r="A803" s="28" t="s">
        <v>174</v>
      </c>
      <c r="B803" s="16"/>
      <c r="G803" s="16"/>
      <c r="H803" s="16"/>
    </row>
    <row r="804">
      <c r="A804" s="28" t="s">
        <v>174</v>
      </c>
      <c r="B804" s="16"/>
      <c r="G804" s="16"/>
      <c r="H804" s="16"/>
    </row>
    <row r="805">
      <c r="A805" s="28" t="s">
        <v>174</v>
      </c>
      <c r="B805" s="16"/>
      <c r="G805" s="16"/>
      <c r="H805" s="16"/>
    </row>
    <row r="806">
      <c r="A806" s="28" t="s">
        <v>174</v>
      </c>
      <c r="B806" s="16"/>
      <c r="G806" s="16"/>
      <c r="H806" s="16"/>
    </row>
    <row r="807">
      <c r="A807" s="28" t="s">
        <v>174</v>
      </c>
      <c r="B807" s="16"/>
      <c r="G807" s="16"/>
      <c r="H807" s="16"/>
    </row>
    <row r="808">
      <c r="A808" s="28" t="s">
        <v>174</v>
      </c>
      <c r="B808" s="16"/>
      <c r="G808" s="16"/>
      <c r="H808" s="16"/>
    </row>
    <row r="809">
      <c r="A809" s="28" t="s">
        <v>174</v>
      </c>
      <c r="B809" s="16"/>
      <c r="G809" s="16"/>
      <c r="H809" s="16"/>
    </row>
    <row r="810">
      <c r="A810" s="28" t="s">
        <v>174</v>
      </c>
      <c r="B810" s="16"/>
      <c r="G810" s="16"/>
      <c r="H810" s="16"/>
    </row>
    <row r="811">
      <c r="A811" s="28" t="s">
        <v>174</v>
      </c>
      <c r="B811" s="16"/>
      <c r="G811" s="16"/>
      <c r="H811" s="16"/>
    </row>
    <row r="812">
      <c r="A812" s="28" t="s">
        <v>174</v>
      </c>
      <c r="B812" s="16"/>
      <c r="G812" s="16"/>
      <c r="H812" s="16"/>
    </row>
    <row r="813">
      <c r="A813" s="28" t="s">
        <v>174</v>
      </c>
      <c r="B813" s="16"/>
      <c r="G813" s="16"/>
      <c r="H813" s="16"/>
    </row>
    <row r="814">
      <c r="A814" s="28" t="s">
        <v>174</v>
      </c>
      <c r="B814" s="16"/>
      <c r="G814" s="16"/>
      <c r="H814" s="16"/>
    </row>
    <row r="815">
      <c r="A815" s="28" t="s">
        <v>174</v>
      </c>
      <c r="B815" s="16"/>
      <c r="G815" s="16"/>
      <c r="H815" s="16"/>
    </row>
    <row r="816">
      <c r="A816" s="28" t="s">
        <v>174</v>
      </c>
      <c r="B816" s="16"/>
      <c r="G816" s="16"/>
      <c r="H816" s="16"/>
    </row>
    <row r="817">
      <c r="A817" s="28" t="s">
        <v>174</v>
      </c>
      <c r="B817" s="16"/>
      <c r="G817" s="16"/>
      <c r="H817" s="16"/>
    </row>
    <row r="818">
      <c r="A818" s="28" t="s">
        <v>174</v>
      </c>
      <c r="B818" s="16"/>
      <c r="G818" s="16"/>
      <c r="H818" s="16"/>
    </row>
    <row r="819">
      <c r="A819" s="28" t="s">
        <v>174</v>
      </c>
      <c r="B819" s="16"/>
      <c r="G819" s="16"/>
      <c r="H819" s="16"/>
    </row>
    <row r="820">
      <c r="A820" s="28" t="s">
        <v>174</v>
      </c>
      <c r="B820" s="16"/>
      <c r="G820" s="16"/>
      <c r="H820" s="16"/>
    </row>
    <row r="821">
      <c r="A821" s="28" t="s">
        <v>174</v>
      </c>
      <c r="B821" s="16"/>
      <c r="G821" s="16"/>
      <c r="H821" s="16"/>
    </row>
    <row r="822">
      <c r="A822" s="28" t="s">
        <v>174</v>
      </c>
      <c r="B822" s="16"/>
      <c r="G822" s="16"/>
      <c r="H822" s="16"/>
    </row>
    <row r="823">
      <c r="A823" s="28" t="s">
        <v>174</v>
      </c>
      <c r="B823" s="16"/>
      <c r="G823" s="16"/>
      <c r="H823" s="16"/>
    </row>
    <row r="824">
      <c r="A824" s="28" t="s">
        <v>174</v>
      </c>
      <c r="B824" s="16"/>
      <c r="G824" s="16"/>
      <c r="H824" s="16"/>
    </row>
    <row r="825">
      <c r="A825" s="28" t="s">
        <v>174</v>
      </c>
      <c r="B825" s="16"/>
      <c r="G825" s="16"/>
      <c r="H825" s="16"/>
    </row>
    <row r="826">
      <c r="A826" s="28" t="s">
        <v>174</v>
      </c>
      <c r="B826" s="16"/>
      <c r="G826" s="16"/>
      <c r="H826" s="16"/>
    </row>
    <row r="827">
      <c r="A827" s="28" t="s">
        <v>174</v>
      </c>
      <c r="B827" s="16"/>
      <c r="G827" s="16"/>
      <c r="H827" s="16"/>
    </row>
    <row r="828">
      <c r="A828" s="28" t="s">
        <v>174</v>
      </c>
      <c r="B828" s="16"/>
      <c r="G828" s="16"/>
      <c r="H828" s="16"/>
    </row>
    <row r="829">
      <c r="A829" s="28" t="s">
        <v>174</v>
      </c>
      <c r="B829" s="16"/>
      <c r="G829" s="16"/>
      <c r="H829" s="16"/>
    </row>
    <row r="830">
      <c r="A830" s="28" t="s">
        <v>174</v>
      </c>
      <c r="B830" s="16"/>
      <c r="G830" s="16"/>
      <c r="H830" s="16"/>
    </row>
    <row r="831">
      <c r="A831" s="28" t="s">
        <v>174</v>
      </c>
      <c r="B831" s="16"/>
      <c r="G831" s="16"/>
      <c r="H831" s="16"/>
    </row>
    <row r="832">
      <c r="A832" s="28" t="s">
        <v>174</v>
      </c>
      <c r="B832" s="16"/>
      <c r="G832" s="16"/>
      <c r="H832" s="16"/>
    </row>
    <row r="833">
      <c r="A833" s="28" t="s">
        <v>174</v>
      </c>
      <c r="B833" s="16"/>
      <c r="G833" s="16"/>
      <c r="H833" s="16"/>
    </row>
    <row r="834">
      <c r="A834" s="28" t="s">
        <v>174</v>
      </c>
      <c r="B834" s="16"/>
      <c r="G834" s="16"/>
      <c r="H834" s="16"/>
    </row>
    <row r="835">
      <c r="A835" s="28" t="s">
        <v>174</v>
      </c>
      <c r="B835" s="16"/>
      <c r="G835" s="16"/>
      <c r="H835" s="16"/>
    </row>
    <row r="836">
      <c r="A836" s="28" t="s">
        <v>174</v>
      </c>
      <c r="B836" s="16"/>
      <c r="G836" s="16"/>
      <c r="H836" s="16"/>
    </row>
    <row r="837">
      <c r="A837" s="28" t="s">
        <v>174</v>
      </c>
      <c r="B837" s="16"/>
      <c r="G837" s="16"/>
      <c r="H837" s="16"/>
    </row>
    <row r="838">
      <c r="A838" s="28" t="s">
        <v>174</v>
      </c>
      <c r="B838" s="16"/>
      <c r="G838" s="16"/>
      <c r="H838" s="16"/>
    </row>
    <row r="839">
      <c r="A839" s="28" t="s">
        <v>174</v>
      </c>
      <c r="B839" s="16"/>
      <c r="G839" s="16"/>
      <c r="H839" s="16"/>
    </row>
    <row r="840">
      <c r="A840" s="28" t="s">
        <v>174</v>
      </c>
      <c r="B840" s="16"/>
      <c r="G840" s="16"/>
      <c r="H840" s="16"/>
    </row>
    <row r="841">
      <c r="A841" s="28" t="s">
        <v>174</v>
      </c>
      <c r="B841" s="16"/>
      <c r="G841" s="16"/>
      <c r="H841" s="16"/>
    </row>
    <row r="842">
      <c r="A842" s="28" t="s">
        <v>174</v>
      </c>
      <c r="B842" s="16"/>
      <c r="G842" s="16"/>
      <c r="H842" s="16"/>
    </row>
    <row r="843">
      <c r="A843" s="28" t="s">
        <v>174</v>
      </c>
      <c r="B843" s="16"/>
      <c r="G843" s="16"/>
      <c r="H843" s="16"/>
    </row>
    <row r="844">
      <c r="A844" s="28" t="s">
        <v>174</v>
      </c>
      <c r="B844" s="16"/>
      <c r="G844" s="16"/>
      <c r="H844" s="16"/>
    </row>
    <row r="845">
      <c r="A845" s="28" t="s">
        <v>174</v>
      </c>
      <c r="B845" s="16"/>
      <c r="G845" s="16"/>
      <c r="H845" s="16"/>
    </row>
    <row r="846">
      <c r="A846" s="28" t="s">
        <v>174</v>
      </c>
      <c r="B846" s="16"/>
      <c r="G846" s="16"/>
      <c r="H846" s="16"/>
    </row>
    <row r="847">
      <c r="A847" s="28" t="s">
        <v>174</v>
      </c>
      <c r="B847" s="16"/>
      <c r="G847" s="16"/>
      <c r="H847" s="16"/>
    </row>
    <row r="848">
      <c r="A848" s="28" t="s">
        <v>174</v>
      </c>
      <c r="B848" s="16"/>
      <c r="G848" s="16"/>
      <c r="H848" s="16"/>
    </row>
    <row r="849">
      <c r="A849" s="28" t="s">
        <v>174</v>
      </c>
      <c r="B849" s="16"/>
      <c r="G849" s="16"/>
      <c r="H849" s="16"/>
    </row>
    <row r="850">
      <c r="A850" s="28" t="s">
        <v>174</v>
      </c>
      <c r="B850" s="16"/>
      <c r="G850" s="16"/>
      <c r="H850" s="16"/>
    </row>
    <row r="851">
      <c r="A851" s="28" t="s">
        <v>174</v>
      </c>
      <c r="B851" s="16"/>
      <c r="G851" s="16"/>
      <c r="H851" s="16"/>
    </row>
    <row r="852">
      <c r="A852" s="28" t="s">
        <v>174</v>
      </c>
      <c r="B852" s="16"/>
      <c r="G852" s="16"/>
      <c r="H852" s="16"/>
    </row>
    <row r="853">
      <c r="A853" s="28" t="s">
        <v>174</v>
      </c>
      <c r="B853" s="16"/>
      <c r="G853" s="16"/>
      <c r="H853" s="16"/>
    </row>
    <row r="854">
      <c r="A854" s="28" t="s">
        <v>174</v>
      </c>
      <c r="B854" s="16"/>
      <c r="G854" s="16"/>
      <c r="H854" s="16"/>
    </row>
    <row r="855">
      <c r="A855" s="28" t="s">
        <v>174</v>
      </c>
      <c r="B855" s="16"/>
      <c r="G855" s="16"/>
      <c r="H855" s="16"/>
    </row>
    <row r="856">
      <c r="A856" s="28" t="s">
        <v>174</v>
      </c>
      <c r="B856" s="16"/>
      <c r="G856" s="16"/>
      <c r="H856" s="16"/>
    </row>
    <row r="857">
      <c r="A857" s="28" t="s">
        <v>174</v>
      </c>
      <c r="B857" s="16"/>
      <c r="G857" s="16"/>
      <c r="H857" s="16"/>
    </row>
    <row r="858">
      <c r="A858" s="28" t="s">
        <v>174</v>
      </c>
      <c r="B858" s="16"/>
      <c r="G858" s="16"/>
      <c r="H858" s="16"/>
    </row>
    <row r="859">
      <c r="A859" s="28" t="s">
        <v>174</v>
      </c>
      <c r="B859" s="16"/>
      <c r="G859" s="16"/>
      <c r="H859" s="16"/>
    </row>
    <row r="860">
      <c r="A860" s="28" t="s">
        <v>174</v>
      </c>
      <c r="B860" s="16"/>
      <c r="G860" s="16"/>
      <c r="H860" s="16"/>
    </row>
    <row r="861">
      <c r="A861" s="28" t="s">
        <v>174</v>
      </c>
      <c r="B861" s="16"/>
      <c r="G861" s="16"/>
      <c r="H861" s="16"/>
    </row>
    <row r="862">
      <c r="A862" s="28" t="s">
        <v>174</v>
      </c>
      <c r="B862" s="16"/>
      <c r="G862" s="16"/>
      <c r="H862" s="16"/>
    </row>
    <row r="863">
      <c r="A863" s="28" t="s">
        <v>174</v>
      </c>
      <c r="B863" s="16"/>
      <c r="G863" s="16"/>
      <c r="H863" s="16"/>
    </row>
    <row r="864">
      <c r="A864" s="28" t="s">
        <v>174</v>
      </c>
      <c r="B864" s="16"/>
      <c r="G864" s="16"/>
      <c r="H864" s="16"/>
    </row>
    <row r="865">
      <c r="A865" s="28" t="s">
        <v>174</v>
      </c>
      <c r="B865" s="16"/>
      <c r="G865" s="16"/>
      <c r="H865" s="16"/>
    </row>
    <row r="866">
      <c r="A866" s="28" t="s">
        <v>174</v>
      </c>
      <c r="B866" s="16"/>
      <c r="G866" s="16"/>
      <c r="H866" s="16"/>
    </row>
    <row r="867">
      <c r="A867" s="28" t="s">
        <v>174</v>
      </c>
      <c r="B867" s="16"/>
      <c r="G867" s="16"/>
      <c r="H867" s="16"/>
    </row>
    <row r="868">
      <c r="A868" s="28" t="s">
        <v>174</v>
      </c>
      <c r="B868" s="16"/>
      <c r="G868" s="16"/>
      <c r="H868" s="16"/>
    </row>
    <row r="869">
      <c r="A869" s="28" t="s">
        <v>174</v>
      </c>
      <c r="B869" s="16"/>
      <c r="G869" s="16"/>
      <c r="H869" s="16"/>
    </row>
    <row r="870">
      <c r="A870" s="28" t="s">
        <v>174</v>
      </c>
      <c r="B870" s="16"/>
      <c r="G870" s="16"/>
      <c r="H870" s="16"/>
    </row>
    <row r="871">
      <c r="A871" s="28" t="s">
        <v>174</v>
      </c>
      <c r="B871" s="16"/>
      <c r="G871" s="16"/>
      <c r="H871" s="16"/>
    </row>
    <row r="872">
      <c r="A872" s="28" t="s">
        <v>174</v>
      </c>
      <c r="B872" s="16"/>
      <c r="G872" s="16"/>
      <c r="H872" s="16"/>
    </row>
    <row r="873">
      <c r="A873" s="28" t="s">
        <v>174</v>
      </c>
      <c r="B873" s="16"/>
      <c r="G873" s="16"/>
      <c r="H873" s="16"/>
    </row>
    <row r="874">
      <c r="A874" s="28" t="s">
        <v>174</v>
      </c>
      <c r="B874" s="16"/>
      <c r="G874" s="16"/>
      <c r="H874" s="16"/>
    </row>
    <row r="875">
      <c r="A875" s="28" t="s">
        <v>174</v>
      </c>
      <c r="B875" s="16"/>
      <c r="G875" s="16"/>
      <c r="H875" s="16"/>
    </row>
    <row r="876">
      <c r="A876" s="28" t="s">
        <v>174</v>
      </c>
      <c r="B876" s="16"/>
      <c r="G876" s="16"/>
      <c r="H876" s="16"/>
    </row>
    <row r="877">
      <c r="A877" s="28" t="s">
        <v>174</v>
      </c>
      <c r="B877" s="16"/>
      <c r="G877" s="16"/>
      <c r="H877" s="16"/>
    </row>
    <row r="878">
      <c r="A878" s="28" t="s">
        <v>174</v>
      </c>
      <c r="B878" s="16"/>
      <c r="G878" s="16"/>
      <c r="H878" s="16"/>
    </row>
    <row r="879">
      <c r="A879" s="28" t="s">
        <v>174</v>
      </c>
      <c r="B879" s="16"/>
      <c r="G879" s="16"/>
      <c r="H879" s="16"/>
    </row>
    <row r="880">
      <c r="A880" s="28" t="s">
        <v>174</v>
      </c>
      <c r="B880" s="16"/>
      <c r="G880" s="16"/>
      <c r="H880" s="16"/>
    </row>
    <row r="881">
      <c r="A881" s="28" t="s">
        <v>174</v>
      </c>
      <c r="B881" s="16"/>
      <c r="G881" s="16"/>
      <c r="H881" s="16"/>
    </row>
    <row r="882">
      <c r="A882" s="28" t="s">
        <v>174</v>
      </c>
      <c r="B882" s="16"/>
      <c r="G882" s="16"/>
      <c r="H882" s="16"/>
    </row>
    <row r="883">
      <c r="A883" s="28" t="s">
        <v>174</v>
      </c>
      <c r="B883" s="16"/>
      <c r="G883" s="16"/>
      <c r="H883" s="16"/>
    </row>
    <row r="884">
      <c r="A884" s="28" t="s">
        <v>174</v>
      </c>
      <c r="B884" s="16"/>
      <c r="G884" s="16"/>
      <c r="H884" s="16"/>
    </row>
    <row r="885">
      <c r="A885" s="28" t="s">
        <v>174</v>
      </c>
      <c r="B885" s="16"/>
      <c r="G885" s="16"/>
      <c r="H885" s="16"/>
    </row>
    <row r="886">
      <c r="A886" s="28" t="s">
        <v>174</v>
      </c>
      <c r="B886" s="16"/>
      <c r="G886" s="16"/>
      <c r="H886" s="16"/>
    </row>
    <row r="887">
      <c r="A887" s="28" t="s">
        <v>174</v>
      </c>
      <c r="B887" s="16"/>
      <c r="G887" s="16"/>
      <c r="H887" s="16"/>
    </row>
    <row r="888">
      <c r="A888" s="28" t="s">
        <v>174</v>
      </c>
      <c r="B888" s="16"/>
      <c r="G888" s="16"/>
      <c r="H888" s="16"/>
    </row>
    <row r="889">
      <c r="A889" s="28" t="s">
        <v>174</v>
      </c>
      <c r="B889" s="16"/>
      <c r="G889" s="16"/>
      <c r="H889" s="16"/>
    </row>
    <row r="890">
      <c r="A890" s="28" t="s">
        <v>174</v>
      </c>
      <c r="B890" s="16"/>
      <c r="G890" s="16"/>
      <c r="H890" s="16"/>
    </row>
    <row r="891">
      <c r="A891" s="28" t="s">
        <v>174</v>
      </c>
      <c r="B891" s="16"/>
      <c r="G891" s="16"/>
      <c r="H891" s="16"/>
    </row>
    <row r="892">
      <c r="A892" s="28" t="s">
        <v>174</v>
      </c>
      <c r="B892" s="16"/>
      <c r="G892" s="16"/>
      <c r="H892" s="16"/>
    </row>
    <row r="893">
      <c r="A893" s="28" t="s">
        <v>174</v>
      </c>
      <c r="B893" s="16"/>
      <c r="G893" s="16"/>
      <c r="H893" s="16"/>
    </row>
    <row r="894">
      <c r="A894" s="28" t="s">
        <v>174</v>
      </c>
      <c r="B894" s="16"/>
      <c r="G894" s="16"/>
      <c r="H894" s="16"/>
    </row>
    <row r="895">
      <c r="A895" s="28" t="s">
        <v>174</v>
      </c>
      <c r="B895" s="16"/>
      <c r="G895" s="16"/>
      <c r="H895" s="16"/>
    </row>
    <row r="896">
      <c r="A896" s="28" t="s">
        <v>174</v>
      </c>
      <c r="B896" s="16"/>
      <c r="G896" s="16"/>
      <c r="H896" s="16"/>
    </row>
    <row r="897">
      <c r="A897" s="28" t="s">
        <v>174</v>
      </c>
      <c r="B897" s="16"/>
      <c r="G897" s="16"/>
      <c r="H897" s="16"/>
    </row>
    <row r="898">
      <c r="A898" s="28" t="s">
        <v>174</v>
      </c>
      <c r="B898" s="16"/>
      <c r="G898" s="16"/>
      <c r="H898" s="16"/>
    </row>
    <row r="899">
      <c r="A899" s="28" t="s">
        <v>174</v>
      </c>
      <c r="B899" s="16"/>
      <c r="G899" s="16"/>
      <c r="H899" s="16"/>
    </row>
    <row r="900">
      <c r="A900" s="28" t="s">
        <v>174</v>
      </c>
      <c r="B900" s="16"/>
      <c r="G900" s="16"/>
      <c r="H900" s="16"/>
    </row>
    <row r="901">
      <c r="A901" s="28" t="s">
        <v>174</v>
      </c>
      <c r="B901" s="16"/>
      <c r="G901" s="16"/>
      <c r="H901" s="16"/>
    </row>
    <row r="902">
      <c r="A902" s="28" t="s">
        <v>174</v>
      </c>
      <c r="B902" s="16"/>
      <c r="G902" s="16"/>
      <c r="H902" s="16"/>
    </row>
    <row r="903">
      <c r="A903" s="28" t="s">
        <v>174</v>
      </c>
      <c r="B903" s="16"/>
      <c r="G903" s="16"/>
      <c r="H903" s="16"/>
    </row>
    <row r="904">
      <c r="A904" s="28" t="s">
        <v>174</v>
      </c>
      <c r="B904" s="16"/>
      <c r="G904" s="16"/>
      <c r="H904" s="16"/>
    </row>
    <row r="905">
      <c r="A905" s="28" t="s">
        <v>174</v>
      </c>
      <c r="B905" s="16"/>
      <c r="G905" s="16"/>
      <c r="H905" s="16"/>
    </row>
    <row r="906">
      <c r="A906" s="28" t="s">
        <v>174</v>
      </c>
      <c r="B906" s="16"/>
      <c r="G906" s="16"/>
      <c r="H906" s="16"/>
    </row>
    <row r="907">
      <c r="A907" s="28" t="s">
        <v>174</v>
      </c>
      <c r="B907" s="16"/>
      <c r="G907" s="16"/>
      <c r="H907" s="16"/>
    </row>
    <row r="908">
      <c r="A908" s="28" t="s">
        <v>174</v>
      </c>
      <c r="B908" s="16"/>
      <c r="G908" s="16"/>
      <c r="H908" s="16"/>
    </row>
    <row r="909">
      <c r="A909" s="28" t="s">
        <v>174</v>
      </c>
      <c r="B909" s="16"/>
      <c r="G909" s="16"/>
      <c r="H909" s="16"/>
    </row>
    <row r="910">
      <c r="A910" s="28" t="s">
        <v>174</v>
      </c>
      <c r="B910" s="16"/>
      <c r="G910" s="16"/>
      <c r="H910" s="16"/>
    </row>
    <row r="911">
      <c r="A911" s="28" t="s">
        <v>174</v>
      </c>
      <c r="B911" s="16"/>
      <c r="G911" s="16"/>
      <c r="H911" s="16"/>
    </row>
    <row r="912">
      <c r="A912" s="28" t="s">
        <v>174</v>
      </c>
      <c r="B912" s="16"/>
      <c r="G912" s="16"/>
      <c r="H912" s="16"/>
    </row>
    <row r="913">
      <c r="A913" s="28" t="s">
        <v>174</v>
      </c>
      <c r="B913" s="16"/>
      <c r="G913" s="16"/>
      <c r="H913" s="16"/>
    </row>
    <row r="914">
      <c r="A914" s="28" t="s">
        <v>174</v>
      </c>
      <c r="B914" s="16"/>
      <c r="G914" s="16"/>
      <c r="H914" s="16"/>
    </row>
    <row r="915">
      <c r="A915" s="28" t="s">
        <v>174</v>
      </c>
      <c r="B915" s="16"/>
      <c r="G915" s="16"/>
      <c r="H915" s="16"/>
    </row>
    <row r="916">
      <c r="A916" s="28" t="s">
        <v>174</v>
      </c>
      <c r="B916" s="16"/>
      <c r="G916" s="16"/>
      <c r="H916" s="16"/>
    </row>
    <row r="917">
      <c r="A917" s="28" t="s">
        <v>174</v>
      </c>
      <c r="B917" s="16"/>
      <c r="G917" s="16"/>
      <c r="H917" s="16"/>
    </row>
    <row r="918">
      <c r="A918" s="28" t="s">
        <v>174</v>
      </c>
      <c r="B918" s="16"/>
      <c r="G918" s="16"/>
      <c r="H918" s="16"/>
    </row>
    <row r="919">
      <c r="A919" s="28" t="s">
        <v>174</v>
      </c>
      <c r="B919" s="16"/>
      <c r="G919" s="16"/>
      <c r="H919" s="16"/>
    </row>
    <row r="920">
      <c r="A920" s="28" t="s">
        <v>174</v>
      </c>
      <c r="B920" s="16"/>
      <c r="G920" s="16"/>
      <c r="H920" s="16"/>
    </row>
    <row r="921">
      <c r="A921" s="28" t="s">
        <v>174</v>
      </c>
      <c r="B921" s="16"/>
      <c r="G921" s="16"/>
      <c r="H921" s="16"/>
    </row>
    <row r="922">
      <c r="A922" s="28" t="s">
        <v>174</v>
      </c>
      <c r="B922" s="16"/>
      <c r="G922" s="16"/>
      <c r="H922" s="16"/>
    </row>
    <row r="923">
      <c r="A923" s="28" t="s">
        <v>174</v>
      </c>
      <c r="B923" s="16"/>
      <c r="G923" s="16"/>
      <c r="H923" s="16"/>
    </row>
    <row r="924">
      <c r="A924" s="28" t="s">
        <v>174</v>
      </c>
      <c r="B924" s="16"/>
      <c r="G924" s="16"/>
      <c r="H924" s="16"/>
    </row>
    <row r="925">
      <c r="A925" s="28" t="s">
        <v>174</v>
      </c>
      <c r="B925" s="16"/>
      <c r="G925" s="16"/>
      <c r="H925" s="16"/>
    </row>
    <row r="926">
      <c r="A926" s="28" t="s">
        <v>174</v>
      </c>
      <c r="B926" s="16"/>
      <c r="G926" s="16"/>
      <c r="H926" s="16"/>
    </row>
    <row r="927">
      <c r="A927" s="28" t="s">
        <v>174</v>
      </c>
      <c r="B927" s="16"/>
      <c r="G927" s="16"/>
      <c r="H927" s="16"/>
    </row>
    <row r="928">
      <c r="A928" s="28" t="s">
        <v>174</v>
      </c>
      <c r="B928" s="16"/>
      <c r="G928" s="16"/>
      <c r="H928" s="16"/>
    </row>
    <row r="929">
      <c r="A929" s="28" t="s">
        <v>174</v>
      </c>
      <c r="B929" s="16"/>
      <c r="G929" s="16"/>
      <c r="H929" s="16"/>
    </row>
    <row r="930">
      <c r="A930" s="28" t="s">
        <v>174</v>
      </c>
      <c r="B930" s="16"/>
      <c r="G930" s="16"/>
      <c r="H930" s="16"/>
    </row>
    <row r="931">
      <c r="A931" s="28" t="s">
        <v>174</v>
      </c>
      <c r="B931" s="16"/>
      <c r="G931" s="16"/>
      <c r="H931" s="16"/>
    </row>
    <row r="932">
      <c r="A932" s="28" t="s">
        <v>174</v>
      </c>
      <c r="B932" s="16"/>
      <c r="G932" s="16"/>
      <c r="H932" s="16"/>
    </row>
    <row r="933">
      <c r="A933" s="28" t="s">
        <v>174</v>
      </c>
      <c r="B933" s="16"/>
      <c r="G933" s="16"/>
      <c r="H933" s="16"/>
    </row>
    <row r="934">
      <c r="A934" s="28" t="s">
        <v>174</v>
      </c>
      <c r="B934" s="16"/>
      <c r="G934" s="16"/>
      <c r="H934" s="16"/>
    </row>
    <row r="935">
      <c r="A935" s="28" t="s">
        <v>174</v>
      </c>
      <c r="B935" s="16"/>
      <c r="G935" s="16"/>
      <c r="H935" s="16"/>
    </row>
    <row r="936">
      <c r="A936" s="28" t="s">
        <v>174</v>
      </c>
      <c r="B936" s="16"/>
      <c r="G936" s="16"/>
      <c r="H936" s="16"/>
    </row>
    <row r="937">
      <c r="A937" s="28" t="s">
        <v>174</v>
      </c>
      <c r="B937" s="16"/>
      <c r="G937" s="16"/>
      <c r="H937" s="16"/>
    </row>
    <row r="938">
      <c r="A938" s="28" t="s">
        <v>174</v>
      </c>
      <c r="B938" s="16"/>
      <c r="G938" s="16"/>
      <c r="H938" s="16"/>
    </row>
    <row r="939">
      <c r="A939" s="28" t="s">
        <v>174</v>
      </c>
      <c r="B939" s="16"/>
      <c r="G939" s="16"/>
      <c r="H939" s="16"/>
    </row>
    <row r="940">
      <c r="A940" s="28" t="s">
        <v>174</v>
      </c>
      <c r="B940" s="16"/>
      <c r="G940" s="16"/>
      <c r="H940" s="16"/>
    </row>
    <row r="941">
      <c r="A941" s="28" t="s">
        <v>174</v>
      </c>
      <c r="B941" s="16"/>
      <c r="G941" s="16"/>
      <c r="H941" s="16"/>
    </row>
    <row r="942">
      <c r="A942" s="28" t="s">
        <v>174</v>
      </c>
      <c r="B942" s="16"/>
      <c r="G942" s="16"/>
      <c r="H942" s="16"/>
    </row>
    <row r="943">
      <c r="A943" s="28" t="s">
        <v>174</v>
      </c>
      <c r="B943" s="16"/>
      <c r="G943" s="16"/>
      <c r="H943" s="16"/>
    </row>
    <row r="944">
      <c r="A944" s="28" t="s">
        <v>174</v>
      </c>
      <c r="B944" s="16"/>
      <c r="G944" s="16"/>
      <c r="H944" s="16"/>
    </row>
    <row r="945">
      <c r="A945" s="28" t="s">
        <v>174</v>
      </c>
      <c r="B945" s="16"/>
      <c r="G945" s="16"/>
      <c r="H945" s="16"/>
    </row>
    <row r="946">
      <c r="A946" s="28" t="s">
        <v>174</v>
      </c>
      <c r="B946" s="16"/>
      <c r="G946" s="16"/>
      <c r="H946" s="16"/>
    </row>
    <row r="947">
      <c r="A947" s="28" t="s">
        <v>174</v>
      </c>
      <c r="B947" s="16"/>
      <c r="G947" s="16"/>
      <c r="H947" s="16"/>
    </row>
    <row r="948">
      <c r="A948" s="28" t="s">
        <v>174</v>
      </c>
      <c r="B948" s="16"/>
      <c r="G948" s="16"/>
      <c r="H948" s="16"/>
    </row>
    <row r="949">
      <c r="A949" s="28" t="s">
        <v>174</v>
      </c>
      <c r="B949" s="16"/>
      <c r="G949" s="16"/>
      <c r="H949" s="16"/>
    </row>
    <row r="950">
      <c r="A950" s="28" t="s">
        <v>174</v>
      </c>
      <c r="B950" s="16"/>
      <c r="G950" s="16"/>
      <c r="H950" s="16"/>
    </row>
    <row r="951">
      <c r="A951" s="28" t="s">
        <v>174</v>
      </c>
      <c r="B951" s="16"/>
      <c r="G951" s="16"/>
      <c r="H951" s="16"/>
    </row>
    <row r="952">
      <c r="A952" s="28" t="s">
        <v>174</v>
      </c>
      <c r="B952" s="16"/>
      <c r="G952" s="16"/>
      <c r="H952" s="16"/>
    </row>
    <row r="953">
      <c r="A953" s="28" t="s">
        <v>174</v>
      </c>
      <c r="B953" s="16"/>
      <c r="G953" s="16"/>
      <c r="H953" s="16"/>
    </row>
    <row r="954">
      <c r="A954" s="28" t="s">
        <v>174</v>
      </c>
      <c r="B954" s="16"/>
      <c r="G954" s="16"/>
      <c r="H954" s="16"/>
    </row>
    <row r="955">
      <c r="A955" s="28" t="s">
        <v>174</v>
      </c>
      <c r="B955" s="16"/>
      <c r="G955" s="16"/>
      <c r="H955" s="16"/>
    </row>
    <row r="956">
      <c r="A956" s="28" t="s">
        <v>174</v>
      </c>
      <c r="B956" s="16"/>
      <c r="G956" s="16"/>
      <c r="H956" s="16"/>
    </row>
    <row r="957">
      <c r="A957" s="28" t="s">
        <v>174</v>
      </c>
      <c r="B957" s="16"/>
      <c r="G957" s="16"/>
      <c r="H957" s="16"/>
    </row>
    <row r="958">
      <c r="A958" s="28" t="s">
        <v>174</v>
      </c>
      <c r="B958" s="16"/>
      <c r="G958" s="16"/>
      <c r="H958" s="16"/>
    </row>
    <row r="959">
      <c r="A959" s="28" t="s">
        <v>174</v>
      </c>
      <c r="B959" s="16"/>
      <c r="G959" s="16"/>
      <c r="H959" s="16"/>
    </row>
    <row r="960">
      <c r="A960" s="28" t="s">
        <v>174</v>
      </c>
      <c r="B960" s="16"/>
      <c r="G960" s="16"/>
      <c r="H960" s="16"/>
    </row>
    <row r="961">
      <c r="A961" s="28" t="s">
        <v>174</v>
      </c>
      <c r="B961" s="16"/>
      <c r="G961" s="16"/>
      <c r="H961" s="16"/>
    </row>
    <row r="962">
      <c r="A962" s="28" t="s">
        <v>174</v>
      </c>
      <c r="B962" s="16"/>
      <c r="G962" s="16"/>
      <c r="H962" s="16"/>
    </row>
    <row r="963">
      <c r="A963" s="28" t="s">
        <v>174</v>
      </c>
      <c r="B963" s="16"/>
      <c r="G963" s="16"/>
      <c r="H963" s="16"/>
    </row>
    <row r="964">
      <c r="A964" s="28" t="s">
        <v>174</v>
      </c>
      <c r="B964" s="16"/>
      <c r="G964" s="16"/>
      <c r="H964" s="16"/>
    </row>
    <row r="965">
      <c r="A965" s="28" t="s">
        <v>174</v>
      </c>
      <c r="B965" s="16"/>
      <c r="G965" s="16"/>
      <c r="H965" s="16"/>
    </row>
    <row r="966">
      <c r="A966" s="28" t="s">
        <v>174</v>
      </c>
      <c r="B966" s="16"/>
      <c r="G966" s="16"/>
      <c r="H966" s="16"/>
    </row>
    <row r="967">
      <c r="A967" s="28" t="s">
        <v>174</v>
      </c>
      <c r="B967" s="16"/>
      <c r="G967" s="16"/>
      <c r="H967" s="16"/>
    </row>
    <row r="968">
      <c r="A968" s="28" t="s">
        <v>174</v>
      </c>
      <c r="B968" s="16"/>
      <c r="G968" s="16"/>
      <c r="H968" s="16"/>
    </row>
    <row r="969">
      <c r="A969" s="28" t="s">
        <v>174</v>
      </c>
      <c r="B969" s="16"/>
      <c r="G969" s="16"/>
      <c r="H969" s="16"/>
    </row>
    <row r="970">
      <c r="A970" s="28" t="s">
        <v>174</v>
      </c>
      <c r="B970" s="16"/>
      <c r="G970" s="16"/>
      <c r="H970" s="16"/>
    </row>
    <row r="971">
      <c r="A971" s="28" t="s">
        <v>174</v>
      </c>
      <c r="B971" s="16"/>
      <c r="G971" s="16"/>
      <c r="H971" s="16"/>
    </row>
    <row r="972">
      <c r="A972" s="28" t="s">
        <v>174</v>
      </c>
      <c r="B972" s="16"/>
      <c r="G972" s="16"/>
      <c r="H972" s="16"/>
    </row>
    <row r="973">
      <c r="A973" s="28" t="s">
        <v>174</v>
      </c>
      <c r="B973" s="16"/>
      <c r="G973" s="16"/>
      <c r="H973" s="16"/>
    </row>
    <row r="974">
      <c r="A974" s="28" t="s">
        <v>174</v>
      </c>
      <c r="B974" s="16"/>
      <c r="G974" s="16"/>
      <c r="H974" s="16"/>
    </row>
    <row r="975">
      <c r="A975" s="28" t="s">
        <v>174</v>
      </c>
      <c r="B975" s="16"/>
      <c r="G975" s="16"/>
      <c r="H975" s="16"/>
    </row>
    <row r="976">
      <c r="A976" s="28" t="s">
        <v>174</v>
      </c>
      <c r="B976" s="16"/>
      <c r="G976" s="16"/>
      <c r="H976" s="16"/>
    </row>
    <row r="977">
      <c r="A977" s="28" t="s">
        <v>174</v>
      </c>
      <c r="B977" s="16"/>
      <c r="G977" s="16"/>
      <c r="H977" s="16"/>
    </row>
    <row r="978">
      <c r="A978" s="28" t="s">
        <v>174</v>
      </c>
      <c r="B978" s="16"/>
      <c r="G978" s="16"/>
      <c r="H978" s="16"/>
    </row>
    <row r="979">
      <c r="A979" s="28" t="s">
        <v>174</v>
      </c>
      <c r="B979" s="16"/>
      <c r="G979" s="16"/>
      <c r="H979" s="16"/>
    </row>
    <row r="980">
      <c r="A980" s="28" t="s">
        <v>174</v>
      </c>
      <c r="B980" s="16"/>
      <c r="G980" s="16"/>
      <c r="H980" s="16"/>
    </row>
    <row r="981">
      <c r="A981" s="28" t="s">
        <v>174</v>
      </c>
      <c r="B981" s="16"/>
      <c r="G981" s="16"/>
      <c r="H981" s="16"/>
    </row>
    <row r="982">
      <c r="A982" s="28" t="s">
        <v>174</v>
      </c>
      <c r="B982" s="16"/>
      <c r="G982" s="16"/>
      <c r="H982" s="16"/>
    </row>
    <row r="983">
      <c r="A983" s="28" t="s">
        <v>174</v>
      </c>
      <c r="B983" s="16"/>
      <c r="G983" s="16"/>
      <c r="H983" s="16"/>
    </row>
    <row r="984">
      <c r="A984" s="28" t="s">
        <v>174</v>
      </c>
      <c r="B984" s="16"/>
      <c r="G984" s="16"/>
      <c r="H984" s="16"/>
    </row>
    <row r="985">
      <c r="A985" s="28" t="s">
        <v>174</v>
      </c>
      <c r="B985" s="16"/>
      <c r="G985" s="16"/>
      <c r="H985" s="16"/>
    </row>
    <row r="986">
      <c r="A986" s="28" t="s">
        <v>174</v>
      </c>
      <c r="B986" s="16"/>
      <c r="G986" s="16"/>
      <c r="H986" s="16"/>
    </row>
    <row r="987">
      <c r="A987" s="28" t="s">
        <v>174</v>
      </c>
      <c r="B987" s="16"/>
      <c r="G987" s="16"/>
      <c r="H987" s="16"/>
    </row>
    <row r="988">
      <c r="A988" s="28" t="s">
        <v>174</v>
      </c>
      <c r="B988" s="16"/>
      <c r="G988" s="16"/>
      <c r="H988" s="16"/>
    </row>
    <row r="989">
      <c r="A989" s="28" t="s">
        <v>174</v>
      </c>
      <c r="B989" s="16"/>
      <c r="G989" s="16"/>
      <c r="H989" s="16"/>
    </row>
    <row r="990">
      <c r="A990" s="28" t="s">
        <v>174</v>
      </c>
      <c r="B990" s="16"/>
      <c r="G990" s="16"/>
      <c r="H990" s="16"/>
    </row>
    <row r="991">
      <c r="A991" s="28" t="s">
        <v>174</v>
      </c>
      <c r="B991" s="16"/>
      <c r="G991" s="16"/>
      <c r="H991" s="16"/>
    </row>
    <row r="992">
      <c r="A992" s="28" t="s">
        <v>174</v>
      </c>
      <c r="B992" s="16"/>
      <c r="G992" s="16"/>
      <c r="H992" s="16"/>
    </row>
    <row r="993">
      <c r="A993" s="28" t="s">
        <v>174</v>
      </c>
      <c r="B993" s="16"/>
      <c r="G993" s="16"/>
      <c r="H993" s="16"/>
    </row>
    <row r="994">
      <c r="A994" s="28" t="s">
        <v>174</v>
      </c>
      <c r="B994" s="16"/>
      <c r="G994" s="16"/>
      <c r="H994" s="16"/>
    </row>
    <row r="995">
      <c r="A995" s="28" t="s">
        <v>174</v>
      </c>
      <c r="B995" s="16"/>
      <c r="G995" s="16"/>
      <c r="H995" s="16"/>
    </row>
    <row r="996">
      <c r="A996" s="28" t="s">
        <v>174</v>
      </c>
      <c r="B996" s="16"/>
      <c r="G996" s="16"/>
      <c r="H996" s="16"/>
    </row>
    <row r="997">
      <c r="A997" s="28" t="s">
        <v>174</v>
      </c>
      <c r="B997" s="16"/>
      <c r="G997" s="16"/>
      <c r="H997" s="16"/>
    </row>
    <row r="998">
      <c r="A998" s="28" t="s">
        <v>174</v>
      </c>
      <c r="B998" s="16"/>
      <c r="G998" s="16"/>
      <c r="H998" s="16"/>
    </row>
    <row r="999">
      <c r="A999" s="28" t="s">
        <v>174</v>
      </c>
      <c r="B999" s="16"/>
      <c r="G999" s="16"/>
      <c r="H999" s="16"/>
    </row>
    <row r="1000">
      <c r="A1000" s="28" t="s">
        <v>174</v>
      </c>
      <c r="B1000" s="16"/>
      <c r="G1000" s="16"/>
      <c r="H1000" s="16"/>
    </row>
  </sheetData>
  <dataValidations>
    <dataValidation type="list" allowBlank="1" showErrorMessage="1" sqref="G2:G1000">
      <formula1>"Completed,Integration,Training"</formula1>
    </dataValidation>
    <dataValidation type="list" allowBlank="1" showErrorMessage="1" sqref="H2:H1000">
      <formula1>"Completed,In Progress"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0</v>
      </c>
      <c r="B1" s="2" t="s">
        <v>1</v>
      </c>
      <c r="C1" s="2" t="s">
        <v>2</v>
      </c>
      <c r="D1" s="2" t="s">
        <v>3</v>
      </c>
      <c r="E1" s="2" t="s">
        <v>4</v>
      </c>
      <c r="F1" s="6" t="s">
        <v>5</v>
      </c>
      <c r="G1" s="1" t="s">
        <v>6</v>
      </c>
      <c r="H1" s="2" t="s">
        <v>7</v>
      </c>
      <c r="I1" s="2" t="s">
        <v>8</v>
      </c>
      <c r="J1" s="2" t="s">
        <v>9</v>
      </c>
      <c r="K1" s="2" t="s">
        <v>10</v>
      </c>
      <c r="L1" s="2" t="s">
        <v>11</v>
      </c>
      <c r="M1" s="2" t="s">
        <v>12</v>
      </c>
      <c r="N1" s="2" t="s">
        <v>14</v>
      </c>
      <c r="O1" s="2" t="s">
        <v>15</v>
      </c>
      <c r="P1" s="11" t="s">
        <v>16</v>
      </c>
      <c r="Q1" s="2" t="s">
        <v>17</v>
      </c>
      <c r="R1" s="2" t="s">
        <v>18</v>
      </c>
      <c r="S1" s="9" t="s">
        <v>19</v>
      </c>
      <c r="T1" s="11" t="s">
        <v>20</v>
      </c>
      <c r="U1" s="2" t="s">
        <v>22</v>
      </c>
      <c r="V1" s="2" t="s">
        <v>23</v>
      </c>
      <c r="W1" s="2" t="s">
        <v>24</v>
      </c>
      <c r="X1" s="2" t="s">
        <v>25</v>
      </c>
      <c r="Y1" s="58" t="s">
        <v>26</v>
      </c>
      <c r="Z1" s="6" t="s">
        <v>27</v>
      </c>
      <c r="AA1" s="12"/>
    </row>
    <row r="2">
      <c r="A2" s="34">
        <v>46253.0</v>
      </c>
      <c r="B2" s="19" t="s">
        <v>328</v>
      </c>
      <c r="C2" s="19" t="s">
        <v>106</v>
      </c>
      <c r="D2" s="19" t="s">
        <v>107</v>
      </c>
      <c r="E2" s="19" t="s">
        <v>108</v>
      </c>
      <c r="F2" s="19" t="s">
        <v>109</v>
      </c>
      <c r="I2" s="19" t="s">
        <v>110</v>
      </c>
      <c r="O2" s="19" t="s">
        <v>2878</v>
      </c>
      <c r="X2" s="25">
        <v>0.0</v>
      </c>
      <c r="Z2" s="25">
        <v>0.0</v>
      </c>
    </row>
    <row r="3">
      <c r="A3" s="34">
        <v>46253.0</v>
      </c>
      <c r="B3" s="19" t="s">
        <v>105</v>
      </c>
      <c r="C3" s="19" t="s">
        <v>300</v>
      </c>
      <c r="D3" s="19" t="s">
        <v>301</v>
      </c>
      <c r="E3" s="19" t="s">
        <v>302</v>
      </c>
      <c r="F3" s="19" t="s">
        <v>303</v>
      </c>
      <c r="I3" s="19" t="s">
        <v>110</v>
      </c>
      <c r="O3" s="19" t="s">
        <v>2878</v>
      </c>
      <c r="P3" s="34">
        <v>46271.489335694445</v>
      </c>
      <c r="S3" s="34">
        <v>46256.489335694445</v>
      </c>
      <c r="T3" s="34">
        <v>46256.489335694445</v>
      </c>
      <c r="U3" s="19" t="s">
        <v>119</v>
      </c>
      <c r="V3" s="19" t="b">
        <v>0</v>
      </c>
      <c r="W3" s="25">
        <v>0.0</v>
      </c>
      <c r="X3" s="25">
        <v>0.0</v>
      </c>
      <c r="Y3" s="34">
        <v>46271.489335694445</v>
      </c>
      <c r="Z3" s="25">
        <v>0.0</v>
      </c>
    </row>
    <row r="4">
      <c r="A4" s="34">
        <v>46253.0</v>
      </c>
      <c r="B4" s="19" t="s">
        <v>105</v>
      </c>
      <c r="C4" s="19" t="s">
        <v>300</v>
      </c>
      <c r="D4" s="19" t="s">
        <v>301</v>
      </c>
      <c r="E4" s="19" t="s">
        <v>302</v>
      </c>
      <c r="F4" s="19" t="s">
        <v>303</v>
      </c>
      <c r="I4" s="19" t="s">
        <v>110</v>
      </c>
      <c r="O4" s="19" t="s">
        <v>2878</v>
      </c>
      <c r="P4" s="34">
        <v>46271.48887321759</v>
      </c>
      <c r="S4" s="34">
        <v>46256.4897478125</v>
      </c>
      <c r="T4" s="34">
        <v>46256.4897478125</v>
      </c>
      <c r="U4" s="19" t="s">
        <v>119</v>
      </c>
      <c r="V4" s="19" t="b">
        <v>0</v>
      </c>
      <c r="W4" s="25">
        <v>0.0</v>
      </c>
      <c r="X4" s="25">
        <v>5.0</v>
      </c>
      <c r="Y4" s="34">
        <v>46276.48887321759</v>
      </c>
      <c r="Z4" s="25">
        <v>10.0</v>
      </c>
    </row>
    <row r="5">
      <c r="A5" s="34"/>
      <c r="S5" s="35"/>
      <c r="T5" s="35"/>
    </row>
    <row r="6">
      <c r="A6" s="34"/>
      <c r="P6" s="35"/>
      <c r="S6" s="35"/>
      <c r="T6" s="35"/>
      <c r="Y6" s="35"/>
    </row>
    <row r="7">
      <c r="S7" s="35"/>
      <c r="T7" s="3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0</v>
      </c>
      <c r="B1" s="2" t="s">
        <v>1</v>
      </c>
      <c r="C1" s="2" t="s">
        <v>2</v>
      </c>
      <c r="D1" s="2" t="s">
        <v>3</v>
      </c>
      <c r="E1" s="2" t="s">
        <v>4</v>
      </c>
      <c r="F1" s="6" t="s">
        <v>5</v>
      </c>
      <c r="G1" s="1" t="s">
        <v>6</v>
      </c>
      <c r="H1" s="2" t="s">
        <v>7</v>
      </c>
      <c r="I1" s="2" t="s">
        <v>8</v>
      </c>
      <c r="J1" s="2" t="s">
        <v>9</v>
      </c>
      <c r="K1" s="2" t="s">
        <v>10</v>
      </c>
      <c r="L1" s="2" t="s">
        <v>11</v>
      </c>
      <c r="M1" s="2" t="s">
        <v>12</v>
      </c>
      <c r="N1" s="2" t="s">
        <v>14</v>
      </c>
      <c r="O1" s="2" t="s">
        <v>15</v>
      </c>
      <c r="P1" s="11" t="s">
        <v>16</v>
      </c>
      <c r="Q1" s="2" t="s">
        <v>17</v>
      </c>
      <c r="R1" s="2" t="s">
        <v>18</v>
      </c>
      <c r="S1" s="9" t="s">
        <v>19</v>
      </c>
      <c r="T1" s="11" t="s">
        <v>20</v>
      </c>
      <c r="U1" s="2" t="s">
        <v>22</v>
      </c>
      <c r="V1" s="2" t="s">
        <v>23</v>
      </c>
      <c r="W1" s="2" t="s">
        <v>24</v>
      </c>
      <c r="X1" s="2" t="s">
        <v>25</v>
      </c>
      <c r="Y1" s="58" t="s">
        <v>26</v>
      </c>
      <c r="Z1" s="6" t="s">
        <v>27</v>
      </c>
      <c r="AA1" s="12"/>
    </row>
    <row r="2">
      <c r="A2" s="34">
        <v>46253.0</v>
      </c>
      <c r="B2" s="19" t="s">
        <v>328</v>
      </c>
      <c r="C2" s="19" t="s">
        <v>106</v>
      </c>
      <c r="D2" s="19" t="s">
        <v>107</v>
      </c>
      <c r="E2" s="19" t="s">
        <v>108</v>
      </c>
      <c r="F2" s="19" t="s">
        <v>109</v>
      </c>
      <c r="G2" s="55"/>
      <c r="I2" s="19" t="s">
        <v>110</v>
      </c>
      <c r="O2" s="19" t="s">
        <v>2976</v>
      </c>
      <c r="X2" s="25">
        <v>0.0</v>
      </c>
      <c r="Z2" s="25">
        <v>100.0</v>
      </c>
    </row>
    <row r="3">
      <c r="A3" s="34">
        <v>46253.0</v>
      </c>
      <c r="B3" s="19" t="s">
        <v>105</v>
      </c>
      <c r="C3" s="19" t="s">
        <v>300</v>
      </c>
      <c r="D3" s="19" t="s">
        <v>301</v>
      </c>
      <c r="E3" s="19" t="s">
        <v>302</v>
      </c>
      <c r="F3" s="19" t="s">
        <v>303</v>
      </c>
      <c r="G3" s="55"/>
      <c r="I3" s="19" t="s">
        <v>110</v>
      </c>
      <c r="O3" s="19" t="s">
        <v>2976</v>
      </c>
      <c r="P3" s="34">
        <v>46271.47681197917</v>
      </c>
      <c r="S3" s="34">
        <v>46256.47681197917</v>
      </c>
      <c r="T3" s="34">
        <v>46256.47681197917</v>
      </c>
      <c r="U3" s="19" t="s">
        <v>119</v>
      </c>
      <c r="V3" s="19" t="b">
        <v>0</v>
      </c>
      <c r="W3" s="25">
        <v>0.0</v>
      </c>
      <c r="X3" s="25">
        <v>0.0</v>
      </c>
      <c r="Y3" s="34">
        <v>46271.47681197917</v>
      </c>
      <c r="Z3" s="25">
        <v>100.0</v>
      </c>
    </row>
    <row r="4">
      <c r="A4" s="34">
        <v>46253.0</v>
      </c>
      <c r="B4" s="19" t="s">
        <v>105</v>
      </c>
      <c r="C4" s="19" t="s">
        <v>300</v>
      </c>
      <c r="D4" s="19" t="s">
        <v>301</v>
      </c>
      <c r="E4" s="19" t="s">
        <v>302</v>
      </c>
      <c r="F4" s="19" t="s">
        <v>303</v>
      </c>
      <c r="I4" s="19" t="s">
        <v>110</v>
      </c>
      <c r="O4" s="19" t="s">
        <v>2976</v>
      </c>
      <c r="P4" s="34">
        <v>46271.48918609954</v>
      </c>
      <c r="S4" s="34">
        <v>46256.48918609954</v>
      </c>
      <c r="T4" s="34">
        <v>46256.48918609954</v>
      </c>
      <c r="U4" s="19" t="s">
        <v>119</v>
      </c>
      <c r="V4" s="19" t="b">
        <v>0</v>
      </c>
      <c r="W4" s="25">
        <v>0.0</v>
      </c>
      <c r="X4" s="25">
        <v>0.0</v>
      </c>
      <c r="Y4" s="34">
        <v>46271.48918609954</v>
      </c>
      <c r="Z4" s="25">
        <v>100.0</v>
      </c>
    </row>
    <row r="5">
      <c r="A5" s="34">
        <v>46253.0</v>
      </c>
      <c r="B5" s="19" t="s">
        <v>105</v>
      </c>
      <c r="C5" s="19" t="s">
        <v>300</v>
      </c>
      <c r="D5" s="19" t="s">
        <v>301</v>
      </c>
      <c r="E5" s="19" t="s">
        <v>302</v>
      </c>
      <c r="F5" s="19" t="s">
        <v>303</v>
      </c>
      <c r="I5" s="19" t="s">
        <v>110</v>
      </c>
      <c r="O5" s="19" t="s">
        <v>2976</v>
      </c>
      <c r="P5" s="34">
        <v>46271.48887321759</v>
      </c>
      <c r="S5" s="34">
        <v>46256.4896083912</v>
      </c>
      <c r="T5" s="34">
        <v>46256.4896083912</v>
      </c>
      <c r="U5" s="19" t="s">
        <v>119</v>
      </c>
      <c r="V5" s="19" t="b">
        <v>0</v>
      </c>
      <c r="W5" s="25">
        <v>0.0</v>
      </c>
      <c r="X5" s="25">
        <v>5.0</v>
      </c>
      <c r="Y5" s="34">
        <v>46276.48887321759</v>
      </c>
      <c r="Z5" s="25">
        <v>10.0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1.75" customHeight="1">
      <c r="A1" s="59" t="s">
        <v>2990</v>
      </c>
      <c r="B1" s="59" t="s">
        <v>2994</v>
      </c>
      <c r="C1" s="60" t="s">
        <v>2995</v>
      </c>
      <c r="D1" s="60" t="s">
        <v>2996</v>
      </c>
      <c r="E1" s="60" t="s">
        <v>2997</v>
      </c>
      <c r="F1" s="60" t="s">
        <v>4</v>
      </c>
      <c r="G1" s="60" t="s">
        <v>2998</v>
      </c>
      <c r="H1" s="60" t="s">
        <v>8</v>
      </c>
      <c r="I1" s="60" t="s">
        <v>2999</v>
      </c>
      <c r="J1" s="60" t="s">
        <v>3002</v>
      </c>
      <c r="K1" s="60" t="s">
        <v>3003</v>
      </c>
      <c r="L1" s="60" t="s">
        <v>3005</v>
      </c>
      <c r="M1" s="60" t="s">
        <v>3006</v>
      </c>
      <c r="N1" s="60" t="s">
        <v>30</v>
      </c>
      <c r="O1" s="60" t="s">
        <v>3007</v>
      </c>
      <c r="P1" s="60" t="s">
        <v>3008</v>
      </c>
      <c r="Q1" s="60" t="s">
        <v>3009</v>
      </c>
      <c r="R1" s="60" t="s">
        <v>3010</v>
      </c>
      <c r="S1" s="60" t="s">
        <v>3011</v>
      </c>
      <c r="T1" s="60" t="s">
        <v>3012</v>
      </c>
      <c r="U1" s="60" t="s">
        <v>3013</v>
      </c>
      <c r="V1" s="60" t="s">
        <v>1172</v>
      </c>
      <c r="W1" s="60" t="s">
        <v>3014</v>
      </c>
      <c r="X1" s="60" t="s">
        <v>3015</v>
      </c>
      <c r="Y1" s="60" t="s">
        <v>3016</v>
      </c>
      <c r="Z1" s="60" t="s">
        <v>3017</v>
      </c>
      <c r="AA1" s="60" t="s">
        <v>3018</v>
      </c>
      <c r="AB1" s="60" t="s">
        <v>3019</v>
      </c>
      <c r="AC1" s="60" t="s">
        <v>5</v>
      </c>
      <c r="AD1" s="60" t="s">
        <v>3020</v>
      </c>
      <c r="AE1" s="60" t="s">
        <v>3021</v>
      </c>
      <c r="AF1" s="60" t="s">
        <v>3022</v>
      </c>
      <c r="AG1" s="60" t="s">
        <v>305</v>
      </c>
      <c r="AH1" s="60" t="s">
        <v>15</v>
      </c>
      <c r="AI1" s="60" t="s">
        <v>3026</v>
      </c>
    </row>
    <row r="2" ht="21.75" customHeight="1">
      <c r="A2" s="61" t="s">
        <v>3027</v>
      </c>
      <c r="B2" s="61" t="s">
        <v>3028</v>
      </c>
      <c r="C2" s="62" t="s">
        <v>33</v>
      </c>
      <c r="D2" s="62" t="s">
        <v>3029</v>
      </c>
      <c r="E2" s="62" t="s">
        <v>3030</v>
      </c>
      <c r="F2" s="62" t="s">
        <v>129</v>
      </c>
      <c r="G2" s="62" t="s">
        <v>3031</v>
      </c>
      <c r="H2" s="62" t="s">
        <v>133</v>
      </c>
      <c r="I2" s="21"/>
      <c r="J2" s="21"/>
      <c r="K2" s="63" t="b">
        <v>0</v>
      </c>
      <c r="L2" s="21"/>
      <c r="M2" s="62" t="s">
        <v>3028</v>
      </c>
      <c r="N2" s="62" t="s">
        <v>33</v>
      </c>
      <c r="O2" s="62" t="s">
        <v>3028</v>
      </c>
      <c r="P2" s="62" t="s">
        <v>33</v>
      </c>
      <c r="Q2" s="63" t="s">
        <v>3033</v>
      </c>
      <c r="R2" s="63" t="s">
        <v>3033</v>
      </c>
      <c r="S2" s="63" t="s">
        <v>3033</v>
      </c>
      <c r="T2" s="21"/>
      <c r="U2" s="21"/>
      <c r="V2" s="62" t="s">
        <v>128</v>
      </c>
      <c r="W2" s="62" t="s">
        <v>3036</v>
      </c>
      <c r="X2" s="21"/>
      <c r="Y2" s="21"/>
      <c r="Z2" s="21"/>
      <c r="AA2" s="21"/>
      <c r="AB2" s="21"/>
      <c r="AC2" s="62" t="s">
        <v>35</v>
      </c>
      <c r="AD2" s="62" t="s">
        <v>3037</v>
      </c>
      <c r="AE2" s="62" t="s">
        <v>3038</v>
      </c>
      <c r="AF2" s="62" t="s">
        <v>3039</v>
      </c>
      <c r="AG2" s="62" t="s">
        <v>3040</v>
      </c>
      <c r="AH2" s="62" t="s">
        <v>53</v>
      </c>
    </row>
    <row r="3" ht="21.75" customHeight="1">
      <c r="A3" s="61" t="s">
        <v>3041</v>
      </c>
      <c r="B3" s="61" t="s">
        <v>3028</v>
      </c>
      <c r="C3" s="62" t="s">
        <v>33</v>
      </c>
      <c r="D3" s="62" t="s">
        <v>3042</v>
      </c>
      <c r="E3" s="62" t="s">
        <v>3043</v>
      </c>
      <c r="F3" s="62" t="s">
        <v>141</v>
      </c>
      <c r="G3" s="62" t="s">
        <v>3044</v>
      </c>
      <c r="H3" s="62" t="s">
        <v>143</v>
      </c>
      <c r="I3" s="21"/>
      <c r="J3" s="64">
        <v>8.8E9</v>
      </c>
      <c r="K3" s="63" t="b">
        <v>0</v>
      </c>
      <c r="L3" s="21"/>
      <c r="M3" s="62" t="s">
        <v>3028</v>
      </c>
      <c r="N3" s="62" t="s">
        <v>33</v>
      </c>
      <c r="O3" s="62" t="s">
        <v>3028</v>
      </c>
      <c r="P3" s="62" t="s">
        <v>33</v>
      </c>
      <c r="Q3" s="63" t="s">
        <v>3033</v>
      </c>
      <c r="R3" s="63" t="s">
        <v>3033</v>
      </c>
      <c r="S3" s="63" t="s">
        <v>3033</v>
      </c>
      <c r="T3" s="21"/>
      <c r="U3" s="21"/>
      <c r="V3" s="62" t="s">
        <v>140</v>
      </c>
      <c r="W3" s="62" t="s">
        <v>3036</v>
      </c>
      <c r="X3" s="21"/>
      <c r="Y3" s="21"/>
      <c r="Z3" s="21"/>
      <c r="AA3" s="21"/>
      <c r="AB3" s="21"/>
      <c r="AC3" s="21"/>
      <c r="AD3" s="62" t="s">
        <v>3048</v>
      </c>
      <c r="AE3" s="62" t="s">
        <v>3049</v>
      </c>
      <c r="AF3" s="62" t="s">
        <v>3050</v>
      </c>
      <c r="AG3" s="62" t="s">
        <v>3051</v>
      </c>
      <c r="AH3" s="62" t="s">
        <v>53</v>
      </c>
      <c r="AI3" s="63" t="s">
        <v>3033</v>
      </c>
    </row>
    <row r="4" ht="21.75" customHeight="1">
      <c r="A4" s="61" t="s">
        <v>3052</v>
      </c>
      <c r="B4" s="62" t="s">
        <v>3028</v>
      </c>
      <c r="C4" s="62" t="s">
        <v>33</v>
      </c>
      <c r="D4" s="62" t="s">
        <v>3053</v>
      </c>
      <c r="E4" s="62" t="s">
        <v>3054</v>
      </c>
      <c r="F4" s="62" t="s">
        <v>151</v>
      </c>
      <c r="G4" s="62" t="s">
        <v>3055</v>
      </c>
      <c r="H4" s="62" t="s">
        <v>155</v>
      </c>
      <c r="I4" s="21"/>
      <c r="J4" s="21"/>
      <c r="K4" s="63" t="b">
        <v>0</v>
      </c>
      <c r="L4" s="21"/>
      <c r="M4" s="62" t="s">
        <v>3028</v>
      </c>
      <c r="N4" s="62" t="s">
        <v>33</v>
      </c>
      <c r="O4" s="62" t="s">
        <v>3028</v>
      </c>
      <c r="P4" s="62" t="s">
        <v>33</v>
      </c>
      <c r="Q4" s="63" t="s">
        <v>3033</v>
      </c>
      <c r="R4" s="63" t="s">
        <v>3033</v>
      </c>
      <c r="S4" s="63" t="s">
        <v>3033</v>
      </c>
      <c r="T4" s="21"/>
      <c r="U4" s="21"/>
      <c r="V4" s="62" t="s">
        <v>150</v>
      </c>
      <c r="W4" s="62" t="s">
        <v>3036</v>
      </c>
      <c r="X4" s="21"/>
      <c r="Y4" s="21"/>
      <c r="Z4" s="21"/>
      <c r="AA4" s="21"/>
      <c r="AB4" s="21"/>
      <c r="AC4" s="62" t="s">
        <v>152</v>
      </c>
      <c r="AD4" s="62" t="s">
        <v>3059</v>
      </c>
      <c r="AE4" s="62" t="s">
        <v>3061</v>
      </c>
      <c r="AF4" s="62" t="s">
        <v>3062</v>
      </c>
      <c r="AG4" s="62" t="s">
        <v>3063</v>
      </c>
      <c r="AH4" s="62" t="s">
        <v>53</v>
      </c>
    </row>
    <row r="5" ht="21.75" customHeight="1">
      <c r="A5" s="61" t="s">
        <v>3064</v>
      </c>
      <c r="B5" s="62" t="s">
        <v>3028</v>
      </c>
      <c r="C5" s="62" t="s">
        <v>33</v>
      </c>
      <c r="D5" s="62" t="s">
        <v>3065</v>
      </c>
      <c r="E5" s="62" t="s">
        <v>107</v>
      </c>
      <c r="F5" s="62" t="s">
        <v>162</v>
      </c>
      <c r="G5" s="62" t="s">
        <v>3055</v>
      </c>
      <c r="H5" s="62" t="s">
        <v>155</v>
      </c>
      <c r="I5" s="62" t="s">
        <v>107</v>
      </c>
      <c r="J5" s="21"/>
      <c r="K5" s="63" t="b">
        <v>0</v>
      </c>
      <c r="L5" s="21"/>
      <c r="M5" s="62" t="s">
        <v>3028</v>
      </c>
      <c r="N5" s="62" t="s">
        <v>33</v>
      </c>
      <c r="O5" s="62" t="s">
        <v>3028</v>
      </c>
      <c r="P5" s="62" t="s">
        <v>33</v>
      </c>
      <c r="Q5" s="63" t="s">
        <v>3033</v>
      </c>
      <c r="R5" s="63" t="s">
        <v>3033</v>
      </c>
      <c r="S5" s="63" t="s">
        <v>3033</v>
      </c>
      <c r="T5" s="21"/>
      <c r="U5" s="21"/>
      <c r="V5" s="62" t="s">
        <v>161</v>
      </c>
      <c r="W5" s="62" t="s">
        <v>3036</v>
      </c>
      <c r="X5" s="21"/>
      <c r="Y5" s="21"/>
      <c r="Z5" s="21"/>
      <c r="AA5" s="21"/>
      <c r="AB5" s="21"/>
      <c r="AC5" s="62" t="s">
        <v>163</v>
      </c>
      <c r="AD5" s="62" t="s">
        <v>3059</v>
      </c>
      <c r="AE5" s="62" t="s">
        <v>3061</v>
      </c>
      <c r="AF5" s="62" t="s">
        <v>3066</v>
      </c>
      <c r="AG5" s="62" t="s">
        <v>3063</v>
      </c>
      <c r="AH5" s="62" t="s">
        <v>53</v>
      </c>
    </row>
    <row r="6" ht="21.75" customHeight="1">
      <c r="A6" s="62" t="s">
        <v>3068</v>
      </c>
      <c r="B6" s="62" t="s">
        <v>3028</v>
      </c>
      <c r="C6" s="62" t="s">
        <v>33</v>
      </c>
      <c r="D6" s="62" t="s">
        <v>3070</v>
      </c>
      <c r="E6" s="62" t="s">
        <v>107</v>
      </c>
      <c r="F6" s="62" t="s">
        <v>3072</v>
      </c>
      <c r="G6" s="62" t="s">
        <v>3073</v>
      </c>
      <c r="H6" s="62" t="s">
        <v>223</v>
      </c>
      <c r="I6" s="21"/>
      <c r="J6" s="21"/>
      <c r="K6" s="63" t="b">
        <v>0</v>
      </c>
      <c r="L6" s="21"/>
      <c r="M6" s="62" t="s">
        <v>3028</v>
      </c>
      <c r="N6" s="62" t="s">
        <v>33</v>
      </c>
      <c r="O6" s="62" t="s">
        <v>3028</v>
      </c>
      <c r="P6" s="62" t="s">
        <v>33</v>
      </c>
      <c r="Q6" s="63" t="s">
        <v>3033</v>
      </c>
      <c r="R6" s="63" t="s">
        <v>3033</v>
      </c>
      <c r="S6" s="63" t="s">
        <v>3033</v>
      </c>
      <c r="T6" s="21"/>
      <c r="U6" s="21"/>
      <c r="V6" s="62" t="s">
        <v>3074</v>
      </c>
      <c r="W6" s="62" t="s">
        <v>3036</v>
      </c>
      <c r="X6" s="21"/>
      <c r="Y6" s="21"/>
      <c r="Z6" s="21"/>
      <c r="AA6" s="21"/>
      <c r="AB6" s="21"/>
      <c r="AC6" s="62" t="s">
        <v>238</v>
      </c>
      <c r="AD6" s="62" t="s">
        <v>3075</v>
      </c>
      <c r="AE6" s="62" t="s">
        <v>3076</v>
      </c>
      <c r="AF6" s="62" t="s">
        <v>3077</v>
      </c>
      <c r="AG6" s="62" t="s">
        <v>3078</v>
      </c>
      <c r="AH6" s="62" t="s">
        <v>53</v>
      </c>
    </row>
    <row r="7" ht="21.75" customHeight="1">
      <c r="A7" s="61" t="s">
        <v>3079</v>
      </c>
      <c r="B7" s="62" t="s">
        <v>3028</v>
      </c>
      <c r="C7" s="62" t="s">
        <v>33</v>
      </c>
      <c r="D7" s="62" t="s">
        <v>3080</v>
      </c>
      <c r="E7" s="62" t="s">
        <v>3081</v>
      </c>
      <c r="F7" s="62" t="s">
        <v>169</v>
      </c>
      <c r="G7" s="62" t="s">
        <v>3055</v>
      </c>
      <c r="H7" s="62" t="s">
        <v>155</v>
      </c>
      <c r="I7" s="21"/>
      <c r="J7" s="62" t="s">
        <v>107</v>
      </c>
      <c r="K7" s="63" t="b">
        <v>0</v>
      </c>
      <c r="L7" s="21"/>
      <c r="M7" s="62" t="s">
        <v>3028</v>
      </c>
      <c r="N7" s="62" t="s">
        <v>33</v>
      </c>
      <c r="O7" s="62" t="s">
        <v>3028</v>
      </c>
      <c r="P7" s="62" t="s">
        <v>33</v>
      </c>
      <c r="Q7" s="63" t="s">
        <v>3033</v>
      </c>
      <c r="R7" s="63" t="s">
        <v>3033</v>
      </c>
      <c r="S7" s="63" t="s">
        <v>3033</v>
      </c>
      <c r="T7" s="21"/>
      <c r="U7" s="21"/>
      <c r="V7" s="62" t="s">
        <v>168</v>
      </c>
      <c r="W7" s="62" t="s">
        <v>3082</v>
      </c>
      <c r="X7" s="21"/>
      <c r="Y7" s="21"/>
      <c r="Z7" s="21"/>
      <c r="AA7" s="21"/>
      <c r="AB7" s="21"/>
      <c r="AC7" s="62" t="s">
        <v>170</v>
      </c>
      <c r="AD7" s="62" t="s">
        <v>3059</v>
      </c>
      <c r="AE7" s="62" t="s">
        <v>3061</v>
      </c>
      <c r="AF7" s="62" t="s">
        <v>3083</v>
      </c>
      <c r="AG7" s="62" t="s">
        <v>3063</v>
      </c>
      <c r="AH7" s="62" t="s">
        <v>53</v>
      </c>
    </row>
    <row r="8" ht="21.75" customHeight="1">
      <c r="A8" s="62" t="s">
        <v>3084</v>
      </c>
      <c r="B8" s="62" t="s">
        <v>3028</v>
      </c>
      <c r="C8" s="62" t="s">
        <v>33</v>
      </c>
      <c r="D8" s="62" t="s">
        <v>3086</v>
      </c>
      <c r="E8" s="62" t="s">
        <v>3087</v>
      </c>
      <c r="F8" s="62" t="s">
        <v>179</v>
      </c>
      <c r="G8" s="62" t="s">
        <v>3055</v>
      </c>
      <c r="H8" s="62" t="s">
        <v>155</v>
      </c>
      <c r="I8" s="21"/>
      <c r="J8" s="62" t="s">
        <v>107</v>
      </c>
      <c r="K8" s="63" t="b">
        <v>0</v>
      </c>
      <c r="L8" s="21"/>
      <c r="M8" s="62" t="s">
        <v>3028</v>
      </c>
      <c r="N8" s="62" t="s">
        <v>33</v>
      </c>
      <c r="O8" s="62" t="s">
        <v>3028</v>
      </c>
      <c r="P8" s="62" t="s">
        <v>33</v>
      </c>
      <c r="Q8" s="63" t="s">
        <v>3033</v>
      </c>
      <c r="R8" s="63" t="s">
        <v>3033</v>
      </c>
      <c r="S8" s="63" t="s">
        <v>3033</v>
      </c>
      <c r="T8" s="21"/>
      <c r="U8" s="21"/>
      <c r="V8" s="62" t="s">
        <v>176</v>
      </c>
      <c r="W8" s="62" t="s">
        <v>3082</v>
      </c>
      <c r="X8" s="21"/>
      <c r="Y8" s="21"/>
      <c r="Z8" s="21"/>
      <c r="AA8" s="21"/>
      <c r="AB8" s="21"/>
      <c r="AC8" s="62" t="s">
        <v>180</v>
      </c>
      <c r="AD8" s="62" t="s">
        <v>3059</v>
      </c>
      <c r="AE8" s="62" t="s">
        <v>3061</v>
      </c>
      <c r="AF8" s="62" t="s">
        <v>3083</v>
      </c>
      <c r="AG8" s="62" t="s">
        <v>3063</v>
      </c>
      <c r="AH8" s="62" t="s">
        <v>53</v>
      </c>
    </row>
    <row r="9" ht="21.75" customHeight="1">
      <c r="A9" s="62" t="s">
        <v>3090</v>
      </c>
      <c r="B9" s="62" t="s">
        <v>3028</v>
      </c>
      <c r="C9" s="62" t="s">
        <v>33</v>
      </c>
      <c r="D9" s="62" t="s">
        <v>3091</v>
      </c>
      <c r="E9" s="62" t="s">
        <v>3092</v>
      </c>
      <c r="F9" s="62" t="s">
        <v>185</v>
      </c>
      <c r="G9" s="62" t="s">
        <v>3055</v>
      </c>
      <c r="H9" s="62" t="s">
        <v>155</v>
      </c>
      <c r="I9" s="21"/>
      <c r="J9" s="62" t="s">
        <v>107</v>
      </c>
      <c r="K9" s="63" t="b">
        <v>0</v>
      </c>
      <c r="L9" s="21"/>
      <c r="M9" s="62" t="s">
        <v>3028</v>
      </c>
      <c r="N9" s="62" t="s">
        <v>33</v>
      </c>
      <c r="O9" s="62" t="s">
        <v>3028</v>
      </c>
      <c r="P9" s="62" t="s">
        <v>33</v>
      </c>
      <c r="Q9" s="63" t="s">
        <v>3033</v>
      </c>
      <c r="R9" s="63" t="s">
        <v>3033</v>
      </c>
      <c r="S9" s="63" t="s">
        <v>3033</v>
      </c>
      <c r="T9" s="21"/>
      <c r="U9" s="21"/>
      <c r="V9" s="62" t="s">
        <v>183</v>
      </c>
      <c r="W9" s="62" t="s">
        <v>3082</v>
      </c>
      <c r="X9" s="21"/>
      <c r="Y9" s="21"/>
      <c r="Z9" s="21"/>
      <c r="AA9" s="21"/>
      <c r="AB9" s="21"/>
      <c r="AC9" s="62" t="s">
        <v>186</v>
      </c>
      <c r="AD9" s="62" t="s">
        <v>3059</v>
      </c>
      <c r="AE9" s="62" t="s">
        <v>3061</v>
      </c>
      <c r="AF9" s="62" t="s">
        <v>3083</v>
      </c>
      <c r="AG9" s="62" t="s">
        <v>3063</v>
      </c>
      <c r="AH9" s="62" t="s">
        <v>53</v>
      </c>
    </row>
    <row r="10" ht="21.75" customHeight="1">
      <c r="A10" s="62" t="s">
        <v>3093</v>
      </c>
      <c r="B10" s="62" t="s">
        <v>3028</v>
      </c>
      <c r="C10" s="62" t="s">
        <v>33</v>
      </c>
      <c r="D10" s="62" t="s">
        <v>3094</v>
      </c>
      <c r="E10" s="62" t="s">
        <v>3095</v>
      </c>
      <c r="F10" s="62" t="s">
        <v>192</v>
      </c>
      <c r="G10" s="62" t="s">
        <v>3055</v>
      </c>
      <c r="H10" s="62" t="s">
        <v>155</v>
      </c>
      <c r="I10" s="21"/>
      <c r="J10" s="62" t="s">
        <v>107</v>
      </c>
      <c r="K10" s="63" t="b">
        <v>0</v>
      </c>
      <c r="L10" s="21"/>
      <c r="M10" s="62" t="s">
        <v>3028</v>
      </c>
      <c r="N10" s="62" t="s">
        <v>33</v>
      </c>
      <c r="O10" s="62" t="s">
        <v>3028</v>
      </c>
      <c r="P10" s="62" t="s">
        <v>33</v>
      </c>
      <c r="Q10" s="63" t="s">
        <v>3033</v>
      </c>
      <c r="R10" s="63" t="s">
        <v>3033</v>
      </c>
      <c r="S10" s="63" t="s">
        <v>3033</v>
      </c>
      <c r="T10" s="21"/>
      <c r="U10" s="21"/>
      <c r="V10" s="62" t="s">
        <v>191</v>
      </c>
      <c r="W10" s="62" t="s">
        <v>3082</v>
      </c>
      <c r="X10" s="21"/>
      <c r="Y10" s="21"/>
      <c r="Z10" s="21"/>
      <c r="AA10" s="21"/>
      <c r="AB10" s="21"/>
      <c r="AC10" s="62" t="s">
        <v>193</v>
      </c>
      <c r="AD10" s="62" t="s">
        <v>3059</v>
      </c>
      <c r="AE10" s="62" t="s">
        <v>3061</v>
      </c>
      <c r="AF10" s="62" t="s">
        <v>3083</v>
      </c>
      <c r="AG10" s="62" t="s">
        <v>3063</v>
      </c>
      <c r="AH10" s="62" t="s">
        <v>53</v>
      </c>
    </row>
    <row r="11" ht="21.75" customHeight="1">
      <c r="A11" s="62" t="s">
        <v>3096</v>
      </c>
      <c r="B11" s="62" t="s">
        <v>3028</v>
      </c>
      <c r="C11" s="62" t="s">
        <v>33</v>
      </c>
      <c r="D11" s="62" t="s">
        <v>3097</v>
      </c>
      <c r="E11" s="62" t="s">
        <v>3098</v>
      </c>
      <c r="F11" s="62" t="s">
        <v>196</v>
      </c>
      <c r="G11" s="62" t="s">
        <v>3055</v>
      </c>
      <c r="H11" s="62" t="s">
        <v>155</v>
      </c>
      <c r="I11" s="21"/>
      <c r="J11" s="62" t="s">
        <v>107</v>
      </c>
      <c r="K11" s="63" t="b">
        <v>0</v>
      </c>
      <c r="L11" s="21"/>
      <c r="M11" s="62" t="s">
        <v>3028</v>
      </c>
      <c r="N11" s="62" t="s">
        <v>33</v>
      </c>
      <c r="O11" s="62" t="s">
        <v>3028</v>
      </c>
      <c r="P11" s="62" t="s">
        <v>33</v>
      </c>
      <c r="Q11" s="63" t="s">
        <v>3033</v>
      </c>
      <c r="R11" s="63" t="s">
        <v>3033</v>
      </c>
      <c r="S11" s="63" t="s">
        <v>3033</v>
      </c>
      <c r="T11" s="21"/>
      <c r="U11" s="21"/>
      <c r="V11" s="62" t="s">
        <v>195</v>
      </c>
      <c r="W11" s="62" t="s">
        <v>3082</v>
      </c>
      <c r="X11" s="21"/>
      <c r="Y11" s="21"/>
      <c r="Z11" s="21"/>
      <c r="AA11" s="21"/>
      <c r="AB11" s="21"/>
      <c r="AC11" s="62" t="s">
        <v>197</v>
      </c>
      <c r="AD11" s="62" t="s">
        <v>3059</v>
      </c>
      <c r="AE11" s="62" t="s">
        <v>3061</v>
      </c>
      <c r="AF11" s="62" t="s">
        <v>3083</v>
      </c>
      <c r="AG11" s="62" t="s">
        <v>3063</v>
      </c>
      <c r="AH11" s="62" t="s">
        <v>53</v>
      </c>
    </row>
    <row r="12" ht="21.75" customHeight="1">
      <c r="A12" s="62" t="s">
        <v>3102</v>
      </c>
      <c r="B12" s="62" t="s">
        <v>3028</v>
      </c>
      <c r="C12" s="62" t="s">
        <v>33</v>
      </c>
      <c r="D12" s="62" t="s">
        <v>3103</v>
      </c>
      <c r="E12" s="62" t="s">
        <v>3104</v>
      </c>
      <c r="F12" s="62" t="s">
        <v>202</v>
      </c>
      <c r="G12" s="62" t="s">
        <v>3055</v>
      </c>
      <c r="H12" s="62" t="s">
        <v>155</v>
      </c>
      <c r="I12" s="21"/>
      <c r="J12" s="62" t="s">
        <v>107</v>
      </c>
      <c r="K12" s="63" t="b">
        <v>0</v>
      </c>
      <c r="L12" s="21"/>
      <c r="M12" s="62" t="s">
        <v>3028</v>
      </c>
      <c r="N12" s="62" t="s">
        <v>33</v>
      </c>
      <c r="O12" s="62" t="s">
        <v>3028</v>
      </c>
      <c r="P12" s="62" t="s">
        <v>33</v>
      </c>
      <c r="Q12" s="63" t="s">
        <v>3033</v>
      </c>
      <c r="R12" s="63" t="s">
        <v>3033</v>
      </c>
      <c r="S12" s="63" t="s">
        <v>3033</v>
      </c>
      <c r="T12" s="21"/>
      <c r="U12" s="21"/>
      <c r="V12" s="62" t="s">
        <v>201</v>
      </c>
      <c r="W12" s="62" t="s">
        <v>3082</v>
      </c>
      <c r="X12" s="21"/>
      <c r="Y12" s="21"/>
      <c r="Z12" s="21"/>
      <c r="AA12" s="21"/>
      <c r="AB12" s="21"/>
      <c r="AC12" s="62" t="s">
        <v>203</v>
      </c>
      <c r="AD12" s="62" t="s">
        <v>3059</v>
      </c>
      <c r="AE12" s="62" t="s">
        <v>3061</v>
      </c>
      <c r="AF12" s="62" t="s">
        <v>3083</v>
      </c>
      <c r="AG12" s="62" t="s">
        <v>3063</v>
      </c>
      <c r="AH12" s="62" t="s">
        <v>53</v>
      </c>
    </row>
    <row r="13" ht="21.75" customHeight="1">
      <c r="A13" s="62" t="s">
        <v>3108</v>
      </c>
      <c r="B13" s="62" t="s">
        <v>3028</v>
      </c>
      <c r="C13" s="62" t="s">
        <v>33</v>
      </c>
      <c r="D13" s="62" t="s">
        <v>3109</v>
      </c>
      <c r="E13" s="62" t="s">
        <v>3110</v>
      </c>
      <c r="F13" s="62" t="s">
        <v>206</v>
      </c>
      <c r="G13" s="62" t="s">
        <v>3055</v>
      </c>
      <c r="H13" s="62" t="s">
        <v>155</v>
      </c>
      <c r="I13" s="21"/>
      <c r="J13" s="62" t="s">
        <v>107</v>
      </c>
      <c r="K13" s="63" t="b">
        <v>0</v>
      </c>
      <c r="L13" s="21"/>
      <c r="M13" s="62" t="s">
        <v>3028</v>
      </c>
      <c r="N13" s="62" t="s">
        <v>33</v>
      </c>
      <c r="O13" s="62" t="s">
        <v>3028</v>
      </c>
      <c r="P13" s="62" t="s">
        <v>33</v>
      </c>
      <c r="Q13" s="63" t="s">
        <v>3033</v>
      </c>
      <c r="R13" s="63" t="s">
        <v>3033</v>
      </c>
      <c r="S13" s="63" t="s">
        <v>3033</v>
      </c>
      <c r="T13" s="21"/>
      <c r="U13" s="21"/>
      <c r="V13" s="62" t="s">
        <v>205</v>
      </c>
      <c r="W13" s="62" t="s">
        <v>3082</v>
      </c>
      <c r="X13" s="21"/>
      <c r="Y13" s="21"/>
      <c r="Z13" s="21"/>
      <c r="AA13" s="21"/>
      <c r="AB13" s="21"/>
      <c r="AC13" s="62" t="s">
        <v>207</v>
      </c>
      <c r="AD13" s="62" t="s">
        <v>3059</v>
      </c>
      <c r="AE13" s="62" t="s">
        <v>3061</v>
      </c>
      <c r="AF13" s="62" t="s">
        <v>3083</v>
      </c>
      <c r="AG13" s="62" t="s">
        <v>3063</v>
      </c>
      <c r="AH13" s="62" t="s">
        <v>53</v>
      </c>
    </row>
    <row r="14" ht="21.75" customHeight="1">
      <c r="A14" s="62" t="s">
        <v>3111</v>
      </c>
      <c r="B14" s="62" t="s">
        <v>3028</v>
      </c>
      <c r="C14" s="62" t="s">
        <v>33</v>
      </c>
      <c r="D14" s="62" t="s">
        <v>3112</v>
      </c>
      <c r="E14" s="62" t="s">
        <v>3113</v>
      </c>
      <c r="F14" s="62" t="s">
        <v>210</v>
      </c>
      <c r="G14" s="62" t="s">
        <v>3055</v>
      </c>
      <c r="H14" s="62" t="s">
        <v>155</v>
      </c>
      <c r="I14" s="21"/>
      <c r="J14" s="62" t="s">
        <v>107</v>
      </c>
      <c r="K14" s="63" t="b">
        <v>0</v>
      </c>
      <c r="L14" s="21"/>
      <c r="M14" s="62" t="s">
        <v>3028</v>
      </c>
      <c r="N14" s="62" t="s">
        <v>33</v>
      </c>
      <c r="O14" s="62" t="s">
        <v>3028</v>
      </c>
      <c r="P14" s="62" t="s">
        <v>33</v>
      </c>
      <c r="Q14" s="63" t="s">
        <v>3033</v>
      </c>
      <c r="R14" s="63" t="s">
        <v>3033</v>
      </c>
      <c r="S14" s="63" t="s">
        <v>3033</v>
      </c>
      <c r="T14" s="21"/>
      <c r="U14" s="21"/>
      <c r="V14" s="62" t="s">
        <v>209</v>
      </c>
      <c r="W14" s="62" t="s">
        <v>3082</v>
      </c>
      <c r="X14" s="21"/>
      <c r="Y14" s="21"/>
      <c r="Z14" s="21"/>
      <c r="AA14" s="21"/>
      <c r="AB14" s="21"/>
      <c r="AC14" s="62" t="s">
        <v>211</v>
      </c>
      <c r="AD14" s="62" t="s">
        <v>3059</v>
      </c>
      <c r="AE14" s="62" t="s">
        <v>3061</v>
      </c>
      <c r="AF14" s="62" t="s">
        <v>3083</v>
      </c>
      <c r="AG14" s="62" t="s">
        <v>3063</v>
      </c>
      <c r="AH14" s="62" t="s">
        <v>53</v>
      </c>
    </row>
    <row r="15" ht="21.75" customHeight="1">
      <c r="A15" s="62" t="s">
        <v>3117</v>
      </c>
      <c r="B15" s="62" t="s">
        <v>3028</v>
      </c>
      <c r="C15" s="62" t="s">
        <v>33</v>
      </c>
      <c r="D15" s="62" t="s">
        <v>3118</v>
      </c>
      <c r="E15" s="62" t="s">
        <v>3119</v>
      </c>
      <c r="F15" s="62" t="s">
        <v>217</v>
      </c>
      <c r="G15" s="62" t="s">
        <v>3055</v>
      </c>
      <c r="H15" s="62" t="s">
        <v>155</v>
      </c>
      <c r="I15" s="21"/>
      <c r="J15" s="62" t="s">
        <v>107</v>
      </c>
      <c r="K15" s="63" t="b">
        <v>0</v>
      </c>
      <c r="L15" s="21"/>
      <c r="M15" s="62" t="s">
        <v>3028</v>
      </c>
      <c r="N15" s="62" t="s">
        <v>33</v>
      </c>
      <c r="O15" s="62" t="s">
        <v>3028</v>
      </c>
      <c r="P15" s="62" t="s">
        <v>33</v>
      </c>
      <c r="Q15" s="63" t="s">
        <v>3033</v>
      </c>
      <c r="R15" s="63" t="s">
        <v>3033</v>
      </c>
      <c r="S15" s="63" t="s">
        <v>3033</v>
      </c>
      <c r="T15" s="21"/>
      <c r="U15" s="21"/>
      <c r="V15" s="62" t="s">
        <v>216</v>
      </c>
      <c r="W15" s="62" t="s">
        <v>3082</v>
      </c>
      <c r="X15" s="21"/>
      <c r="Y15" s="21"/>
      <c r="Z15" s="21"/>
      <c r="AA15" s="21"/>
      <c r="AB15" s="21"/>
      <c r="AC15" s="62" t="s">
        <v>218</v>
      </c>
      <c r="AD15" s="62" t="s">
        <v>3059</v>
      </c>
      <c r="AE15" s="62" t="s">
        <v>3061</v>
      </c>
      <c r="AF15" s="62" t="s">
        <v>3083</v>
      </c>
      <c r="AG15" s="62" t="s">
        <v>3063</v>
      </c>
      <c r="AH15" s="62" t="s">
        <v>53</v>
      </c>
    </row>
    <row r="16" ht="21.75" customHeight="1">
      <c r="A16" s="62" t="s">
        <v>3124</v>
      </c>
      <c r="B16" s="62" t="s">
        <v>3028</v>
      </c>
      <c r="C16" s="62" t="s">
        <v>33</v>
      </c>
      <c r="D16" s="62" t="s">
        <v>3125</v>
      </c>
      <c r="E16" s="62" t="s">
        <v>3126</v>
      </c>
      <c r="F16" s="62" t="s">
        <v>221</v>
      </c>
      <c r="G16" s="62" t="s">
        <v>3073</v>
      </c>
      <c r="H16" s="62" t="s">
        <v>223</v>
      </c>
      <c r="I16" s="21"/>
      <c r="J16" s="62" t="s">
        <v>107</v>
      </c>
      <c r="K16" s="63" t="b">
        <v>0</v>
      </c>
      <c r="L16" s="21"/>
      <c r="M16" s="62" t="s">
        <v>3028</v>
      </c>
      <c r="N16" s="62" t="s">
        <v>33</v>
      </c>
      <c r="O16" s="62" t="s">
        <v>3028</v>
      </c>
      <c r="P16" s="62" t="s">
        <v>33</v>
      </c>
      <c r="Q16" s="63" t="s">
        <v>3033</v>
      </c>
      <c r="R16" s="63" t="s">
        <v>3033</v>
      </c>
      <c r="S16" s="63" t="s">
        <v>3033</v>
      </c>
      <c r="T16" s="21"/>
      <c r="U16" s="21"/>
      <c r="V16" s="62" t="s">
        <v>220</v>
      </c>
      <c r="W16" s="62" t="s">
        <v>3082</v>
      </c>
      <c r="X16" s="21"/>
      <c r="Y16" s="21"/>
      <c r="Z16" s="21"/>
      <c r="AA16" s="21"/>
      <c r="AB16" s="21"/>
      <c r="AC16" s="62" t="s">
        <v>222</v>
      </c>
      <c r="AD16" s="62" t="s">
        <v>3075</v>
      </c>
      <c r="AE16" s="62" t="s">
        <v>3076</v>
      </c>
      <c r="AF16" s="62" t="s">
        <v>3130</v>
      </c>
      <c r="AG16" s="62" t="s">
        <v>3078</v>
      </c>
      <c r="AH16" s="62" t="s">
        <v>53</v>
      </c>
    </row>
    <row r="17" ht="21.75" customHeight="1">
      <c r="A17" s="62" t="s">
        <v>3131</v>
      </c>
      <c r="B17" s="62" t="s">
        <v>3028</v>
      </c>
      <c r="C17" s="62" t="s">
        <v>33</v>
      </c>
      <c r="D17" s="62" t="s">
        <v>3132</v>
      </c>
      <c r="E17" s="62" t="s">
        <v>3133</v>
      </c>
      <c r="F17" s="62" t="s">
        <v>229</v>
      </c>
      <c r="G17" s="62" t="s">
        <v>3073</v>
      </c>
      <c r="H17" s="21"/>
      <c r="I17" s="21"/>
      <c r="J17" s="62" t="s">
        <v>107</v>
      </c>
      <c r="K17" s="63" t="b">
        <v>0</v>
      </c>
      <c r="L17" s="21"/>
      <c r="M17" s="62" t="s">
        <v>3028</v>
      </c>
      <c r="N17" s="62" t="s">
        <v>33</v>
      </c>
      <c r="O17" s="62" t="s">
        <v>3028</v>
      </c>
      <c r="P17" s="62" t="s">
        <v>33</v>
      </c>
      <c r="Q17" s="63" t="s">
        <v>3033</v>
      </c>
      <c r="R17" s="63" t="s">
        <v>3033</v>
      </c>
      <c r="S17" s="63" t="s">
        <v>3033</v>
      </c>
      <c r="T17" s="21"/>
      <c r="U17" s="21"/>
      <c r="V17" s="62" t="s">
        <v>228</v>
      </c>
      <c r="W17" s="62" t="s">
        <v>3082</v>
      </c>
      <c r="X17" s="21"/>
      <c r="Y17" s="21"/>
      <c r="Z17" s="21"/>
      <c r="AA17" s="21"/>
      <c r="AB17" s="21"/>
      <c r="AC17" s="62" t="s">
        <v>230</v>
      </c>
      <c r="AD17" s="62" t="s">
        <v>3075</v>
      </c>
      <c r="AE17" s="62" t="s">
        <v>3076</v>
      </c>
      <c r="AF17" s="62" t="s">
        <v>3130</v>
      </c>
      <c r="AG17" s="62" t="s">
        <v>3078</v>
      </c>
      <c r="AH17" s="62" t="s">
        <v>53</v>
      </c>
    </row>
    <row r="18" ht="21.75" customHeight="1">
      <c r="A18" s="62" t="s">
        <v>3134</v>
      </c>
      <c r="B18" s="62" t="s">
        <v>3028</v>
      </c>
      <c r="C18" s="62" t="s">
        <v>33</v>
      </c>
      <c r="D18" s="62" t="s">
        <v>3135</v>
      </c>
      <c r="E18" s="62" t="s">
        <v>3136</v>
      </c>
      <c r="F18" s="62" t="s">
        <v>233</v>
      </c>
      <c r="G18" s="62" t="s">
        <v>3073</v>
      </c>
      <c r="H18" s="21"/>
      <c r="I18" s="21"/>
      <c r="J18" s="62" t="s">
        <v>107</v>
      </c>
      <c r="K18" s="63" t="b">
        <v>0</v>
      </c>
      <c r="L18" s="21"/>
      <c r="M18" s="62" t="s">
        <v>3028</v>
      </c>
      <c r="N18" s="62" t="s">
        <v>33</v>
      </c>
      <c r="O18" s="62" t="s">
        <v>3028</v>
      </c>
      <c r="P18" s="62" t="s">
        <v>33</v>
      </c>
      <c r="Q18" s="63" t="s">
        <v>3033</v>
      </c>
      <c r="R18" s="63" t="s">
        <v>3033</v>
      </c>
      <c r="S18" s="63" t="s">
        <v>3033</v>
      </c>
      <c r="T18" s="21"/>
      <c r="U18" s="21"/>
      <c r="V18" s="62" t="s">
        <v>232</v>
      </c>
      <c r="W18" s="62" t="s">
        <v>3082</v>
      </c>
      <c r="X18" s="21"/>
      <c r="Y18" s="21"/>
      <c r="Z18" s="21"/>
      <c r="AA18" s="21"/>
      <c r="AB18" s="21"/>
      <c r="AC18" s="62" t="s">
        <v>234</v>
      </c>
      <c r="AD18" s="62" t="s">
        <v>3075</v>
      </c>
      <c r="AE18" s="62" t="s">
        <v>3076</v>
      </c>
      <c r="AF18" s="62" t="s">
        <v>3130</v>
      </c>
      <c r="AG18" s="62" t="s">
        <v>3078</v>
      </c>
      <c r="AH18" s="62" t="s">
        <v>53</v>
      </c>
    </row>
    <row r="19" ht="21.75" customHeight="1">
      <c r="A19" s="62" t="s">
        <v>3140</v>
      </c>
      <c r="B19" s="62" t="s">
        <v>3028</v>
      </c>
      <c r="C19" s="62" t="s">
        <v>33</v>
      </c>
      <c r="D19" s="62" t="s">
        <v>3141</v>
      </c>
      <c r="E19" s="62" t="s">
        <v>3142</v>
      </c>
      <c r="F19" s="62" t="s">
        <v>237</v>
      </c>
      <c r="G19" s="62" t="s">
        <v>3073</v>
      </c>
      <c r="H19" s="21"/>
      <c r="I19" s="21"/>
      <c r="J19" s="62" t="s">
        <v>107</v>
      </c>
      <c r="K19" s="63" t="b">
        <v>0</v>
      </c>
      <c r="L19" s="21"/>
      <c r="M19" s="62" t="s">
        <v>3028</v>
      </c>
      <c r="N19" s="62" t="s">
        <v>33</v>
      </c>
      <c r="O19" s="62" t="s">
        <v>3028</v>
      </c>
      <c r="P19" s="62" t="s">
        <v>33</v>
      </c>
      <c r="Q19" s="63" t="s">
        <v>3033</v>
      </c>
      <c r="R19" s="63" t="s">
        <v>3033</v>
      </c>
      <c r="S19" s="63" t="s">
        <v>3033</v>
      </c>
      <c r="T19" s="21"/>
      <c r="U19" s="21"/>
      <c r="V19" s="62" t="s">
        <v>236</v>
      </c>
      <c r="W19" s="62" t="s">
        <v>3082</v>
      </c>
      <c r="X19" s="21"/>
      <c r="Y19" s="21"/>
      <c r="Z19" s="21"/>
      <c r="AA19" s="21"/>
      <c r="AB19" s="21"/>
      <c r="AC19" s="62" t="s">
        <v>238</v>
      </c>
      <c r="AD19" s="62" t="s">
        <v>3075</v>
      </c>
      <c r="AE19" s="62" t="s">
        <v>3076</v>
      </c>
      <c r="AF19" s="62" t="s">
        <v>3130</v>
      </c>
      <c r="AG19" s="62" t="s">
        <v>3078</v>
      </c>
      <c r="AH19" s="62" t="s">
        <v>53</v>
      </c>
    </row>
    <row r="20" ht="21.75" customHeight="1">
      <c r="A20" s="62" t="s">
        <v>3147</v>
      </c>
      <c r="B20" s="62" t="s">
        <v>3028</v>
      </c>
      <c r="C20" s="62" t="s">
        <v>33</v>
      </c>
      <c r="D20" s="62" t="s">
        <v>3148</v>
      </c>
      <c r="E20" s="62" t="s">
        <v>3149</v>
      </c>
      <c r="F20" s="62" t="s">
        <v>244</v>
      </c>
      <c r="G20" s="62" t="s">
        <v>3073</v>
      </c>
      <c r="H20" s="21"/>
      <c r="I20" s="21"/>
      <c r="J20" s="62" t="s">
        <v>107</v>
      </c>
      <c r="K20" s="63" t="b">
        <v>0</v>
      </c>
      <c r="L20" s="21"/>
      <c r="M20" s="62" t="s">
        <v>3028</v>
      </c>
      <c r="N20" s="62" t="s">
        <v>33</v>
      </c>
      <c r="O20" s="62" t="s">
        <v>3028</v>
      </c>
      <c r="P20" s="62" t="s">
        <v>33</v>
      </c>
      <c r="Q20" s="63" t="s">
        <v>3033</v>
      </c>
      <c r="R20" s="63" t="s">
        <v>3033</v>
      </c>
      <c r="S20" s="63" t="s">
        <v>3033</v>
      </c>
      <c r="T20" s="21"/>
      <c r="U20" s="21"/>
      <c r="V20" s="62" t="s">
        <v>243</v>
      </c>
      <c r="W20" s="62" t="s">
        <v>3082</v>
      </c>
      <c r="X20" s="21"/>
      <c r="Y20" s="21"/>
      <c r="Z20" s="21"/>
      <c r="AA20" s="21"/>
      <c r="AB20" s="21"/>
      <c r="AC20" s="62" t="s">
        <v>238</v>
      </c>
      <c r="AD20" s="62" t="s">
        <v>3075</v>
      </c>
      <c r="AE20" s="62" t="s">
        <v>3076</v>
      </c>
      <c r="AF20" s="62" t="s">
        <v>3130</v>
      </c>
      <c r="AG20" s="62" t="s">
        <v>3078</v>
      </c>
      <c r="AH20" s="62" t="s">
        <v>53</v>
      </c>
    </row>
    <row r="21" ht="21.75" customHeight="1">
      <c r="A21" s="62" t="s">
        <v>3150</v>
      </c>
      <c r="B21" s="62" t="s">
        <v>3028</v>
      </c>
      <c r="C21" s="62" t="s">
        <v>33</v>
      </c>
      <c r="D21" s="62" t="s">
        <v>3153</v>
      </c>
      <c r="E21" s="62" t="s">
        <v>3154</v>
      </c>
      <c r="F21" s="62" t="s">
        <v>247</v>
      </c>
      <c r="G21" s="62" t="s">
        <v>3073</v>
      </c>
      <c r="H21" s="21"/>
      <c r="I21" s="21"/>
      <c r="J21" s="62" t="s">
        <v>107</v>
      </c>
      <c r="K21" s="63" t="b">
        <v>0</v>
      </c>
      <c r="L21" s="21"/>
      <c r="M21" s="62" t="s">
        <v>3028</v>
      </c>
      <c r="N21" s="62" t="s">
        <v>33</v>
      </c>
      <c r="O21" s="62" t="s">
        <v>3028</v>
      </c>
      <c r="P21" s="62" t="s">
        <v>33</v>
      </c>
      <c r="Q21" s="63" t="s">
        <v>3033</v>
      </c>
      <c r="R21" s="63" t="s">
        <v>3033</v>
      </c>
      <c r="S21" s="63" t="s">
        <v>3033</v>
      </c>
      <c r="T21" s="21"/>
      <c r="U21" s="21"/>
      <c r="V21" s="62" t="s">
        <v>246</v>
      </c>
      <c r="W21" s="62" t="s">
        <v>3082</v>
      </c>
      <c r="X21" s="21"/>
      <c r="Y21" s="21"/>
      <c r="Z21" s="21"/>
      <c r="AA21" s="21"/>
      <c r="AB21" s="21"/>
      <c r="AC21" s="62" t="s">
        <v>248</v>
      </c>
      <c r="AD21" s="62" t="s">
        <v>3075</v>
      </c>
      <c r="AE21" s="62" t="s">
        <v>3076</v>
      </c>
      <c r="AF21" s="62" t="s">
        <v>3130</v>
      </c>
      <c r="AG21" s="62" t="s">
        <v>3078</v>
      </c>
      <c r="AH21" s="62" t="s">
        <v>53</v>
      </c>
    </row>
    <row r="22" ht="21.75" customHeight="1">
      <c r="A22" s="62" t="s">
        <v>3156</v>
      </c>
      <c r="B22" s="62" t="s">
        <v>3028</v>
      </c>
      <c r="C22" s="62" t="s">
        <v>33</v>
      </c>
      <c r="D22" s="62" t="s">
        <v>3157</v>
      </c>
      <c r="E22" s="62" t="s">
        <v>3158</v>
      </c>
      <c r="F22" s="62" t="s">
        <v>251</v>
      </c>
      <c r="G22" s="62" t="s">
        <v>3073</v>
      </c>
      <c r="H22" s="21"/>
      <c r="I22" s="21"/>
      <c r="J22" s="62" t="s">
        <v>107</v>
      </c>
      <c r="K22" s="63" t="b">
        <v>0</v>
      </c>
      <c r="L22" s="21"/>
      <c r="M22" s="62" t="s">
        <v>3028</v>
      </c>
      <c r="N22" s="62" t="s">
        <v>33</v>
      </c>
      <c r="O22" s="62" t="s">
        <v>3028</v>
      </c>
      <c r="P22" s="62" t="s">
        <v>33</v>
      </c>
      <c r="Q22" s="63" t="s">
        <v>3033</v>
      </c>
      <c r="R22" s="63" t="s">
        <v>3033</v>
      </c>
      <c r="S22" s="63" t="s">
        <v>3033</v>
      </c>
      <c r="T22" s="21"/>
      <c r="U22" s="21"/>
      <c r="V22" s="62" t="s">
        <v>250</v>
      </c>
      <c r="W22" s="62" t="s">
        <v>3082</v>
      </c>
      <c r="X22" s="21"/>
      <c r="Y22" s="21"/>
      <c r="Z22" s="21"/>
      <c r="AA22" s="21"/>
      <c r="AB22" s="21"/>
      <c r="AC22" s="62" t="s">
        <v>252</v>
      </c>
      <c r="AD22" s="62" t="s">
        <v>3075</v>
      </c>
      <c r="AE22" s="62" t="s">
        <v>3076</v>
      </c>
      <c r="AF22" s="62" t="s">
        <v>3130</v>
      </c>
      <c r="AG22" s="62" t="s">
        <v>3078</v>
      </c>
      <c r="AH22" s="62" t="s">
        <v>53</v>
      </c>
    </row>
    <row r="23" ht="21.75" customHeight="1">
      <c r="A23" s="62" t="s">
        <v>3162</v>
      </c>
      <c r="B23" s="62" t="s">
        <v>3028</v>
      </c>
      <c r="C23" s="62" t="s">
        <v>33</v>
      </c>
      <c r="D23" s="62" t="s">
        <v>3163</v>
      </c>
      <c r="E23" s="62" t="s">
        <v>3164</v>
      </c>
      <c r="F23" s="62" t="s">
        <v>3165</v>
      </c>
      <c r="G23" s="62" t="s">
        <v>3073</v>
      </c>
      <c r="H23" s="21"/>
      <c r="I23" s="21"/>
      <c r="J23" s="62" t="s">
        <v>107</v>
      </c>
      <c r="K23" s="63" t="b">
        <v>0</v>
      </c>
      <c r="L23" s="21"/>
      <c r="M23" s="62" t="s">
        <v>3028</v>
      </c>
      <c r="N23" s="62" t="s">
        <v>33</v>
      </c>
      <c r="O23" s="62" t="s">
        <v>3028</v>
      </c>
      <c r="P23" s="62" t="s">
        <v>33</v>
      </c>
      <c r="Q23" s="63" t="s">
        <v>3033</v>
      </c>
      <c r="R23" s="63" t="s">
        <v>3033</v>
      </c>
      <c r="S23" s="63" t="s">
        <v>3033</v>
      </c>
      <c r="T23" s="21"/>
      <c r="U23" s="21"/>
      <c r="V23" s="62" t="s">
        <v>3166</v>
      </c>
      <c r="W23" s="62" t="s">
        <v>3082</v>
      </c>
      <c r="X23" s="21"/>
      <c r="Y23" s="21"/>
      <c r="Z23" s="21"/>
      <c r="AA23" s="21"/>
      <c r="AB23" s="21"/>
      <c r="AC23" s="62" t="s">
        <v>3167</v>
      </c>
      <c r="AD23" s="62" t="s">
        <v>3075</v>
      </c>
      <c r="AE23" s="62" t="s">
        <v>3076</v>
      </c>
      <c r="AF23" s="62" t="s">
        <v>3130</v>
      </c>
      <c r="AG23" s="62" t="s">
        <v>3078</v>
      </c>
      <c r="AH23" s="62" t="s">
        <v>53</v>
      </c>
    </row>
    <row r="24" ht="21.75" customHeight="1">
      <c r="A24" s="62" t="s">
        <v>3168</v>
      </c>
      <c r="B24" s="62" t="s">
        <v>3028</v>
      </c>
      <c r="C24" s="62" t="s">
        <v>33</v>
      </c>
      <c r="D24" s="62" t="s">
        <v>3169</v>
      </c>
      <c r="E24" s="62" t="s">
        <v>3170</v>
      </c>
      <c r="F24" s="62" t="s">
        <v>258</v>
      </c>
      <c r="G24" s="62" t="s">
        <v>3073</v>
      </c>
      <c r="H24" s="21"/>
      <c r="I24" s="21"/>
      <c r="J24" s="62" t="s">
        <v>107</v>
      </c>
      <c r="K24" s="63" t="b">
        <v>0</v>
      </c>
      <c r="L24" s="21"/>
      <c r="M24" s="62" t="s">
        <v>3028</v>
      </c>
      <c r="N24" s="62" t="s">
        <v>33</v>
      </c>
      <c r="O24" s="62" t="s">
        <v>3028</v>
      </c>
      <c r="P24" s="62" t="s">
        <v>33</v>
      </c>
      <c r="Q24" s="63" t="s">
        <v>3033</v>
      </c>
      <c r="R24" s="63" t="s">
        <v>3033</v>
      </c>
      <c r="S24" s="63" t="s">
        <v>3033</v>
      </c>
      <c r="T24" s="21"/>
      <c r="U24" s="21"/>
      <c r="V24" s="62" t="s">
        <v>257</v>
      </c>
      <c r="W24" s="62" t="s">
        <v>3082</v>
      </c>
      <c r="X24" s="21"/>
      <c r="Y24" s="21"/>
      <c r="Z24" s="21"/>
      <c r="AA24" s="21"/>
      <c r="AB24" s="21"/>
      <c r="AC24" s="62" t="s">
        <v>259</v>
      </c>
      <c r="AD24" s="62" t="s">
        <v>3075</v>
      </c>
      <c r="AE24" s="62" t="s">
        <v>3076</v>
      </c>
      <c r="AF24" s="62" t="s">
        <v>3130</v>
      </c>
      <c r="AG24" s="62" t="s">
        <v>3078</v>
      </c>
      <c r="AH24" s="62" t="s">
        <v>53</v>
      </c>
    </row>
    <row r="25" ht="21.75" customHeight="1">
      <c r="A25" s="62" t="s">
        <v>3174</v>
      </c>
      <c r="B25" s="62" t="s">
        <v>3028</v>
      </c>
      <c r="C25" s="62" t="s">
        <v>33</v>
      </c>
      <c r="D25" s="62" t="s">
        <v>3175</v>
      </c>
      <c r="E25" s="62" t="s">
        <v>3176</v>
      </c>
      <c r="F25" s="62" t="s">
        <v>263</v>
      </c>
      <c r="G25" s="62" t="s">
        <v>3073</v>
      </c>
      <c r="H25" s="21"/>
      <c r="I25" s="21"/>
      <c r="J25" s="62" t="s">
        <v>107</v>
      </c>
      <c r="K25" s="63" t="b">
        <v>0</v>
      </c>
      <c r="L25" s="21"/>
      <c r="M25" s="62" t="s">
        <v>3028</v>
      </c>
      <c r="N25" s="62" t="s">
        <v>33</v>
      </c>
      <c r="O25" s="62" t="s">
        <v>3028</v>
      </c>
      <c r="P25" s="62" t="s">
        <v>33</v>
      </c>
      <c r="Q25" s="63" t="s">
        <v>3033</v>
      </c>
      <c r="R25" s="63" t="s">
        <v>3033</v>
      </c>
      <c r="S25" s="63" t="s">
        <v>3033</v>
      </c>
      <c r="T25" s="21"/>
      <c r="U25" s="21"/>
      <c r="V25" s="62" t="s">
        <v>262</v>
      </c>
      <c r="W25" s="62" t="s">
        <v>3082</v>
      </c>
      <c r="X25" s="21"/>
      <c r="Y25" s="21"/>
      <c r="Z25" s="21"/>
      <c r="AA25" s="21"/>
      <c r="AB25" s="21"/>
      <c r="AC25" s="62" t="s">
        <v>265</v>
      </c>
      <c r="AD25" s="62" t="s">
        <v>3075</v>
      </c>
      <c r="AE25" s="62" t="s">
        <v>3076</v>
      </c>
      <c r="AF25" s="62" t="s">
        <v>3130</v>
      </c>
      <c r="AG25" s="62" t="s">
        <v>3078</v>
      </c>
      <c r="AH25" s="62" t="s">
        <v>53</v>
      </c>
    </row>
    <row r="26" ht="21.75" customHeight="1">
      <c r="A26" s="62" t="s">
        <v>3180</v>
      </c>
      <c r="B26" s="62" t="s">
        <v>3028</v>
      </c>
      <c r="C26" s="62" t="s">
        <v>33</v>
      </c>
      <c r="D26" s="62" t="s">
        <v>3181</v>
      </c>
      <c r="E26" s="62" t="s">
        <v>3182</v>
      </c>
      <c r="F26" s="62" t="s">
        <v>270</v>
      </c>
      <c r="G26" s="62" t="s">
        <v>3073</v>
      </c>
      <c r="H26" s="21"/>
      <c r="I26" s="21"/>
      <c r="J26" s="62" t="s">
        <v>107</v>
      </c>
      <c r="K26" s="63" t="b">
        <v>0</v>
      </c>
      <c r="L26" s="21"/>
      <c r="M26" s="62" t="s">
        <v>3028</v>
      </c>
      <c r="N26" s="62" t="s">
        <v>33</v>
      </c>
      <c r="O26" s="62" t="s">
        <v>3028</v>
      </c>
      <c r="P26" s="62" t="s">
        <v>33</v>
      </c>
      <c r="Q26" s="63" t="s">
        <v>3033</v>
      </c>
      <c r="R26" s="63" t="s">
        <v>3033</v>
      </c>
      <c r="S26" s="63" t="s">
        <v>3033</v>
      </c>
      <c r="T26" s="21"/>
      <c r="U26" s="21"/>
      <c r="V26" s="62" t="s">
        <v>269</v>
      </c>
      <c r="W26" s="62" t="s">
        <v>3082</v>
      </c>
      <c r="X26" s="21"/>
      <c r="Y26" s="21"/>
      <c r="Z26" s="21"/>
      <c r="AA26" s="21"/>
      <c r="AB26" s="21"/>
      <c r="AC26" s="62" t="s">
        <v>271</v>
      </c>
      <c r="AD26" s="62" t="s">
        <v>3075</v>
      </c>
      <c r="AE26" s="62" t="s">
        <v>3076</v>
      </c>
      <c r="AF26" s="62" t="s">
        <v>3130</v>
      </c>
      <c r="AG26" s="62" t="s">
        <v>3078</v>
      </c>
      <c r="AH26" s="62" t="s">
        <v>53</v>
      </c>
    </row>
    <row r="27" ht="21.75" customHeight="1">
      <c r="A27" s="62" t="s">
        <v>3183</v>
      </c>
      <c r="B27" s="62" t="s">
        <v>3028</v>
      </c>
      <c r="C27" s="62" t="s">
        <v>33</v>
      </c>
      <c r="D27" s="62" t="s">
        <v>3186</v>
      </c>
      <c r="E27" s="62" t="s">
        <v>3187</v>
      </c>
      <c r="F27" s="62" t="s">
        <v>277</v>
      </c>
      <c r="G27" s="62" t="s">
        <v>3189</v>
      </c>
      <c r="H27" s="21"/>
      <c r="I27" s="21"/>
      <c r="J27" s="21"/>
      <c r="K27" s="63" t="b">
        <v>0</v>
      </c>
      <c r="L27" s="21"/>
      <c r="M27" s="62" t="s">
        <v>3028</v>
      </c>
      <c r="N27" s="62" t="s">
        <v>33</v>
      </c>
      <c r="O27" s="62" t="s">
        <v>3028</v>
      </c>
      <c r="P27" s="62" t="s">
        <v>33</v>
      </c>
      <c r="Q27" s="63" t="s">
        <v>3033</v>
      </c>
      <c r="R27" s="63" t="s">
        <v>3033</v>
      </c>
      <c r="S27" s="63" t="s">
        <v>3033</v>
      </c>
      <c r="T27" s="21"/>
      <c r="U27" s="21"/>
      <c r="V27" s="62" t="s">
        <v>276</v>
      </c>
      <c r="W27" s="62" t="s">
        <v>3082</v>
      </c>
      <c r="X27" s="21"/>
      <c r="Y27" s="21"/>
      <c r="Z27" s="21"/>
      <c r="AA27" s="21"/>
      <c r="AB27" s="21"/>
      <c r="AC27" s="21"/>
      <c r="AD27" s="62" t="s">
        <v>3037</v>
      </c>
      <c r="AE27" s="62" t="s">
        <v>3190</v>
      </c>
      <c r="AF27" s="62" t="s">
        <v>3191</v>
      </c>
      <c r="AG27" s="62" t="s">
        <v>3040</v>
      </c>
      <c r="AH27" s="62" t="s">
        <v>53</v>
      </c>
    </row>
    <row r="28" ht="21.75" customHeight="1">
      <c r="A28" s="62" t="s">
        <v>3192</v>
      </c>
      <c r="B28" s="62" t="s">
        <v>3028</v>
      </c>
      <c r="C28" s="62" t="s">
        <v>33</v>
      </c>
      <c r="D28" s="62" t="s">
        <v>3193</v>
      </c>
      <c r="E28" s="62" t="s">
        <v>3194</v>
      </c>
      <c r="F28" s="62" t="s">
        <v>282</v>
      </c>
      <c r="G28" s="62" t="s">
        <v>3196</v>
      </c>
      <c r="H28" s="62" t="s">
        <v>284</v>
      </c>
      <c r="I28" s="21"/>
      <c r="J28" s="21"/>
      <c r="K28" s="63" t="b">
        <v>0</v>
      </c>
      <c r="L28" s="21"/>
      <c r="M28" s="62" t="s">
        <v>3028</v>
      </c>
      <c r="N28" s="62" t="s">
        <v>33</v>
      </c>
      <c r="O28" s="62" t="s">
        <v>3028</v>
      </c>
      <c r="P28" s="62" t="s">
        <v>33</v>
      </c>
      <c r="Q28" s="63" t="s">
        <v>3033</v>
      </c>
      <c r="R28" s="63" t="s">
        <v>3033</v>
      </c>
      <c r="S28" s="63" t="s">
        <v>3033</v>
      </c>
      <c r="T28" s="21"/>
      <c r="U28" s="21"/>
      <c r="V28" s="62" t="s">
        <v>281</v>
      </c>
      <c r="W28" s="62" t="s">
        <v>3036</v>
      </c>
      <c r="X28" s="21"/>
      <c r="Y28" s="21"/>
      <c r="Z28" s="21"/>
      <c r="AA28" s="21"/>
      <c r="AB28" s="21"/>
      <c r="AC28" s="62" t="s">
        <v>283</v>
      </c>
      <c r="AD28" s="62" t="s">
        <v>3208</v>
      </c>
      <c r="AE28" s="62" t="s">
        <v>3209</v>
      </c>
      <c r="AF28" s="62" t="s">
        <v>3210</v>
      </c>
      <c r="AG28" s="62" t="s">
        <v>3211</v>
      </c>
      <c r="AH28" s="62" t="s">
        <v>53</v>
      </c>
      <c r="AI28" s="63" t="s">
        <v>3033</v>
      </c>
    </row>
    <row r="29" ht="21.75" customHeight="1">
      <c r="A29" s="62" t="s">
        <v>3212</v>
      </c>
      <c r="B29" s="62" t="s">
        <v>3028</v>
      </c>
      <c r="C29" s="62" t="s">
        <v>33</v>
      </c>
      <c r="D29" s="62" t="s">
        <v>3213</v>
      </c>
      <c r="E29" s="62" t="s">
        <v>3214</v>
      </c>
      <c r="F29" s="62" t="s">
        <v>290</v>
      </c>
      <c r="G29" s="62" t="s">
        <v>3196</v>
      </c>
      <c r="H29" s="62" t="s">
        <v>284</v>
      </c>
      <c r="I29" s="21"/>
      <c r="J29" s="21"/>
      <c r="K29" s="63" t="b">
        <v>0</v>
      </c>
      <c r="L29" s="21"/>
      <c r="M29" s="62" t="s">
        <v>3028</v>
      </c>
      <c r="N29" s="62" t="s">
        <v>33</v>
      </c>
      <c r="O29" s="62" t="s">
        <v>3028</v>
      </c>
      <c r="P29" s="62" t="s">
        <v>33</v>
      </c>
      <c r="Q29" s="63" t="s">
        <v>3033</v>
      </c>
      <c r="R29" s="63" t="s">
        <v>3033</v>
      </c>
      <c r="S29" s="63" t="s">
        <v>3033</v>
      </c>
      <c r="T29" s="21"/>
      <c r="U29" s="21"/>
      <c r="V29" s="62" t="s">
        <v>289</v>
      </c>
      <c r="W29" s="62" t="s">
        <v>3036</v>
      </c>
      <c r="X29" s="21"/>
      <c r="Y29" s="21"/>
      <c r="Z29" s="21"/>
      <c r="AA29" s="21"/>
      <c r="AB29" s="21"/>
      <c r="AC29" s="62" t="s">
        <v>291</v>
      </c>
      <c r="AD29" s="62" t="s">
        <v>3208</v>
      </c>
      <c r="AE29" s="62" t="s">
        <v>3209</v>
      </c>
      <c r="AF29" s="62" t="s">
        <v>3210</v>
      </c>
      <c r="AG29" s="62" t="s">
        <v>3211</v>
      </c>
      <c r="AH29" s="62" t="s">
        <v>53</v>
      </c>
      <c r="AI29" s="63" t="s">
        <v>3033</v>
      </c>
    </row>
    <row r="30" ht="21.75" customHeight="1">
      <c r="A30" s="62" t="s">
        <v>3218</v>
      </c>
      <c r="B30" s="62" t="s">
        <v>3028</v>
      </c>
      <c r="C30" s="62" t="s">
        <v>33</v>
      </c>
      <c r="D30" s="62" t="s">
        <v>3219</v>
      </c>
      <c r="E30" s="62" t="s">
        <v>3220</v>
      </c>
      <c r="F30" s="62" t="s">
        <v>297</v>
      </c>
      <c r="G30" s="62" t="s">
        <v>3196</v>
      </c>
      <c r="H30" s="62" t="s">
        <v>284</v>
      </c>
      <c r="I30" s="21"/>
      <c r="J30" s="21"/>
      <c r="K30" s="63" t="b">
        <v>0</v>
      </c>
      <c r="L30" s="21"/>
      <c r="M30" s="62" t="s">
        <v>3028</v>
      </c>
      <c r="N30" s="62" t="s">
        <v>33</v>
      </c>
      <c r="O30" s="62" t="s">
        <v>3028</v>
      </c>
      <c r="P30" s="62" t="s">
        <v>33</v>
      </c>
      <c r="Q30" s="63" t="s">
        <v>3033</v>
      </c>
      <c r="R30" s="63" t="s">
        <v>3033</v>
      </c>
      <c r="S30" s="63" t="s">
        <v>3033</v>
      </c>
      <c r="T30" s="21"/>
      <c r="U30" s="21"/>
      <c r="V30" s="62" t="s">
        <v>296</v>
      </c>
      <c r="W30" s="62" t="s">
        <v>3036</v>
      </c>
      <c r="X30" s="21"/>
      <c r="Y30" s="21"/>
      <c r="Z30" s="21"/>
      <c r="AA30" s="21"/>
      <c r="AB30" s="21"/>
      <c r="AC30" s="62" t="s">
        <v>298</v>
      </c>
      <c r="AD30" s="62" t="s">
        <v>3208</v>
      </c>
      <c r="AE30" s="62" t="s">
        <v>3209</v>
      </c>
      <c r="AF30" s="62" t="s">
        <v>3210</v>
      </c>
      <c r="AG30" s="62" t="s">
        <v>3211</v>
      </c>
      <c r="AH30" s="62" t="s">
        <v>53</v>
      </c>
      <c r="AI30" s="63" t="s">
        <v>3033</v>
      </c>
    </row>
    <row r="31" ht="21.75" customHeight="1">
      <c r="A31" s="62" t="s">
        <v>3221</v>
      </c>
      <c r="B31" s="62" t="s">
        <v>3028</v>
      </c>
      <c r="C31" s="62" t="s">
        <v>33</v>
      </c>
      <c r="D31" s="62" t="s">
        <v>3222</v>
      </c>
      <c r="E31" s="62" t="s">
        <v>3223</v>
      </c>
      <c r="F31" s="62" t="s">
        <v>3224</v>
      </c>
      <c r="G31" s="62" t="s">
        <v>3226</v>
      </c>
      <c r="H31" s="62" t="s">
        <v>664</v>
      </c>
      <c r="I31" s="64">
        <v>9.81E9</v>
      </c>
      <c r="J31" s="21"/>
      <c r="K31" s="63" t="b">
        <v>0</v>
      </c>
      <c r="L31" s="21"/>
      <c r="M31" s="62" t="s">
        <v>3028</v>
      </c>
      <c r="N31" s="62" t="s">
        <v>33</v>
      </c>
      <c r="O31" s="62" t="s">
        <v>3028</v>
      </c>
      <c r="P31" s="62" t="s">
        <v>33</v>
      </c>
      <c r="Q31" s="63" t="s">
        <v>3033</v>
      </c>
      <c r="R31" s="63" t="s">
        <v>3033</v>
      </c>
      <c r="S31" s="63" t="s">
        <v>3033</v>
      </c>
      <c r="T31" s="21"/>
      <c r="U31" s="21"/>
      <c r="V31" s="62" t="s">
        <v>3228</v>
      </c>
      <c r="W31" s="62" t="s">
        <v>3036</v>
      </c>
      <c r="X31" s="21"/>
      <c r="Y31" s="21"/>
      <c r="Z31" s="21"/>
      <c r="AA31" s="21"/>
      <c r="AB31" s="21"/>
      <c r="AC31" s="21"/>
      <c r="AD31" s="62" t="s">
        <v>3037</v>
      </c>
      <c r="AE31" s="62" t="s">
        <v>3229</v>
      </c>
      <c r="AF31" s="62" t="s">
        <v>3230</v>
      </c>
      <c r="AG31" s="62" t="s">
        <v>3231</v>
      </c>
      <c r="AH31" s="62" t="s">
        <v>53</v>
      </c>
    </row>
    <row r="32" ht="21.75" customHeight="1">
      <c r="A32" s="62" t="s">
        <v>3232</v>
      </c>
      <c r="B32" s="62" t="s">
        <v>3028</v>
      </c>
      <c r="C32" s="62" t="s">
        <v>33</v>
      </c>
      <c r="D32" s="62" t="s">
        <v>3233</v>
      </c>
      <c r="E32" s="62" t="s">
        <v>3234</v>
      </c>
      <c r="F32" s="62" t="s">
        <v>108</v>
      </c>
      <c r="G32" s="62" t="s">
        <v>3235</v>
      </c>
      <c r="H32" s="62" t="s">
        <v>110</v>
      </c>
      <c r="J32" s="62" t="s">
        <v>107</v>
      </c>
      <c r="K32" s="63" t="b">
        <v>0</v>
      </c>
      <c r="L32" s="21"/>
      <c r="M32" s="62" t="s">
        <v>3028</v>
      </c>
      <c r="N32" s="62" t="s">
        <v>33</v>
      </c>
      <c r="O32" s="62" t="s">
        <v>3028</v>
      </c>
      <c r="P32" s="62" t="s">
        <v>33</v>
      </c>
      <c r="Q32" s="63" t="s">
        <v>3033</v>
      </c>
      <c r="R32" s="63" t="s">
        <v>3033</v>
      </c>
      <c r="S32" s="63" t="s">
        <v>3033</v>
      </c>
      <c r="T32" s="21"/>
      <c r="U32" s="21"/>
      <c r="V32" s="62" t="s">
        <v>106</v>
      </c>
      <c r="W32" s="62" t="s">
        <v>3082</v>
      </c>
      <c r="X32" s="21"/>
      <c r="Y32" s="21"/>
      <c r="Z32" s="21"/>
      <c r="AA32" s="21"/>
      <c r="AB32" s="21"/>
      <c r="AC32" s="62" t="s">
        <v>109</v>
      </c>
      <c r="AD32" s="62" t="s">
        <v>3037</v>
      </c>
      <c r="AE32" s="62" t="s">
        <v>3237</v>
      </c>
      <c r="AF32" s="62" t="s">
        <v>3238</v>
      </c>
      <c r="AG32" s="62" t="s">
        <v>3239</v>
      </c>
      <c r="AH32" s="62" t="s">
        <v>53</v>
      </c>
      <c r="AI32" s="63" t="s">
        <v>3033</v>
      </c>
    </row>
    <row r="33" ht="21.75" customHeight="1">
      <c r="A33" s="62" t="s">
        <v>3240</v>
      </c>
      <c r="B33" s="62" t="s">
        <v>3028</v>
      </c>
      <c r="C33" s="62" t="s">
        <v>33</v>
      </c>
      <c r="D33" s="62" t="s">
        <v>3241</v>
      </c>
      <c r="E33" s="62" t="s">
        <v>3242</v>
      </c>
      <c r="F33" s="62" t="s">
        <v>302</v>
      </c>
      <c r="G33" s="62" t="s">
        <v>3235</v>
      </c>
      <c r="H33" s="62" t="s">
        <v>110</v>
      </c>
      <c r="J33" s="62" t="s">
        <v>301</v>
      </c>
      <c r="K33" s="63" t="b">
        <v>0</v>
      </c>
      <c r="L33" s="21"/>
      <c r="M33" s="62" t="s">
        <v>3028</v>
      </c>
      <c r="N33" s="62" t="s">
        <v>33</v>
      </c>
      <c r="O33" s="62" t="s">
        <v>3028</v>
      </c>
      <c r="P33" s="62" t="s">
        <v>33</v>
      </c>
      <c r="Q33" s="63" t="s">
        <v>3033</v>
      </c>
      <c r="R33" s="63" t="s">
        <v>3033</v>
      </c>
      <c r="S33" s="63" t="s">
        <v>3033</v>
      </c>
      <c r="T33" s="21"/>
      <c r="U33" s="21"/>
      <c r="V33" s="62" t="s">
        <v>300</v>
      </c>
      <c r="W33" s="62" t="s">
        <v>3082</v>
      </c>
      <c r="X33" s="21"/>
      <c r="Y33" s="21"/>
      <c r="Z33" s="21"/>
      <c r="AA33" s="21"/>
      <c r="AB33" s="21"/>
      <c r="AC33" s="62" t="s">
        <v>303</v>
      </c>
      <c r="AD33" s="62" t="s">
        <v>3037</v>
      </c>
      <c r="AE33" s="62" t="s">
        <v>3237</v>
      </c>
      <c r="AF33" s="62" t="s">
        <v>3238</v>
      </c>
      <c r="AG33" s="62" t="s">
        <v>3239</v>
      </c>
      <c r="AH33" s="62" t="s">
        <v>53</v>
      </c>
      <c r="AI33" s="63" t="s">
        <v>3033</v>
      </c>
    </row>
    <row r="34" ht="21.75" customHeight="1">
      <c r="A34" s="62" t="s">
        <v>3246</v>
      </c>
      <c r="B34" s="62" t="s">
        <v>3028</v>
      </c>
      <c r="C34" s="62" t="s">
        <v>33</v>
      </c>
      <c r="D34" s="62" t="s">
        <v>3247</v>
      </c>
      <c r="E34" s="62" t="s">
        <v>3248</v>
      </c>
      <c r="F34" s="62" t="s">
        <v>310</v>
      </c>
      <c r="G34" s="62" t="s">
        <v>3235</v>
      </c>
      <c r="H34" s="62" t="s">
        <v>110</v>
      </c>
      <c r="J34" s="62" t="s">
        <v>107</v>
      </c>
      <c r="K34" s="63" t="b">
        <v>0</v>
      </c>
      <c r="L34" s="21"/>
      <c r="M34" s="62" t="s">
        <v>3028</v>
      </c>
      <c r="N34" s="62" t="s">
        <v>33</v>
      </c>
      <c r="O34" s="62" t="s">
        <v>3028</v>
      </c>
      <c r="P34" s="62" t="s">
        <v>33</v>
      </c>
      <c r="Q34" s="63" t="s">
        <v>3033</v>
      </c>
      <c r="R34" s="63" t="s">
        <v>3033</v>
      </c>
      <c r="S34" s="63" t="s">
        <v>3033</v>
      </c>
      <c r="T34" s="21"/>
      <c r="U34" s="21"/>
      <c r="V34" s="62" t="s">
        <v>309</v>
      </c>
      <c r="W34" s="62" t="s">
        <v>3082</v>
      </c>
      <c r="X34" s="21"/>
      <c r="Y34" s="21"/>
      <c r="Z34" s="21"/>
      <c r="AA34" s="21"/>
      <c r="AB34" s="21"/>
      <c r="AC34" s="62" t="s">
        <v>311</v>
      </c>
      <c r="AD34" s="62" t="s">
        <v>3037</v>
      </c>
      <c r="AE34" s="62" t="s">
        <v>3237</v>
      </c>
      <c r="AF34" s="62" t="s">
        <v>3238</v>
      </c>
      <c r="AG34" s="62" t="s">
        <v>3239</v>
      </c>
      <c r="AH34" s="62" t="s">
        <v>53</v>
      </c>
      <c r="AI34" s="63" t="s">
        <v>3033</v>
      </c>
    </row>
    <row r="35" ht="21.75" customHeight="1">
      <c r="A35" s="62" t="s">
        <v>3252</v>
      </c>
      <c r="B35" s="62" t="s">
        <v>3028</v>
      </c>
      <c r="C35" s="62" t="s">
        <v>33</v>
      </c>
      <c r="D35" s="62" t="s">
        <v>3253</v>
      </c>
      <c r="E35" s="62" t="s">
        <v>3254</v>
      </c>
      <c r="F35" s="62" t="s">
        <v>318</v>
      </c>
      <c r="G35" s="62" t="s">
        <v>3235</v>
      </c>
      <c r="H35" s="62" t="s">
        <v>110</v>
      </c>
      <c r="J35" s="62" t="s">
        <v>317</v>
      </c>
      <c r="K35" s="63" t="b">
        <v>0</v>
      </c>
      <c r="L35" s="21"/>
      <c r="M35" s="62" t="s">
        <v>3028</v>
      </c>
      <c r="N35" s="62" t="s">
        <v>33</v>
      </c>
      <c r="O35" s="62" t="s">
        <v>3028</v>
      </c>
      <c r="P35" s="62" t="s">
        <v>33</v>
      </c>
      <c r="Q35" s="63" t="s">
        <v>3033</v>
      </c>
      <c r="R35" s="63" t="s">
        <v>3033</v>
      </c>
      <c r="S35" s="63" t="s">
        <v>3033</v>
      </c>
      <c r="T35" s="21"/>
      <c r="U35" s="21"/>
      <c r="V35" s="62" t="s">
        <v>316</v>
      </c>
      <c r="W35" s="62" t="s">
        <v>3082</v>
      </c>
      <c r="X35" s="21"/>
      <c r="Y35" s="21"/>
      <c r="Z35" s="21"/>
      <c r="AA35" s="21"/>
      <c r="AB35" s="21"/>
      <c r="AC35" s="62" t="s">
        <v>319</v>
      </c>
      <c r="AD35" s="62" t="s">
        <v>3037</v>
      </c>
      <c r="AE35" s="62" t="s">
        <v>3237</v>
      </c>
      <c r="AF35" s="62" t="s">
        <v>3238</v>
      </c>
      <c r="AG35" s="62" t="s">
        <v>3239</v>
      </c>
      <c r="AH35" s="62" t="s">
        <v>53</v>
      </c>
      <c r="AI35" s="63" t="s">
        <v>3033</v>
      </c>
    </row>
    <row r="36" ht="21.75" customHeight="1">
      <c r="A36" s="62" t="s">
        <v>3255</v>
      </c>
      <c r="B36" s="62" t="s">
        <v>3028</v>
      </c>
      <c r="C36" s="62" t="s">
        <v>33</v>
      </c>
      <c r="D36" s="62" t="s">
        <v>3256</v>
      </c>
      <c r="E36" s="62" t="s">
        <v>3257</v>
      </c>
      <c r="F36" s="62" t="s">
        <v>323</v>
      </c>
      <c r="G36" s="62" t="s">
        <v>3235</v>
      </c>
      <c r="H36" s="62" t="s">
        <v>110</v>
      </c>
      <c r="J36" s="62" t="s">
        <v>322</v>
      </c>
      <c r="K36" s="63" t="b">
        <v>0</v>
      </c>
      <c r="L36" s="21"/>
      <c r="M36" s="62" t="s">
        <v>3028</v>
      </c>
      <c r="N36" s="62" t="s">
        <v>33</v>
      </c>
      <c r="O36" s="62" t="s">
        <v>3028</v>
      </c>
      <c r="P36" s="62" t="s">
        <v>33</v>
      </c>
      <c r="Q36" s="63" t="s">
        <v>3033</v>
      </c>
      <c r="R36" s="63" t="s">
        <v>3033</v>
      </c>
      <c r="S36" s="63" t="s">
        <v>3033</v>
      </c>
      <c r="T36" s="21"/>
      <c r="U36" s="21"/>
      <c r="V36" s="62" t="s">
        <v>321</v>
      </c>
      <c r="W36" s="62" t="s">
        <v>3082</v>
      </c>
      <c r="X36" s="21"/>
      <c r="Y36" s="21"/>
      <c r="Z36" s="21"/>
      <c r="AA36" s="21"/>
      <c r="AB36" s="21"/>
      <c r="AC36" s="62" t="s">
        <v>324</v>
      </c>
      <c r="AD36" s="62" t="s">
        <v>3037</v>
      </c>
      <c r="AE36" s="62" t="s">
        <v>3237</v>
      </c>
      <c r="AF36" s="62" t="s">
        <v>3238</v>
      </c>
      <c r="AG36" s="62" t="s">
        <v>3239</v>
      </c>
      <c r="AH36" s="62" t="s">
        <v>53</v>
      </c>
      <c r="AI36" s="63" t="s">
        <v>3033</v>
      </c>
    </row>
    <row r="37" ht="21.75" customHeight="1">
      <c r="A37" s="62" t="s">
        <v>3262</v>
      </c>
      <c r="B37" s="62" t="s">
        <v>3028</v>
      </c>
      <c r="C37" s="62" t="s">
        <v>33</v>
      </c>
      <c r="D37" s="62" t="s">
        <v>3263</v>
      </c>
      <c r="E37" s="62" t="s">
        <v>3264</v>
      </c>
      <c r="F37" s="62" t="s">
        <v>331</v>
      </c>
      <c r="G37" s="62" t="s">
        <v>3235</v>
      </c>
      <c r="H37" s="62" t="s">
        <v>110</v>
      </c>
      <c r="J37" s="62" t="s">
        <v>330</v>
      </c>
      <c r="K37" s="63" t="b">
        <v>0</v>
      </c>
      <c r="L37" s="21"/>
      <c r="M37" s="62" t="s">
        <v>3028</v>
      </c>
      <c r="N37" s="62" t="s">
        <v>33</v>
      </c>
      <c r="O37" s="62" t="s">
        <v>3028</v>
      </c>
      <c r="P37" s="62" t="s">
        <v>33</v>
      </c>
      <c r="Q37" s="63" t="s">
        <v>3033</v>
      </c>
      <c r="R37" s="63" t="s">
        <v>3033</v>
      </c>
      <c r="S37" s="63" t="s">
        <v>3033</v>
      </c>
      <c r="T37" s="21"/>
      <c r="U37" s="21"/>
      <c r="V37" s="62" t="s">
        <v>329</v>
      </c>
      <c r="W37" s="62" t="s">
        <v>3082</v>
      </c>
      <c r="X37" s="21"/>
      <c r="Y37" s="21"/>
      <c r="Z37" s="21"/>
      <c r="AA37" s="21"/>
      <c r="AB37" s="21"/>
      <c r="AC37" s="62" t="s">
        <v>332</v>
      </c>
      <c r="AD37" s="62" t="s">
        <v>3037</v>
      </c>
      <c r="AE37" s="62" t="s">
        <v>3237</v>
      </c>
      <c r="AF37" s="62" t="s">
        <v>3238</v>
      </c>
      <c r="AG37" s="62" t="s">
        <v>3239</v>
      </c>
      <c r="AH37" s="62" t="s">
        <v>53</v>
      </c>
      <c r="AI37" s="63" t="s">
        <v>3033</v>
      </c>
    </row>
    <row r="38" ht="21.75" customHeight="1">
      <c r="A38" s="62" t="s">
        <v>3269</v>
      </c>
      <c r="B38" s="62" t="s">
        <v>3028</v>
      </c>
      <c r="C38" s="62" t="s">
        <v>33</v>
      </c>
      <c r="D38" s="62" t="s">
        <v>3271</v>
      </c>
      <c r="E38" s="62" t="s">
        <v>3272</v>
      </c>
      <c r="F38" s="62" t="s">
        <v>336</v>
      </c>
      <c r="G38" s="62" t="s">
        <v>3235</v>
      </c>
      <c r="H38" s="62" t="s">
        <v>110</v>
      </c>
      <c r="J38" s="62" t="s">
        <v>335</v>
      </c>
      <c r="K38" s="63" t="b">
        <v>0</v>
      </c>
      <c r="L38" s="21"/>
      <c r="M38" s="62" t="s">
        <v>3028</v>
      </c>
      <c r="N38" s="62" t="s">
        <v>33</v>
      </c>
      <c r="O38" s="62" t="s">
        <v>3028</v>
      </c>
      <c r="P38" s="62" t="s">
        <v>33</v>
      </c>
      <c r="Q38" s="63" t="s">
        <v>3033</v>
      </c>
      <c r="R38" s="63" t="s">
        <v>3033</v>
      </c>
      <c r="S38" s="63" t="s">
        <v>3033</v>
      </c>
      <c r="T38" s="21"/>
      <c r="U38" s="21"/>
      <c r="V38" s="62" t="s">
        <v>334</v>
      </c>
      <c r="W38" s="62" t="s">
        <v>3082</v>
      </c>
      <c r="X38" s="21"/>
      <c r="Y38" s="21"/>
      <c r="Z38" s="21"/>
      <c r="AA38" s="21"/>
      <c r="AB38" s="21"/>
      <c r="AC38" s="62" t="s">
        <v>337</v>
      </c>
      <c r="AD38" s="62" t="s">
        <v>3037</v>
      </c>
      <c r="AE38" s="62" t="s">
        <v>3237</v>
      </c>
      <c r="AF38" s="62" t="s">
        <v>3238</v>
      </c>
      <c r="AG38" s="62" t="s">
        <v>3239</v>
      </c>
      <c r="AH38" s="62" t="s">
        <v>53</v>
      </c>
      <c r="AI38" s="63" t="s">
        <v>3033</v>
      </c>
    </row>
    <row r="39" ht="21.75" customHeight="1">
      <c r="A39" s="62" t="s">
        <v>3276</v>
      </c>
      <c r="B39" s="62" t="s">
        <v>3028</v>
      </c>
      <c r="C39" s="62" t="s">
        <v>33</v>
      </c>
      <c r="D39" s="62" t="s">
        <v>3278</v>
      </c>
      <c r="E39" s="62" t="s">
        <v>3279</v>
      </c>
      <c r="F39" s="62" t="s">
        <v>340</v>
      </c>
      <c r="G39" s="62" t="s">
        <v>3235</v>
      </c>
      <c r="H39" s="62" t="s">
        <v>110</v>
      </c>
      <c r="J39" s="62" t="s">
        <v>107</v>
      </c>
      <c r="K39" s="63" t="b">
        <v>0</v>
      </c>
      <c r="L39" s="21"/>
      <c r="M39" s="62" t="s">
        <v>3028</v>
      </c>
      <c r="N39" s="62" t="s">
        <v>33</v>
      </c>
      <c r="O39" s="62" t="s">
        <v>3028</v>
      </c>
      <c r="P39" s="62" t="s">
        <v>33</v>
      </c>
      <c r="Q39" s="63" t="s">
        <v>3033</v>
      </c>
      <c r="R39" s="63" t="s">
        <v>3033</v>
      </c>
      <c r="S39" s="63" t="s">
        <v>3033</v>
      </c>
      <c r="T39" s="21"/>
      <c r="U39" s="21"/>
      <c r="V39" s="62" t="s">
        <v>339</v>
      </c>
      <c r="W39" s="62" t="s">
        <v>3082</v>
      </c>
      <c r="X39" s="21"/>
      <c r="Y39" s="21"/>
      <c r="Z39" s="21"/>
      <c r="AA39" s="21"/>
      <c r="AB39" s="21"/>
      <c r="AC39" s="62" t="s">
        <v>341</v>
      </c>
      <c r="AD39" s="62" t="s">
        <v>3037</v>
      </c>
      <c r="AE39" s="62" t="s">
        <v>3237</v>
      </c>
      <c r="AF39" s="62" t="s">
        <v>3238</v>
      </c>
      <c r="AG39" s="62" t="s">
        <v>3239</v>
      </c>
      <c r="AH39" s="62" t="s">
        <v>53</v>
      </c>
      <c r="AI39" s="63" t="s">
        <v>3033</v>
      </c>
    </row>
    <row r="40" ht="21.75" customHeight="1">
      <c r="A40" s="62" t="s">
        <v>3280</v>
      </c>
      <c r="B40" s="62" t="s">
        <v>3028</v>
      </c>
      <c r="C40" s="62" t="s">
        <v>33</v>
      </c>
      <c r="D40" s="62" t="s">
        <v>3281</v>
      </c>
      <c r="E40" s="62" t="s">
        <v>3282</v>
      </c>
      <c r="F40" s="62" t="s">
        <v>347</v>
      </c>
      <c r="G40" s="62" t="s">
        <v>3235</v>
      </c>
      <c r="H40" s="62" t="s">
        <v>110</v>
      </c>
      <c r="J40" s="62" t="s">
        <v>107</v>
      </c>
      <c r="K40" s="63" t="b">
        <v>0</v>
      </c>
      <c r="L40" s="21"/>
      <c r="M40" s="62" t="s">
        <v>3028</v>
      </c>
      <c r="N40" s="62" t="s">
        <v>33</v>
      </c>
      <c r="O40" s="62" t="s">
        <v>3028</v>
      </c>
      <c r="P40" s="62" t="s">
        <v>33</v>
      </c>
      <c r="Q40" s="63" t="s">
        <v>3033</v>
      </c>
      <c r="R40" s="63" t="s">
        <v>3033</v>
      </c>
      <c r="S40" s="63" t="s">
        <v>3033</v>
      </c>
      <c r="T40" s="21"/>
      <c r="U40" s="21"/>
      <c r="V40" s="62" t="s">
        <v>346</v>
      </c>
      <c r="W40" s="62" t="s">
        <v>3082</v>
      </c>
      <c r="X40" s="21"/>
      <c r="Y40" s="21"/>
      <c r="Z40" s="21"/>
      <c r="AA40" s="21"/>
      <c r="AB40" s="21"/>
      <c r="AC40" s="62" t="s">
        <v>348</v>
      </c>
      <c r="AD40" s="62" t="s">
        <v>3037</v>
      </c>
      <c r="AE40" s="62" t="s">
        <v>3237</v>
      </c>
      <c r="AF40" s="62" t="s">
        <v>3238</v>
      </c>
      <c r="AG40" s="62" t="s">
        <v>3239</v>
      </c>
      <c r="AH40" s="62" t="s">
        <v>53</v>
      </c>
      <c r="AI40" s="63" t="s">
        <v>3033</v>
      </c>
    </row>
    <row r="41" ht="21.75" customHeight="1">
      <c r="A41" s="62" t="s">
        <v>3287</v>
      </c>
      <c r="B41" s="62" t="s">
        <v>3028</v>
      </c>
      <c r="C41" s="62" t="s">
        <v>33</v>
      </c>
      <c r="D41" s="62" t="s">
        <v>3288</v>
      </c>
      <c r="E41" s="62" t="s">
        <v>3289</v>
      </c>
      <c r="F41" s="62" t="s">
        <v>352</v>
      </c>
      <c r="G41" s="62" t="s">
        <v>3235</v>
      </c>
      <c r="H41" s="62" t="s">
        <v>110</v>
      </c>
      <c r="J41" s="62" t="s">
        <v>351</v>
      </c>
      <c r="K41" s="63" t="b">
        <v>0</v>
      </c>
      <c r="L41" s="21"/>
      <c r="M41" s="62" t="s">
        <v>3028</v>
      </c>
      <c r="N41" s="62" t="s">
        <v>33</v>
      </c>
      <c r="O41" s="62" t="s">
        <v>3028</v>
      </c>
      <c r="P41" s="62" t="s">
        <v>33</v>
      </c>
      <c r="Q41" s="63" t="s">
        <v>3033</v>
      </c>
      <c r="R41" s="63" t="s">
        <v>3033</v>
      </c>
      <c r="S41" s="63" t="s">
        <v>3033</v>
      </c>
      <c r="T41" s="21"/>
      <c r="U41" s="21"/>
      <c r="V41" s="62" t="s">
        <v>350</v>
      </c>
      <c r="W41" s="62" t="s">
        <v>3082</v>
      </c>
      <c r="X41" s="21"/>
      <c r="Y41" s="21"/>
      <c r="Z41" s="21"/>
      <c r="AA41" s="21"/>
      <c r="AB41" s="21"/>
      <c r="AC41" s="62" t="s">
        <v>353</v>
      </c>
      <c r="AD41" s="62" t="s">
        <v>3037</v>
      </c>
      <c r="AE41" s="62" t="s">
        <v>3237</v>
      </c>
      <c r="AF41" s="62" t="s">
        <v>3238</v>
      </c>
      <c r="AG41" s="62" t="s">
        <v>3239</v>
      </c>
      <c r="AH41" s="62" t="s">
        <v>53</v>
      </c>
      <c r="AI41" s="63" t="s">
        <v>3033</v>
      </c>
    </row>
    <row r="42" ht="21.75" customHeight="1">
      <c r="A42" s="62" t="s">
        <v>3293</v>
      </c>
      <c r="B42" s="62" t="s">
        <v>3028</v>
      </c>
      <c r="C42" s="62" t="s">
        <v>33</v>
      </c>
      <c r="D42" s="62" t="s">
        <v>3294</v>
      </c>
      <c r="E42" s="62" t="s">
        <v>3295</v>
      </c>
      <c r="F42" s="62" t="s">
        <v>360</v>
      </c>
      <c r="G42" s="62" t="s">
        <v>3235</v>
      </c>
      <c r="H42" s="62" t="s">
        <v>110</v>
      </c>
      <c r="J42" s="62" t="s">
        <v>359</v>
      </c>
      <c r="K42" s="63" t="b">
        <v>0</v>
      </c>
      <c r="L42" s="21"/>
      <c r="M42" s="62" t="s">
        <v>3028</v>
      </c>
      <c r="N42" s="62" t="s">
        <v>33</v>
      </c>
      <c r="O42" s="62" t="s">
        <v>3028</v>
      </c>
      <c r="P42" s="62" t="s">
        <v>33</v>
      </c>
      <c r="Q42" s="63" t="s">
        <v>3033</v>
      </c>
      <c r="R42" s="63" t="s">
        <v>3033</v>
      </c>
      <c r="S42" s="63" t="s">
        <v>3033</v>
      </c>
      <c r="T42" s="21"/>
      <c r="U42" s="21"/>
      <c r="V42" s="62" t="s">
        <v>358</v>
      </c>
      <c r="W42" s="62" t="s">
        <v>3082</v>
      </c>
      <c r="X42" s="21"/>
      <c r="Y42" s="21"/>
      <c r="Z42" s="21"/>
      <c r="AA42" s="21"/>
      <c r="AB42" s="21"/>
      <c r="AC42" s="62" t="s">
        <v>361</v>
      </c>
      <c r="AD42" s="62" t="s">
        <v>3037</v>
      </c>
      <c r="AE42" s="62" t="s">
        <v>3237</v>
      </c>
      <c r="AF42" s="62" t="s">
        <v>3238</v>
      </c>
      <c r="AG42" s="62" t="s">
        <v>3239</v>
      </c>
      <c r="AH42" s="62" t="s">
        <v>53</v>
      </c>
      <c r="AI42" s="63" t="s">
        <v>3033</v>
      </c>
    </row>
    <row r="43" ht="21.75" customHeight="1">
      <c r="A43" s="62" t="s">
        <v>3297</v>
      </c>
      <c r="B43" s="62" t="s">
        <v>3028</v>
      </c>
      <c r="C43" s="62" t="s">
        <v>33</v>
      </c>
      <c r="D43" s="62" t="s">
        <v>3298</v>
      </c>
      <c r="E43" s="62" t="s">
        <v>3299</v>
      </c>
      <c r="F43" s="62" t="s">
        <v>368</v>
      </c>
      <c r="G43" s="62" t="s">
        <v>3235</v>
      </c>
      <c r="H43" s="62" t="s">
        <v>110</v>
      </c>
      <c r="J43" s="62" t="s">
        <v>367</v>
      </c>
      <c r="K43" s="63" t="b">
        <v>0</v>
      </c>
      <c r="L43" s="21"/>
      <c r="M43" s="62" t="s">
        <v>3028</v>
      </c>
      <c r="N43" s="62" t="s">
        <v>33</v>
      </c>
      <c r="O43" s="62" t="s">
        <v>3028</v>
      </c>
      <c r="P43" s="62" t="s">
        <v>33</v>
      </c>
      <c r="Q43" s="63" t="s">
        <v>3033</v>
      </c>
      <c r="R43" s="63" t="s">
        <v>3033</v>
      </c>
      <c r="S43" s="63" t="s">
        <v>3033</v>
      </c>
      <c r="T43" s="21"/>
      <c r="U43" s="21"/>
      <c r="V43" s="62" t="s">
        <v>366</v>
      </c>
      <c r="W43" s="62" t="s">
        <v>3082</v>
      </c>
      <c r="X43" s="21"/>
      <c r="Y43" s="21"/>
      <c r="Z43" s="21"/>
      <c r="AA43" s="21"/>
      <c r="AB43" s="21"/>
      <c r="AC43" s="62" t="s">
        <v>369</v>
      </c>
      <c r="AD43" s="62" t="s">
        <v>3037</v>
      </c>
      <c r="AE43" s="62" t="s">
        <v>3237</v>
      </c>
      <c r="AF43" s="62" t="s">
        <v>3238</v>
      </c>
      <c r="AG43" s="62" t="s">
        <v>3239</v>
      </c>
      <c r="AH43" s="62" t="s">
        <v>53</v>
      </c>
      <c r="AI43" s="63" t="s">
        <v>3033</v>
      </c>
    </row>
    <row r="44" ht="21.75" customHeight="1">
      <c r="A44" s="62" t="s">
        <v>3303</v>
      </c>
      <c r="B44" s="62" t="s">
        <v>3028</v>
      </c>
      <c r="C44" s="62" t="s">
        <v>33</v>
      </c>
      <c r="D44" s="62" t="s">
        <v>3304</v>
      </c>
      <c r="E44" s="62" t="s">
        <v>3305</v>
      </c>
      <c r="F44" s="62" t="s">
        <v>374</v>
      </c>
      <c r="G44" s="62" t="s">
        <v>3235</v>
      </c>
      <c r="H44" s="62" t="s">
        <v>110</v>
      </c>
      <c r="J44" s="62" t="s">
        <v>373</v>
      </c>
      <c r="K44" s="63" t="b">
        <v>0</v>
      </c>
      <c r="L44" s="21"/>
      <c r="M44" s="62" t="s">
        <v>3028</v>
      </c>
      <c r="N44" s="62" t="s">
        <v>33</v>
      </c>
      <c r="O44" s="62" t="s">
        <v>3028</v>
      </c>
      <c r="P44" s="62" t="s">
        <v>33</v>
      </c>
      <c r="Q44" s="63" t="s">
        <v>3033</v>
      </c>
      <c r="R44" s="63" t="s">
        <v>3033</v>
      </c>
      <c r="S44" s="63" t="s">
        <v>3033</v>
      </c>
      <c r="T44" s="21"/>
      <c r="U44" s="21"/>
      <c r="V44" s="62" t="s">
        <v>372</v>
      </c>
      <c r="W44" s="62" t="s">
        <v>3082</v>
      </c>
      <c r="X44" s="21"/>
      <c r="Y44" s="21"/>
      <c r="Z44" s="21"/>
      <c r="AA44" s="21"/>
      <c r="AB44" s="21"/>
      <c r="AC44" s="62" t="s">
        <v>353</v>
      </c>
      <c r="AD44" s="62" t="s">
        <v>3037</v>
      </c>
      <c r="AE44" s="62" t="s">
        <v>3237</v>
      </c>
      <c r="AF44" s="62" t="s">
        <v>3238</v>
      </c>
      <c r="AG44" s="62" t="s">
        <v>3239</v>
      </c>
      <c r="AH44" s="62" t="s">
        <v>53</v>
      </c>
      <c r="AI44" s="63" t="s">
        <v>3033</v>
      </c>
    </row>
    <row r="45" ht="21.75" customHeight="1">
      <c r="A45" s="62" t="s">
        <v>3308</v>
      </c>
      <c r="B45" s="62" t="s">
        <v>3028</v>
      </c>
      <c r="C45" s="62" t="s">
        <v>33</v>
      </c>
      <c r="D45" s="62" t="s">
        <v>3309</v>
      </c>
      <c r="E45" s="62" t="s">
        <v>3311</v>
      </c>
      <c r="F45" s="62" t="s">
        <v>380</v>
      </c>
      <c r="G45" s="62" t="s">
        <v>3235</v>
      </c>
      <c r="H45" s="62" t="s">
        <v>110</v>
      </c>
      <c r="J45" s="62" t="s">
        <v>107</v>
      </c>
      <c r="K45" s="63" t="b">
        <v>0</v>
      </c>
      <c r="L45" s="21"/>
      <c r="M45" s="62" t="s">
        <v>3028</v>
      </c>
      <c r="N45" s="62" t="s">
        <v>33</v>
      </c>
      <c r="O45" s="62" t="s">
        <v>3028</v>
      </c>
      <c r="P45" s="62" t="s">
        <v>33</v>
      </c>
      <c r="Q45" s="63" t="s">
        <v>3033</v>
      </c>
      <c r="R45" s="63" t="s">
        <v>3033</v>
      </c>
      <c r="S45" s="63" t="s">
        <v>3033</v>
      </c>
      <c r="T45" s="21"/>
      <c r="U45" s="21"/>
      <c r="V45" s="62" t="s">
        <v>379</v>
      </c>
      <c r="W45" s="62" t="s">
        <v>3082</v>
      </c>
      <c r="X45" s="21"/>
      <c r="Y45" s="21"/>
      <c r="Z45" s="21"/>
      <c r="AA45" s="21"/>
      <c r="AB45" s="21"/>
      <c r="AC45" s="62" t="s">
        <v>381</v>
      </c>
      <c r="AD45" s="62" t="s">
        <v>3037</v>
      </c>
      <c r="AE45" s="62" t="s">
        <v>3237</v>
      </c>
      <c r="AF45" s="62" t="s">
        <v>3238</v>
      </c>
      <c r="AG45" s="62" t="s">
        <v>3239</v>
      </c>
      <c r="AH45" s="62" t="s">
        <v>53</v>
      </c>
      <c r="AI45" s="63" t="s">
        <v>3033</v>
      </c>
    </row>
    <row r="46" ht="21.75" customHeight="1">
      <c r="A46" s="62" t="s">
        <v>3312</v>
      </c>
      <c r="B46" s="62" t="s">
        <v>3028</v>
      </c>
      <c r="C46" s="62" t="s">
        <v>33</v>
      </c>
      <c r="D46" s="62" t="s">
        <v>3313</v>
      </c>
      <c r="E46" s="62" t="s">
        <v>3314</v>
      </c>
      <c r="F46" s="62" t="s">
        <v>388</v>
      </c>
      <c r="G46" s="62" t="s">
        <v>3235</v>
      </c>
      <c r="H46" s="62" t="s">
        <v>110</v>
      </c>
      <c r="J46" s="62" t="s">
        <v>387</v>
      </c>
      <c r="K46" s="63" t="b">
        <v>0</v>
      </c>
      <c r="L46" s="21"/>
      <c r="M46" s="62" t="s">
        <v>3028</v>
      </c>
      <c r="N46" s="62" t="s">
        <v>33</v>
      </c>
      <c r="O46" s="62" t="s">
        <v>3028</v>
      </c>
      <c r="P46" s="62" t="s">
        <v>33</v>
      </c>
      <c r="Q46" s="63" t="s">
        <v>3033</v>
      </c>
      <c r="R46" s="63" t="s">
        <v>3033</v>
      </c>
      <c r="S46" s="63" t="s">
        <v>3033</v>
      </c>
      <c r="T46" s="21"/>
      <c r="U46" s="21"/>
      <c r="V46" s="62" t="s">
        <v>386</v>
      </c>
      <c r="W46" s="62" t="s">
        <v>3082</v>
      </c>
      <c r="X46" s="21"/>
      <c r="Y46" s="21"/>
      <c r="Z46" s="21"/>
      <c r="AA46" s="21"/>
      <c r="AB46" s="21"/>
      <c r="AC46" s="62" t="s">
        <v>341</v>
      </c>
      <c r="AD46" s="62" t="s">
        <v>3037</v>
      </c>
      <c r="AE46" s="62" t="s">
        <v>3237</v>
      </c>
      <c r="AF46" s="62" t="s">
        <v>3238</v>
      </c>
      <c r="AG46" s="62" t="s">
        <v>3239</v>
      </c>
      <c r="AH46" s="62" t="s">
        <v>53</v>
      </c>
      <c r="AI46" s="63" t="s">
        <v>3033</v>
      </c>
    </row>
    <row r="47" ht="21.75" customHeight="1">
      <c r="A47" s="62" t="s">
        <v>3318</v>
      </c>
      <c r="B47" s="62" t="s">
        <v>3028</v>
      </c>
      <c r="C47" s="62" t="s">
        <v>33</v>
      </c>
      <c r="D47" s="62" t="s">
        <v>3319</v>
      </c>
      <c r="E47" s="62" t="s">
        <v>3320</v>
      </c>
      <c r="F47" s="62" t="s">
        <v>394</v>
      </c>
      <c r="G47" s="62" t="s">
        <v>3235</v>
      </c>
      <c r="H47" s="62" t="s">
        <v>110</v>
      </c>
      <c r="J47" s="62" t="s">
        <v>107</v>
      </c>
      <c r="K47" s="63" t="b">
        <v>0</v>
      </c>
      <c r="L47" s="21"/>
      <c r="M47" s="62" t="s">
        <v>3028</v>
      </c>
      <c r="N47" s="62" t="s">
        <v>33</v>
      </c>
      <c r="O47" s="62" t="s">
        <v>3028</v>
      </c>
      <c r="P47" s="62" t="s">
        <v>33</v>
      </c>
      <c r="Q47" s="63" t="s">
        <v>3033</v>
      </c>
      <c r="R47" s="63" t="s">
        <v>3033</v>
      </c>
      <c r="S47" s="63" t="s">
        <v>3033</v>
      </c>
      <c r="T47" s="21"/>
      <c r="U47" s="21"/>
      <c r="V47" s="62" t="s">
        <v>393</v>
      </c>
      <c r="W47" s="62" t="s">
        <v>3082</v>
      </c>
      <c r="X47" s="21"/>
      <c r="Y47" s="21"/>
      <c r="Z47" s="21"/>
      <c r="AA47" s="21"/>
      <c r="AB47" s="21"/>
      <c r="AC47" s="62" t="s">
        <v>395</v>
      </c>
      <c r="AD47" s="62" t="s">
        <v>3037</v>
      </c>
      <c r="AE47" s="62" t="s">
        <v>3237</v>
      </c>
      <c r="AF47" s="62" t="s">
        <v>3238</v>
      </c>
      <c r="AG47" s="62" t="s">
        <v>3239</v>
      </c>
      <c r="AH47" s="62" t="s">
        <v>53</v>
      </c>
      <c r="AI47" s="63" t="s">
        <v>3033</v>
      </c>
    </row>
    <row r="48" ht="21.75" customHeight="1">
      <c r="A48" s="62" t="s">
        <v>3321</v>
      </c>
      <c r="B48" s="62" t="s">
        <v>3028</v>
      </c>
      <c r="C48" s="62" t="s">
        <v>33</v>
      </c>
      <c r="D48" s="62" t="s">
        <v>3322</v>
      </c>
      <c r="E48" s="62" t="s">
        <v>3324</v>
      </c>
      <c r="F48" s="62" t="s">
        <v>402</v>
      </c>
      <c r="G48" s="62" t="s">
        <v>3235</v>
      </c>
      <c r="H48" s="62" t="s">
        <v>110</v>
      </c>
      <c r="J48" s="62" t="s">
        <v>107</v>
      </c>
      <c r="K48" s="63" t="b">
        <v>0</v>
      </c>
      <c r="L48" s="21"/>
      <c r="M48" s="62" t="s">
        <v>3028</v>
      </c>
      <c r="N48" s="62" t="s">
        <v>33</v>
      </c>
      <c r="O48" s="62" t="s">
        <v>3028</v>
      </c>
      <c r="P48" s="62" t="s">
        <v>33</v>
      </c>
      <c r="Q48" s="63" t="s">
        <v>3033</v>
      </c>
      <c r="R48" s="63" t="s">
        <v>3033</v>
      </c>
      <c r="S48" s="63" t="s">
        <v>3033</v>
      </c>
      <c r="T48" s="21"/>
      <c r="U48" s="21"/>
      <c r="V48" s="62" t="s">
        <v>401</v>
      </c>
      <c r="W48" s="62" t="s">
        <v>3082</v>
      </c>
      <c r="X48" s="21"/>
      <c r="Y48" s="21"/>
      <c r="Z48" s="21"/>
      <c r="AA48" s="21"/>
      <c r="AB48" s="21"/>
      <c r="AC48" s="62" t="s">
        <v>403</v>
      </c>
      <c r="AD48" s="62" t="s">
        <v>3037</v>
      </c>
      <c r="AE48" s="62" t="s">
        <v>3237</v>
      </c>
      <c r="AF48" s="62" t="s">
        <v>3238</v>
      </c>
      <c r="AG48" s="62" t="s">
        <v>3239</v>
      </c>
      <c r="AH48" s="62" t="s">
        <v>53</v>
      </c>
      <c r="AI48" s="63" t="s">
        <v>3033</v>
      </c>
    </row>
    <row r="49" ht="21.75" customHeight="1">
      <c r="A49" s="62" t="s">
        <v>3327</v>
      </c>
      <c r="B49" s="62" t="s">
        <v>3028</v>
      </c>
      <c r="C49" s="62" t="s">
        <v>33</v>
      </c>
      <c r="D49" s="62" t="s">
        <v>3328</v>
      </c>
      <c r="E49" s="62" t="s">
        <v>3329</v>
      </c>
      <c r="F49" s="62" t="s">
        <v>410</v>
      </c>
      <c r="G49" s="62" t="s">
        <v>3235</v>
      </c>
      <c r="H49" s="62" t="s">
        <v>110</v>
      </c>
      <c r="J49" s="62" t="s">
        <v>107</v>
      </c>
      <c r="K49" s="63" t="b">
        <v>0</v>
      </c>
      <c r="L49" s="21"/>
      <c r="M49" s="62" t="s">
        <v>3028</v>
      </c>
      <c r="N49" s="62" t="s">
        <v>33</v>
      </c>
      <c r="O49" s="62" t="s">
        <v>3028</v>
      </c>
      <c r="P49" s="62" t="s">
        <v>33</v>
      </c>
      <c r="Q49" s="63" t="s">
        <v>3033</v>
      </c>
      <c r="R49" s="63" t="s">
        <v>3033</v>
      </c>
      <c r="S49" s="63" t="s">
        <v>3033</v>
      </c>
      <c r="T49" s="21"/>
      <c r="U49" s="21"/>
      <c r="V49" s="62" t="s">
        <v>409</v>
      </c>
      <c r="W49" s="62" t="s">
        <v>3082</v>
      </c>
      <c r="X49" s="21"/>
      <c r="Y49" s="21"/>
      <c r="Z49" s="21"/>
      <c r="AA49" s="21"/>
      <c r="AB49" s="21"/>
      <c r="AC49" s="62" t="s">
        <v>411</v>
      </c>
      <c r="AD49" s="62" t="s">
        <v>3037</v>
      </c>
      <c r="AE49" s="62" t="s">
        <v>3237</v>
      </c>
      <c r="AF49" s="62" t="s">
        <v>3238</v>
      </c>
      <c r="AG49" s="62" t="s">
        <v>3239</v>
      </c>
      <c r="AH49" s="62" t="s">
        <v>53</v>
      </c>
      <c r="AI49" s="63" t="s">
        <v>3033</v>
      </c>
    </row>
    <row r="50" ht="21.75" customHeight="1">
      <c r="A50" s="62" t="s">
        <v>3333</v>
      </c>
      <c r="B50" s="62" t="s">
        <v>3028</v>
      </c>
      <c r="C50" s="62" t="s">
        <v>33</v>
      </c>
      <c r="D50" s="62" t="s">
        <v>3334</v>
      </c>
      <c r="E50" s="62" t="s">
        <v>3305</v>
      </c>
      <c r="F50" s="62" t="s">
        <v>419</v>
      </c>
      <c r="G50" s="62" t="s">
        <v>3235</v>
      </c>
      <c r="H50" s="62" t="s">
        <v>110</v>
      </c>
      <c r="J50" s="62" t="s">
        <v>418</v>
      </c>
      <c r="K50" s="63" t="b">
        <v>0</v>
      </c>
      <c r="L50" s="21"/>
      <c r="M50" s="62" t="s">
        <v>3028</v>
      </c>
      <c r="N50" s="62" t="s">
        <v>33</v>
      </c>
      <c r="O50" s="62" t="s">
        <v>3028</v>
      </c>
      <c r="P50" s="62" t="s">
        <v>33</v>
      </c>
      <c r="Q50" s="63" t="s">
        <v>3033</v>
      </c>
      <c r="R50" s="63" t="s">
        <v>3033</v>
      </c>
      <c r="S50" s="63" t="s">
        <v>3033</v>
      </c>
      <c r="T50" s="21"/>
      <c r="U50" s="21"/>
      <c r="V50" s="62" t="s">
        <v>417</v>
      </c>
      <c r="W50" s="62" t="s">
        <v>3082</v>
      </c>
      <c r="X50" s="21"/>
      <c r="Y50" s="21"/>
      <c r="Z50" s="21"/>
      <c r="AA50" s="21"/>
      <c r="AB50" s="21"/>
      <c r="AC50" s="62" t="s">
        <v>395</v>
      </c>
      <c r="AD50" s="62" t="s">
        <v>3037</v>
      </c>
      <c r="AE50" s="62" t="s">
        <v>3237</v>
      </c>
      <c r="AF50" s="62" t="s">
        <v>3238</v>
      </c>
      <c r="AG50" s="62" t="s">
        <v>3239</v>
      </c>
      <c r="AH50" s="62" t="s">
        <v>53</v>
      </c>
      <c r="AI50" s="63" t="s">
        <v>3033</v>
      </c>
    </row>
    <row r="51" ht="21.75" customHeight="1">
      <c r="A51" s="62" t="s">
        <v>3336</v>
      </c>
      <c r="B51" s="62" t="s">
        <v>3028</v>
      </c>
      <c r="C51" s="62" t="s">
        <v>33</v>
      </c>
      <c r="D51" s="62" t="s">
        <v>3337</v>
      </c>
      <c r="E51" s="62" t="s">
        <v>3338</v>
      </c>
      <c r="F51" s="62" t="s">
        <v>424</v>
      </c>
      <c r="G51" s="62" t="s">
        <v>3235</v>
      </c>
      <c r="H51" s="62" t="s">
        <v>110</v>
      </c>
      <c r="J51" s="62" t="s">
        <v>107</v>
      </c>
      <c r="K51" s="63" t="b">
        <v>0</v>
      </c>
      <c r="L51" s="21"/>
      <c r="M51" s="62" t="s">
        <v>3028</v>
      </c>
      <c r="N51" s="62" t="s">
        <v>33</v>
      </c>
      <c r="O51" s="62" t="s">
        <v>3028</v>
      </c>
      <c r="P51" s="62" t="s">
        <v>33</v>
      </c>
      <c r="Q51" s="63" t="s">
        <v>3033</v>
      </c>
      <c r="R51" s="63" t="s">
        <v>3033</v>
      </c>
      <c r="S51" s="63" t="s">
        <v>3033</v>
      </c>
      <c r="T51" s="21"/>
      <c r="U51" s="21"/>
      <c r="V51" s="62" t="s">
        <v>421</v>
      </c>
      <c r="W51" s="62" t="s">
        <v>3082</v>
      </c>
      <c r="X51" s="21"/>
      <c r="Y51" s="21"/>
      <c r="Z51" s="21"/>
      <c r="AA51" s="21"/>
      <c r="AB51" s="21"/>
      <c r="AC51" s="62" t="s">
        <v>426</v>
      </c>
      <c r="AD51" s="62" t="s">
        <v>3037</v>
      </c>
      <c r="AE51" s="62" t="s">
        <v>3237</v>
      </c>
      <c r="AF51" s="62" t="s">
        <v>3238</v>
      </c>
      <c r="AG51" s="62" t="s">
        <v>3239</v>
      </c>
      <c r="AH51" s="62" t="s">
        <v>53</v>
      </c>
      <c r="AI51" s="63" t="s">
        <v>3033</v>
      </c>
    </row>
    <row r="52" ht="21.75" customHeight="1">
      <c r="A52" s="62" t="s">
        <v>3342</v>
      </c>
      <c r="B52" s="62" t="s">
        <v>3028</v>
      </c>
      <c r="C52" s="62" t="s">
        <v>33</v>
      </c>
      <c r="D52" s="62" t="s">
        <v>3343</v>
      </c>
      <c r="E52" s="62" t="s">
        <v>3344</v>
      </c>
      <c r="F52" s="62" t="s">
        <v>433</v>
      </c>
      <c r="G52" s="62" t="s">
        <v>3235</v>
      </c>
      <c r="H52" s="62" t="s">
        <v>110</v>
      </c>
      <c r="J52" s="62" t="s">
        <v>107</v>
      </c>
      <c r="K52" s="63" t="b">
        <v>0</v>
      </c>
      <c r="L52" s="21"/>
      <c r="M52" s="62" t="s">
        <v>3028</v>
      </c>
      <c r="N52" s="62" t="s">
        <v>33</v>
      </c>
      <c r="O52" s="62" t="s">
        <v>3028</v>
      </c>
      <c r="P52" s="62" t="s">
        <v>33</v>
      </c>
      <c r="Q52" s="63" t="s">
        <v>3033</v>
      </c>
      <c r="R52" s="63" t="s">
        <v>3033</v>
      </c>
      <c r="S52" s="63" t="s">
        <v>3033</v>
      </c>
      <c r="T52" s="21"/>
      <c r="U52" s="21"/>
      <c r="V52" s="62" t="s">
        <v>430</v>
      </c>
      <c r="W52" s="62" t="s">
        <v>3082</v>
      </c>
      <c r="X52" s="21"/>
      <c r="Y52" s="21"/>
      <c r="Z52" s="21"/>
      <c r="AA52" s="21"/>
      <c r="AB52" s="21"/>
      <c r="AC52" s="62" t="s">
        <v>395</v>
      </c>
      <c r="AD52" s="62" t="s">
        <v>3037</v>
      </c>
      <c r="AE52" s="62" t="s">
        <v>3237</v>
      </c>
      <c r="AF52" s="62" t="s">
        <v>3238</v>
      </c>
      <c r="AG52" s="62" t="s">
        <v>3239</v>
      </c>
      <c r="AH52" s="62" t="s">
        <v>53</v>
      </c>
      <c r="AI52" s="63" t="s">
        <v>3033</v>
      </c>
    </row>
    <row r="53" ht="21.75" customHeight="1">
      <c r="A53" s="62" t="s">
        <v>3348</v>
      </c>
      <c r="B53" s="62" t="s">
        <v>3028</v>
      </c>
      <c r="C53" s="62" t="s">
        <v>33</v>
      </c>
      <c r="D53" s="62" t="s">
        <v>3349</v>
      </c>
      <c r="E53" s="62" t="s">
        <v>3350</v>
      </c>
      <c r="F53" s="62" t="s">
        <v>439</v>
      </c>
      <c r="G53" s="62" t="s">
        <v>3235</v>
      </c>
      <c r="H53" s="62" t="s">
        <v>110</v>
      </c>
      <c r="J53" s="62" t="s">
        <v>438</v>
      </c>
      <c r="K53" s="63" t="b">
        <v>0</v>
      </c>
      <c r="L53" s="21"/>
      <c r="M53" s="62" t="s">
        <v>3028</v>
      </c>
      <c r="N53" s="62" t="s">
        <v>33</v>
      </c>
      <c r="O53" s="62" t="s">
        <v>3028</v>
      </c>
      <c r="P53" s="62" t="s">
        <v>33</v>
      </c>
      <c r="Q53" s="63" t="s">
        <v>3033</v>
      </c>
      <c r="R53" s="63" t="s">
        <v>3033</v>
      </c>
      <c r="S53" s="63" t="s">
        <v>3033</v>
      </c>
      <c r="T53" s="21"/>
      <c r="U53" s="21"/>
      <c r="V53" s="62" t="s">
        <v>435</v>
      </c>
      <c r="W53" s="62" t="s">
        <v>3082</v>
      </c>
      <c r="X53" s="21"/>
      <c r="Y53" s="21"/>
      <c r="Z53" s="21"/>
      <c r="AA53" s="21"/>
      <c r="AB53" s="21"/>
      <c r="AC53" s="62" t="s">
        <v>441</v>
      </c>
      <c r="AD53" s="62" t="s">
        <v>3037</v>
      </c>
      <c r="AE53" s="62" t="s">
        <v>3237</v>
      </c>
      <c r="AF53" s="62" t="s">
        <v>3238</v>
      </c>
      <c r="AG53" s="62" t="s">
        <v>3239</v>
      </c>
      <c r="AH53" s="62" t="s">
        <v>53</v>
      </c>
      <c r="AI53" s="63" t="s">
        <v>3033</v>
      </c>
    </row>
    <row r="54" ht="21.75" customHeight="1">
      <c r="A54" s="62" t="s">
        <v>3352</v>
      </c>
      <c r="B54" s="62" t="s">
        <v>3028</v>
      </c>
      <c r="C54" s="62" t="s">
        <v>33</v>
      </c>
      <c r="D54" s="62" t="s">
        <v>3353</v>
      </c>
      <c r="E54" s="62" t="s">
        <v>3354</v>
      </c>
      <c r="F54" s="62" t="s">
        <v>444</v>
      </c>
      <c r="G54" s="62" t="s">
        <v>3235</v>
      </c>
      <c r="H54" s="62" t="s">
        <v>110</v>
      </c>
      <c r="J54" s="62" t="s">
        <v>107</v>
      </c>
      <c r="K54" s="63" t="b">
        <v>0</v>
      </c>
      <c r="L54" s="21"/>
      <c r="M54" s="62" t="s">
        <v>3028</v>
      </c>
      <c r="N54" s="62" t="s">
        <v>33</v>
      </c>
      <c r="O54" s="62" t="s">
        <v>3028</v>
      </c>
      <c r="P54" s="62" t="s">
        <v>33</v>
      </c>
      <c r="Q54" s="63" t="s">
        <v>3033</v>
      </c>
      <c r="R54" s="63" t="s">
        <v>3033</v>
      </c>
      <c r="S54" s="63" t="s">
        <v>3033</v>
      </c>
      <c r="T54" s="21"/>
      <c r="U54" s="21"/>
      <c r="V54" s="62" t="s">
        <v>443</v>
      </c>
      <c r="W54" s="62" t="s">
        <v>3082</v>
      </c>
      <c r="X54" s="21"/>
      <c r="Y54" s="21"/>
      <c r="Z54" s="21"/>
      <c r="AA54" s="21"/>
      <c r="AB54" s="21"/>
      <c r="AC54" s="62" t="s">
        <v>403</v>
      </c>
      <c r="AD54" s="62" t="s">
        <v>3037</v>
      </c>
      <c r="AE54" s="62" t="s">
        <v>3237</v>
      </c>
      <c r="AF54" s="62" t="s">
        <v>3238</v>
      </c>
      <c r="AG54" s="62" t="s">
        <v>3239</v>
      </c>
      <c r="AH54" s="62" t="s">
        <v>53</v>
      </c>
      <c r="AI54" s="63" t="s">
        <v>3033</v>
      </c>
    </row>
    <row r="55" ht="21.75" customHeight="1">
      <c r="A55" s="62" t="s">
        <v>3358</v>
      </c>
      <c r="B55" s="62" t="s">
        <v>3028</v>
      </c>
      <c r="C55" s="62" t="s">
        <v>33</v>
      </c>
      <c r="D55" s="62" t="s">
        <v>3359</v>
      </c>
      <c r="E55" s="62" t="s">
        <v>3360</v>
      </c>
      <c r="F55" s="62" t="s">
        <v>454</v>
      </c>
      <c r="G55" s="62" t="s">
        <v>3235</v>
      </c>
      <c r="H55" s="62" t="s">
        <v>110</v>
      </c>
      <c r="J55" s="62" t="s">
        <v>107</v>
      </c>
      <c r="K55" s="63" t="b">
        <v>0</v>
      </c>
      <c r="L55" s="21"/>
      <c r="M55" s="62" t="s">
        <v>3028</v>
      </c>
      <c r="N55" s="62" t="s">
        <v>33</v>
      </c>
      <c r="O55" s="62" t="s">
        <v>3028</v>
      </c>
      <c r="P55" s="62" t="s">
        <v>33</v>
      </c>
      <c r="Q55" s="63" t="s">
        <v>3033</v>
      </c>
      <c r="R55" s="63" t="s">
        <v>3033</v>
      </c>
      <c r="S55" s="63" t="s">
        <v>3033</v>
      </c>
      <c r="T55" s="21"/>
      <c r="U55" s="21"/>
      <c r="V55" s="62" t="s">
        <v>450</v>
      </c>
      <c r="W55" s="62" t="s">
        <v>3082</v>
      </c>
      <c r="X55" s="21"/>
      <c r="Y55" s="21"/>
      <c r="Z55" s="21"/>
      <c r="AA55" s="21"/>
      <c r="AB55" s="21"/>
      <c r="AC55" s="62" t="s">
        <v>455</v>
      </c>
      <c r="AD55" s="62" t="s">
        <v>3037</v>
      </c>
      <c r="AE55" s="62" t="s">
        <v>3237</v>
      </c>
      <c r="AF55" s="62" t="s">
        <v>3238</v>
      </c>
      <c r="AG55" s="62" t="s">
        <v>3239</v>
      </c>
      <c r="AH55" s="62" t="s">
        <v>53</v>
      </c>
      <c r="AI55" s="63" t="s">
        <v>3033</v>
      </c>
    </row>
    <row r="56" ht="21.75" customHeight="1">
      <c r="A56" s="62" t="s">
        <v>3364</v>
      </c>
      <c r="B56" s="62" t="s">
        <v>3028</v>
      </c>
      <c r="C56" s="62" t="s">
        <v>33</v>
      </c>
      <c r="D56" s="62" t="s">
        <v>3365</v>
      </c>
      <c r="E56" s="62" t="s">
        <v>3366</v>
      </c>
      <c r="F56" s="62" t="s">
        <v>461</v>
      </c>
      <c r="G56" s="62" t="s">
        <v>3235</v>
      </c>
      <c r="H56" s="62" t="s">
        <v>110</v>
      </c>
      <c r="J56" s="62" t="s">
        <v>107</v>
      </c>
      <c r="K56" s="63" t="b">
        <v>0</v>
      </c>
      <c r="L56" s="21"/>
      <c r="M56" s="62" t="s">
        <v>3028</v>
      </c>
      <c r="N56" s="62" t="s">
        <v>33</v>
      </c>
      <c r="O56" s="62" t="s">
        <v>3028</v>
      </c>
      <c r="P56" s="62" t="s">
        <v>33</v>
      </c>
      <c r="Q56" s="63" t="s">
        <v>3033</v>
      </c>
      <c r="R56" s="63" t="s">
        <v>3033</v>
      </c>
      <c r="S56" s="63" t="s">
        <v>3033</v>
      </c>
      <c r="T56" s="21"/>
      <c r="U56" s="21"/>
      <c r="V56" s="62" t="s">
        <v>460</v>
      </c>
      <c r="W56" s="62" t="s">
        <v>3082</v>
      </c>
      <c r="X56" s="21"/>
      <c r="Y56" s="21"/>
      <c r="Z56" s="21"/>
      <c r="AA56" s="21"/>
      <c r="AB56" s="21"/>
      <c r="AC56" s="62" t="s">
        <v>462</v>
      </c>
      <c r="AD56" s="62" t="s">
        <v>3037</v>
      </c>
      <c r="AE56" s="62" t="s">
        <v>3237</v>
      </c>
      <c r="AF56" s="62" t="s">
        <v>3238</v>
      </c>
      <c r="AG56" s="62" t="s">
        <v>3239</v>
      </c>
      <c r="AH56" s="62" t="s">
        <v>53</v>
      </c>
      <c r="AI56" s="63" t="s">
        <v>3033</v>
      </c>
    </row>
    <row r="57" ht="21.75" customHeight="1">
      <c r="A57" s="62" t="s">
        <v>3370</v>
      </c>
      <c r="B57" s="62" t="s">
        <v>3028</v>
      </c>
      <c r="C57" s="62" t="s">
        <v>33</v>
      </c>
      <c r="D57" s="62" t="s">
        <v>3371</v>
      </c>
      <c r="E57" s="62" t="s">
        <v>3372</v>
      </c>
      <c r="F57" s="62" t="s">
        <v>469</v>
      </c>
      <c r="G57" s="62" t="s">
        <v>3235</v>
      </c>
      <c r="H57" s="62" t="s">
        <v>110</v>
      </c>
      <c r="J57" s="62" t="s">
        <v>107</v>
      </c>
      <c r="K57" s="63" t="b">
        <v>0</v>
      </c>
      <c r="L57" s="21"/>
      <c r="M57" s="62" t="s">
        <v>3028</v>
      </c>
      <c r="N57" s="62" t="s">
        <v>33</v>
      </c>
      <c r="O57" s="62" t="s">
        <v>3028</v>
      </c>
      <c r="P57" s="62" t="s">
        <v>33</v>
      </c>
      <c r="Q57" s="63" t="s">
        <v>3033</v>
      </c>
      <c r="R57" s="63" t="s">
        <v>3033</v>
      </c>
      <c r="S57" s="63" t="s">
        <v>3033</v>
      </c>
      <c r="T57" s="21"/>
      <c r="U57" s="21"/>
      <c r="V57" s="62" t="s">
        <v>468</v>
      </c>
      <c r="W57" s="62" t="s">
        <v>3082</v>
      </c>
      <c r="X57" s="21"/>
      <c r="Y57" s="21"/>
      <c r="Z57" s="21"/>
      <c r="AA57" s="21"/>
      <c r="AB57" s="21"/>
      <c r="AC57" s="62" t="s">
        <v>470</v>
      </c>
      <c r="AD57" s="62" t="s">
        <v>3037</v>
      </c>
      <c r="AE57" s="62" t="s">
        <v>3237</v>
      </c>
      <c r="AF57" s="62" t="s">
        <v>3238</v>
      </c>
      <c r="AG57" s="62" t="s">
        <v>3239</v>
      </c>
      <c r="AH57" s="62" t="s">
        <v>53</v>
      </c>
      <c r="AI57" s="63" t="s">
        <v>3033</v>
      </c>
    </row>
    <row r="58" ht="21.75" customHeight="1">
      <c r="A58" s="62" t="s">
        <v>3376</v>
      </c>
      <c r="B58" s="62" t="s">
        <v>3028</v>
      </c>
      <c r="C58" s="62" t="s">
        <v>33</v>
      </c>
      <c r="D58" s="62" t="s">
        <v>3377</v>
      </c>
      <c r="E58" s="62" t="s">
        <v>3378</v>
      </c>
      <c r="F58" s="62" t="s">
        <v>477</v>
      </c>
      <c r="G58" s="62" t="s">
        <v>3235</v>
      </c>
      <c r="H58" s="62" t="s">
        <v>110</v>
      </c>
      <c r="J58" s="62" t="s">
        <v>107</v>
      </c>
      <c r="K58" s="63" t="b">
        <v>0</v>
      </c>
      <c r="L58" s="21"/>
      <c r="M58" s="62" t="s">
        <v>3028</v>
      </c>
      <c r="N58" s="62" t="s">
        <v>33</v>
      </c>
      <c r="O58" s="62" t="s">
        <v>3028</v>
      </c>
      <c r="P58" s="62" t="s">
        <v>33</v>
      </c>
      <c r="Q58" s="63" t="s">
        <v>3033</v>
      </c>
      <c r="R58" s="63" t="s">
        <v>3033</v>
      </c>
      <c r="S58" s="63" t="s">
        <v>3033</v>
      </c>
      <c r="T58" s="21"/>
      <c r="U58" s="21"/>
      <c r="V58" s="62" t="s">
        <v>476</v>
      </c>
      <c r="W58" s="62" t="s">
        <v>3082</v>
      </c>
      <c r="X58" s="21"/>
      <c r="Y58" s="21"/>
      <c r="Z58" s="21"/>
      <c r="AA58" s="21"/>
      <c r="AB58" s="21"/>
      <c r="AC58" s="62" t="s">
        <v>478</v>
      </c>
      <c r="AD58" s="62" t="s">
        <v>3037</v>
      </c>
      <c r="AE58" s="62" t="s">
        <v>3237</v>
      </c>
      <c r="AF58" s="62" t="s">
        <v>3238</v>
      </c>
      <c r="AG58" s="62" t="s">
        <v>3239</v>
      </c>
      <c r="AH58" s="62" t="s">
        <v>53</v>
      </c>
      <c r="AI58" s="63" t="s">
        <v>3033</v>
      </c>
    </row>
    <row r="59" ht="21.75" customHeight="1">
      <c r="A59" s="62" t="s">
        <v>3380</v>
      </c>
      <c r="B59" s="62" t="s">
        <v>3028</v>
      </c>
      <c r="C59" s="62" t="s">
        <v>33</v>
      </c>
      <c r="D59" s="62" t="s">
        <v>3381</v>
      </c>
      <c r="E59" s="62" t="s">
        <v>3382</v>
      </c>
      <c r="F59" s="62" t="s">
        <v>484</v>
      </c>
      <c r="G59" s="62" t="s">
        <v>3235</v>
      </c>
      <c r="H59" s="62" t="s">
        <v>110</v>
      </c>
      <c r="J59" s="62" t="s">
        <v>107</v>
      </c>
      <c r="K59" s="63" t="b">
        <v>0</v>
      </c>
      <c r="L59" s="21"/>
      <c r="M59" s="62" t="s">
        <v>3028</v>
      </c>
      <c r="N59" s="62" t="s">
        <v>33</v>
      </c>
      <c r="O59" s="62" t="s">
        <v>3028</v>
      </c>
      <c r="P59" s="62" t="s">
        <v>33</v>
      </c>
      <c r="Q59" s="63" t="s">
        <v>3033</v>
      </c>
      <c r="R59" s="63" t="s">
        <v>3033</v>
      </c>
      <c r="S59" s="63" t="s">
        <v>3033</v>
      </c>
      <c r="T59" s="21"/>
      <c r="U59" s="21"/>
      <c r="V59" s="62" t="s">
        <v>481</v>
      </c>
      <c r="W59" s="62" t="s">
        <v>3082</v>
      </c>
      <c r="X59" s="21"/>
      <c r="Y59" s="21"/>
      <c r="Z59" s="21"/>
      <c r="AA59" s="21"/>
      <c r="AB59" s="21"/>
      <c r="AC59" s="62" t="s">
        <v>486</v>
      </c>
      <c r="AD59" s="62" t="s">
        <v>3037</v>
      </c>
      <c r="AE59" s="62" t="s">
        <v>3237</v>
      </c>
      <c r="AF59" s="62" t="s">
        <v>3238</v>
      </c>
      <c r="AG59" s="62" t="s">
        <v>3239</v>
      </c>
      <c r="AH59" s="62" t="s">
        <v>53</v>
      </c>
      <c r="AI59" s="63" t="s">
        <v>3033</v>
      </c>
    </row>
    <row r="60" ht="21.75" customHeight="1">
      <c r="A60" s="62" t="s">
        <v>3386</v>
      </c>
      <c r="B60" s="62" t="s">
        <v>3028</v>
      </c>
      <c r="C60" s="62" t="s">
        <v>33</v>
      </c>
      <c r="D60" s="62" t="s">
        <v>3388</v>
      </c>
      <c r="E60" s="62" t="s">
        <v>3389</v>
      </c>
      <c r="F60" s="62" t="s">
        <v>490</v>
      </c>
      <c r="G60" s="62" t="s">
        <v>3235</v>
      </c>
      <c r="H60" s="62" t="s">
        <v>110</v>
      </c>
      <c r="J60" s="62" t="s">
        <v>107</v>
      </c>
      <c r="K60" s="63" t="b">
        <v>0</v>
      </c>
      <c r="L60" s="21"/>
      <c r="M60" s="62" t="s">
        <v>3028</v>
      </c>
      <c r="N60" s="62" t="s">
        <v>33</v>
      </c>
      <c r="O60" s="62" t="s">
        <v>3028</v>
      </c>
      <c r="P60" s="62" t="s">
        <v>33</v>
      </c>
      <c r="Q60" s="63" t="s">
        <v>3033</v>
      </c>
      <c r="R60" s="63" t="s">
        <v>3033</v>
      </c>
      <c r="S60" s="63" t="s">
        <v>3033</v>
      </c>
      <c r="T60" s="21"/>
      <c r="U60" s="21"/>
      <c r="V60" s="62" t="s">
        <v>489</v>
      </c>
      <c r="W60" s="62" t="s">
        <v>3082</v>
      </c>
      <c r="X60" s="21"/>
      <c r="Y60" s="21"/>
      <c r="Z60" s="21"/>
      <c r="AA60" s="21"/>
      <c r="AB60" s="21"/>
      <c r="AC60" s="62" t="s">
        <v>491</v>
      </c>
      <c r="AD60" s="62" t="s">
        <v>3037</v>
      </c>
      <c r="AE60" s="62" t="s">
        <v>3237</v>
      </c>
      <c r="AF60" s="62" t="s">
        <v>3238</v>
      </c>
      <c r="AG60" s="62" t="s">
        <v>3239</v>
      </c>
      <c r="AH60" s="62" t="s">
        <v>53</v>
      </c>
      <c r="AI60" s="63" t="s">
        <v>3033</v>
      </c>
    </row>
    <row r="61" ht="21.75" customHeight="1">
      <c r="A61" s="62" t="s">
        <v>3393</v>
      </c>
      <c r="B61" s="62" t="s">
        <v>3028</v>
      </c>
      <c r="C61" s="62" t="s">
        <v>33</v>
      </c>
      <c r="D61" s="62" t="s">
        <v>3394</v>
      </c>
      <c r="E61" s="62" t="s">
        <v>3395</v>
      </c>
      <c r="F61" s="62" t="s">
        <v>498</v>
      </c>
      <c r="G61" s="62" t="s">
        <v>3235</v>
      </c>
      <c r="H61" s="62" t="s">
        <v>110</v>
      </c>
      <c r="J61" s="62" t="s">
        <v>107</v>
      </c>
      <c r="K61" s="63" t="b">
        <v>0</v>
      </c>
      <c r="L61" s="21"/>
      <c r="M61" s="62" t="s">
        <v>3028</v>
      </c>
      <c r="N61" s="62" t="s">
        <v>33</v>
      </c>
      <c r="O61" s="62" t="s">
        <v>3028</v>
      </c>
      <c r="P61" s="62" t="s">
        <v>33</v>
      </c>
      <c r="Q61" s="63" t="s">
        <v>3033</v>
      </c>
      <c r="R61" s="63" t="s">
        <v>3033</v>
      </c>
      <c r="S61" s="63" t="s">
        <v>3033</v>
      </c>
      <c r="T61" s="21"/>
      <c r="U61" s="21"/>
      <c r="V61" s="62" t="s">
        <v>497</v>
      </c>
      <c r="W61" s="62" t="s">
        <v>3082</v>
      </c>
      <c r="X61" s="21"/>
      <c r="Y61" s="21"/>
      <c r="Z61" s="21"/>
      <c r="AA61" s="21"/>
      <c r="AB61" s="21"/>
      <c r="AC61" s="62" t="s">
        <v>395</v>
      </c>
      <c r="AD61" s="62" t="s">
        <v>3037</v>
      </c>
      <c r="AE61" s="62" t="s">
        <v>3237</v>
      </c>
      <c r="AF61" s="62" t="s">
        <v>3238</v>
      </c>
      <c r="AG61" s="62" t="s">
        <v>3239</v>
      </c>
      <c r="AH61" s="62" t="s">
        <v>53</v>
      </c>
      <c r="AI61" s="63" t="s">
        <v>3033</v>
      </c>
    </row>
    <row r="62" ht="21.75" customHeight="1">
      <c r="A62" s="62" t="s">
        <v>3400</v>
      </c>
      <c r="B62" s="62" t="s">
        <v>3028</v>
      </c>
      <c r="C62" s="62" t="s">
        <v>33</v>
      </c>
      <c r="D62" s="62" t="s">
        <v>3401</v>
      </c>
      <c r="E62" s="62" t="s">
        <v>3402</v>
      </c>
      <c r="F62" s="62" t="s">
        <v>505</v>
      </c>
      <c r="G62" s="62" t="s">
        <v>3235</v>
      </c>
      <c r="H62" s="62" t="s">
        <v>110</v>
      </c>
      <c r="J62" s="62" t="s">
        <v>504</v>
      </c>
      <c r="K62" s="63" t="b">
        <v>0</v>
      </c>
      <c r="L62" s="21"/>
      <c r="M62" s="62" t="s">
        <v>3028</v>
      </c>
      <c r="N62" s="62" t="s">
        <v>33</v>
      </c>
      <c r="O62" s="62" t="s">
        <v>3028</v>
      </c>
      <c r="P62" s="62" t="s">
        <v>33</v>
      </c>
      <c r="Q62" s="63" t="s">
        <v>3033</v>
      </c>
      <c r="R62" s="63" t="s">
        <v>3033</v>
      </c>
      <c r="S62" s="63" t="s">
        <v>3033</v>
      </c>
      <c r="T62" s="21"/>
      <c r="U62" s="21"/>
      <c r="V62" s="62" t="s">
        <v>503</v>
      </c>
      <c r="W62" s="62" t="s">
        <v>3082</v>
      </c>
      <c r="X62" s="21"/>
      <c r="Y62" s="21"/>
      <c r="Z62" s="21"/>
      <c r="AA62" s="21"/>
      <c r="AB62" s="21"/>
      <c r="AC62" s="62" t="s">
        <v>403</v>
      </c>
      <c r="AD62" s="62" t="s">
        <v>3037</v>
      </c>
      <c r="AE62" s="62" t="s">
        <v>3237</v>
      </c>
      <c r="AF62" s="62" t="s">
        <v>3238</v>
      </c>
      <c r="AG62" s="62" t="s">
        <v>3239</v>
      </c>
      <c r="AH62" s="62" t="s">
        <v>53</v>
      </c>
      <c r="AI62" s="63" t="s">
        <v>3033</v>
      </c>
    </row>
    <row r="63" ht="21.75" customHeight="1">
      <c r="A63" s="62" t="s">
        <v>3403</v>
      </c>
      <c r="B63" s="62" t="s">
        <v>3028</v>
      </c>
      <c r="C63" s="62" t="s">
        <v>33</v>
      </c>
      <c r="D63" s="62" t="s">
        <v>3404</v>
      </c>
      <c r="E63" s="62" t="s">
        <v>3405</v>
      </c>
      <c r="F63" s="62" t="s">
        <v>512</v>
      </c>
      <c r="G63" s="62" t="s">
        <v>3235</v>
      </c>
      <c r="H63" s="62" t="s">
        <v>110</v>
      </c>
      <c r="J63" s="62" t="s">
        <v>511</v>
      </c>
      <c r="K63" s="63" t="b">
        <v>0</v>
      </c>
      <c r="L63" s="21"/>
      <c r="M63" s="62" t="s">
        <v>3028</v>
      </c>
      <c r="N63" s="62" t="s">
        <v>33</v>
      </c>
      <c r="O63" s="62" t="s">
        <v>3028</v>
      </c>
      <c r="P63" s="62" t="s">
        <v>33</v>
      </c>
      <c r="Q63" s="63" t="s">
        <v>3033</v>
      </c>
      <c r="R63" s="63" t="s">
        <v>3033</v>
      </c>
      <c r="S63" s="63" t="s">
        <v>3033</v>
      </c>
      <c r="T63" s="21"/>
      <c r="U63" s="21"/>
      <c r="V63" s="62" t="s">
        <v>510</v>
      </c>
      <c r="W63" s="62" t="s">
        <v>3082</v>
      </c>
      <c r="X63" s="21"/>
      <c r="Y63" s="21"/>
      <c r="Z63" s="21"/>
      <c r="AA63" s="21"/>
      <c r="AB63" s="21"/>
      <c r="AC63" s="62" t="s">
        <v>513</v>
      </c>
      <c r="AD63" s="62" t="s">
        <v>3037</v>
      </c>
      <c r="AE63" s="62" t="s">
        <v>3237</v>
      </c>
      <c r="AF63" s="62" t="s">
        <v>3238</v>
      </c>
      <c r="AG63" s="62" t="s">
        <v>3239</v>
      </c>
      <c r="AH63" s="62" t="s">
        <v>53</v>
      </c>
      <c r="AI63" s="63" t="s">
        <v>3033</v>
      </c>
    </row>
    <row r="64" ht="21.75" customHeight="1">
      <c r="A64" s="62" t="s">
        <v>3407</v>
      </c>
      <c r="B64" s="62" t="s">
        <v>3028</v>
      </c>
      <c r="C64" s="62" t="s">
        <v>33</v>
      </c>
      <c r="D64" s="62" t="s">
        <v>3409</v>
      </c>
      <c r="E64" s="62" t="s">
        <v>3411</v>
      </c>
      <c r="F64" s="62" t="s">
        <v>521</v>
      </c>
      <c r="G64" s="62" t="s">
        <v>3235</v>
      </c>
      <c r="H64" s="62" t="s">
        <v>110</v>
      </c>
      <c r="J64" s="62" t="s">
        <v>520</v>
      </c>
      <c r="K64" s="63" t="b">
        <v>0</v>
      </c>
      <c r="L64" s="21"/>
      <c r="M64" s="62" t="s">
        <v>3028</v>
      </c>
      <c r="N64" s="62" t="s">
        <v>33</v>
      </c>
      <c r="O64" s="62" t="s">
        <v>3028</v>
      </c>
      <c r="P64" s="62" t="s">
        <v>33</v>
      </c>
      <c r="Q64" s="63" t="s">
        <v>3033</v>
      </c>
      <c r="R64" s="63" t="s">
        <v>3033</v>
      </c>
      <c r="S64" s="63" t="s">
        <v>3033</v>
      </c>
      <c r="T64" s="21"/>
      <c r="U64" s="21"/>
      <c r="V64" s="62" t="s">
        <v>519</v>
      </c>
      <c r="W64" s="62" t="s">
        <v>3082</v>
      </c>
      <c r="X64" s="21"/>
      <c r="Y64" s="21"/>
      <c r="Z64" s="21"/>
      <c r="AA64" s="21"/>
      <c r="AB64" s="21"/>
      <c r="AC64" s="62" t="s">
        <v>522</v>
      </c>
      <c r="AD64" s="62" t="s">
        <v>3037</v>
      </c>
      <c r="AE64" s="62" t="s">
        <v>3237</v>
      </c>
      <c r="AF64" s="62" t="s">
        <v>3238</v>
      </c>
      <c r="AG64" s="62" t="s">
        <v>3239</v>
      </c>
      <c r="AH64" s="62" t="s">
        <v>53</v>
      </c>
      <c r="AI64" s="63" t="s">
        <v>3033</v>
      </c>
    </row>
    <row r="65" ht="21.75" customHeight="1">
      <c r="A65" s="62" t="s">
        <v>3413</v>
      </c>
      <c r="B65" s="62" t="s">
        <v>3028</v>
      </c>
      <c r="C65" s="62" t="s">
        <v>33</v>
      </c>
      <c r="D65" s="62" t="s">
        <v>3414</v>
      </c>
      <c r="E65" s="62" t="s">
        <v>3415</v>
      </c>
      <c r="F65" s="62" t="s">
        <v>526</v>
      </c>
      <c r="G65" s="62" t="s">
        <v>3235</v>
      </c>
      <c r="H65" s="62" t="s">
        <v>110</v>
      </c>
      <c r="J65" s="62" t="s">
        <v>525</v>
      </c>
      <c r="K65" s="63" t="b">
        <v>0</v>
      </c>
      <c r="L65" s="21"/>
      <c r="M65" s="62" t="s">
        <v>3028</v>
      </c>
      <c r="N65" s="62" t="s">
        <v>33</v>
      </c>
      <c r="O65" s="62" t="s">
        <v>3028</v>
      </c>
      <c r="P65" s="62" t="s">
        <v>33</v>
      </c>
      <c r="Q65" s="63" t="s">
        <v>3033</v>
      </c>
      <c r="R65" s="63" t="s">
        <v>3033</v>
      </c>
      <c r="S65" s="63" t="s">
        <v>3033</v>
      </c>
      <c r="T65" s="21"/>
      <c r="U65" s="21"/>
      <c r="V65" s="62" t="s">
        <v>524</v>
      </c>
      <c r="W65" s="62" t="s">
        <v>3082</v>
      </c>
      <c r="X65" s="21"/>
      <c r="Y65" s="21"/>
      <c r="Z65" s="21"/>
      <c r="AA65" s="21"/>
      <c r="AB65" s="21"/>
      <c r="AC65" s="62" t="s">
        <v>527</v>
      </c>
      <c r="AD65" s="62" t="s">
        <v>3037</v>
      </c>
      <c r="AE65" s="62" t="s">
        <v>3237</v>
      </c>
      <c r="AF65" s="62" t="s">
        <v>3238</v>
      </c>
      <c r="AG65" s="62" t="s">
        <v>3239</v>
      </c>
      <c r="AH65" s="62" t="s">
        <v>53</v>
      </c>
      <c r="AI65" s="63" t="s">
        <v>3033</v>
      </c>
    </row>
    <row r="66" ht="21.75" customHeight="1">
      <c r="A66" s="62" t="s">
        <v>3419</v>
      </c>
      <c r="B66" s="62" t="s">
        <v>3028</v>
      </c>
      <c r="C66" s="62" t="s">
        <v>33</v>
      </c>
      <c r="D66" s="62" t="s">
        <v>3319</v>
      </c>
      <c r="E66" s="62" t="s">
        <v>3420</v>
      </c>
      <c r="F66" s="62" t="s">
        <v>534</v>
      </c>
      <c r="G66" s="62" t="s">
        <v>3235</v>
      </c>
      <c r="H66" s="62" t="s">
        <v>110</v>
      </c>
      <c r="J66" s="62" t="s">
        <v>107</v>
      </c>
      <c r="K66" s="63" t="b">
        <v>0</v>
      </c>
      <c r="L66" s="21"/>
      <c r="M66" s="62" t="s">
        <v>3028</v>
      </c>
      <c r="N66" s="62" t="s">
        <v>33</v>
      </c>
      <c r="O66" s="62" t="s">
        <v>3028</v>
      </c>
      <c r="P66" s="62" t="s">
        <v>33</v>
      </c>
      <c r="Q66" s="63" t="s">
        <v>3033</v>
      </c>
      <c r="R66" s="63" t="s">
        <v>3033</v>
      </c>
      <c r="S66" s="63" t="s">
        <v>3033</v>
      </c>
      <c r="T66" s="21"/>
      <c r="U66" s="21"/>
      <c r="V66" s="62" t="s">
        <v>533</v>
      </c>
      <c r="W66" s="62" t="s">
        <v>3082</v>
      </c>
      <c r="X66" s="21"/>
      <c r="Y66" s="21"/>
      <c r="Z66" s="21"/>
      <c r="AA66" s="21"/>
      <c r="AB66" s="21"/>
      <c r="AC66" s="62" t="s">
        <v>535</v>
      </c>
      <c r="AD66" s="62" t="s">
        <v>3037</v>
      </c>
      <c r="AE66" s="62" t="s">
        <v>3237</v>
      </c>
      <c r="AF66" s="62" t="s">
        <v>3238</v>
      </c>
      <c r="AG66" s="62" t="s">
        <v>3239</v>
      </c>
      <c r="AH66" s="62" t="s">
        <v>53</v>
      </c>
      <c r="AI66" s="63" t="s">
        <v>3033</v>
      </c>
    </row>
    <row r="67" ht="21.75" customHeight="1">
      <c r="A67" s="62" t="s">
        <v>3421</v>
      </c>
      <c r="B67" s="62" t="s">
        <v>3028</v>
      </c>
      <c r="C67" s="62" t="s">
        <v>33</v>
      </c>
      <c r="D67" s="62" t="s">
        <v>3422</v>
      </c>
      <c r="E67" s="62" t="s">
        <v>3142</v>
      </c>
      <c r="F67" s="62" t="s">
        <v>543</v>
      </c>
      <c r="G67" s="62" t="s">
        <v>3235</v>
      </c>
      <c r="H67" s="62" t="s">
        <v>110</v>
      </c>
      <c r="J67" s="62" t="s">
        <v>542</v>
      </c>
      <c r="K67" s="63" t="b">
        <v>0</v>
      </c>
      <c r="L67" s="21"/>
      <c r="M67" s="62" t="s">
        <v>3028</v>
      </c>
      <c r="N67" s="62" t="s">
        <v>33</v>
      </c>
      <c r="O67" s="62" t="s">
        <v>3028</v>
      </c>
      <c r="P67" s="62" t="s">
        <v>33</v>
      </c>
      <c r="Q67" s="63" t="s">
        <v>3033</v>
      </c>
      <c r="R67" s="63" t="s">
        <v>3033</v>
      </c>
      <c r="S67" s="63" t="s">
        <v>3033</v>
      </c>
      <c r="T67" s="21"/>
      <c r="U67" s="21"/>
      <c r="V67" s="62" t="s">
        <v>541</v>
      </c>
      <c r="W67" s="62" t="s">
        <v>3082</v>
      </c>
      <c r="X67" s="21"/>
      <c r="Y67" s="21"/>
      <c r="Z67" s="21"/>
      <c r="AA67" s="21"/>
      <c r="AB67" s="21"/>
      <c r="AC67" s="62" t="s">
        <v>544</v>
      </c>
      <c r="AD67" s="62" t="s">
        <v>3037</v>
      </c>
      <c r="AE67" s="62" t="s">
        <v>3237</v>
      </c>
      <c r="AF67" s="62" t="s">
        <v>3238</v>
      </c>
      <c r="AG67" s="62" t="s">
        <v>3239</v>
      </c>
      <c r="AH67" s="62" t="s">
        <v>53</v>
      </c>
      <c r="AI67" s="63" t="s">
        <v>3033</v>
      </c>
    </row>
    <row r="68" ht="21.75" customHeight="1">
      <c r="A68" s="62" t="s">
        <v>3426</v>
      </c>
      <c r="B68" s="62" t="s">
        <v>3028</v>
      </c>
      <c r="C68" s="62" t="s">
        <v>33</v>
      </c>
      <c r="D68" s="62" t="s">
        <v>3427</v>
      </c>
      <c r="E68" s="62" t="s">
        <v>3428</v>
      </c>
      <c r="F68" s="62" t="s">
        <v>550</v>
      </c>
      <c r="G68" s="62" t="s">
        <v>3235</v>
      </c>
      <c r="H68" s="62" t="s">
        <v>110</v>
      </c>
      <c r="J68" s="62" t="s">
        <v>107</v>
      </c>
      <c r="K68" s="63" t="b">
        <v>0</v>
      </c>
      <c r="L68" s="21"/>
      <c r="M68" s="62" t="s">
        <v>3028</v>
      </c>
      <c r="N68" s="62" t="s">
        <v>33</v>
      </c>
      <c r="O68" s="62" t="s">
        <v>3028</v>
      </c>
      <c r="P68" s="62" t="s">
        <v>33</v>
      </c>
      <c r="Q68" s="63" t="s">
        <v>3033</v>
      </c>
      <c r="R68" s="63" t="s">
        <v>3033</v>
      </c>
      <c r="S68" s="63" t="s">
        <v>3033</v>
      </c>
      <c r="T68" s="21"/>
      <c r="U68" s="21"/>
      <c r="V68" s="62" t="s">
        <v>548</v>
      </c>
      <c r="W68" s="62" t="s">
        <v>3082</v>
      </c>
      <c r="X68" s="21"/>
      <c r="Y68" s="21"/>
      <c r="Z68" s="21"/>
      <c r="AA68" s="21"/>
      <c r="AB68" s="21"/>
      <c r="AC68" s="62" t="s">
        <v>403</v>
      </c>
      <c r="AD68" s="62" t="s">
        <v>3037</v>
      </c>
      <c r="AE68" s="62" t="s">
        <v>3237</v>
      </c>
      <c r="AF68" s="62" t="s">
        <v>3238</v>
      </c>
      <c r="AG68" s="62" t="s">
        <v>3239</v>
      </c>
      <c r="AH68" s="62" t="s">
        <v>53</v>
      </c>
      <c r="AI68" s="63" t="s">
        <v>3033</v>
      </c>
    </row>
    <row r="69" ht="21.75" customHeight="1">
      <c r="A69" s="62" t="s">
        <v>3432</v>
      </c>
      <c r="B69" s="62" t="s">
        <v>3028</v>
      </c>
      <c r="C69" s="62" t="s">
        <v>33</v>
      </c>
      <c r="D69" s="62" t="s">
        <v>3433</v>
      </c>
      <c r="E69" s="62" t="s">
        <v>3305</v>
      </c>
      <c r="F69" s="62" t="s">
        <v>553</v>
      </c>
      <c r="G69" s="62" t="s">
        <v>3235</v>
      </c>
      <c r="H69" s="62" t="s">
        <v>110</v>
      </c>
      <c r="J69" s="62" t="s">
        <v>107</v>
      </c>
      <c r="K69" s="63" t="b">
        <v>0</v>
      </c>
      <c r="L69" s="21"/>
      <c r="M69" s="62" t="s">
        <v>3028</v>
      </c>
      <c r="N69" s="62" t="s">
        <v>33</v>
      </c>
      <c r="O69" s="62" t="s">
        <v>3028</v>
      </c>
      <c r="P69" s="62" t="s">
        <v>33</v>
      </c>
      <c r="Q69" s="63" t="s">
        <v>3033</v>
      </c>
      <c r="R69" s="63" t="s">
        <v>3033</v>
      </c>
      <c r="S69" s="63" t="s">
        <v>3033</v>
      </c>
      <c r="T69" s="21"/>
      <c r="U69" s="21"/>
      <c r="V69" s="62" t="s">
        <v>552</v>
      </c>
      <c r="W69" s="62" t="s">
        <v>3082</v>
      </c>
      <c r="X69" s="21"/>
      <c r="Y69" s="21"/>
      <c r="Z69" s="21"/>
      <c r="AA69" s="21"/>
      <c r="AB69" s="21"/>
      <c r="AC69" s="62" t="s">
        <v>527</v>
      </c>
      <c r="AD69" s="62" t="s">
        <v>3037</v>
      </c>
      <c r="AE69" s="62" t="s">
        <v>3237</v>
      </c>
      <c r="AF69" s="62" t="s">
        <v>3238</v>
      </c>
      <c r="AG69" s="62" t="s">
        <v>3239</v>
      </c>
      <c r="AH69" s="62" t="s">
        <v>53</v>
      </c>
      <c r="AI69" s="63" t="s">
        <v>3033</v>
      </c>
    </row>
    <row r="70" ht="21.75" customHeight="1">
      <c r="A70" s="62" t="s">
        <v>3435</v>
      </c>
      <c r="B70" s="62" t="s">
        <v>3028</v>
      </c>
      <c r="C70" s="62" t="s">
        <v>33</v>
      </c>
      <c r="D70" s="62" t="s">
        <v>3436</v>
      </c>
      <c r="E70" s="62" t="s">
        <v>3305</v>
      </c>
      <c r="F70" s="62" t="s">
        <v>556</v>
      </c>
      <c r="G70" s="62" t="s">
        <v>3235</v>
      </c>
      <c r="H70" s="62" t="s">
        <v>110</v>
      </c>
      <c r="J70" s="62" t="s">
        <v>107</v>
      </c>
      <c r="K70" s="63" t="b">
        <v>0</v>
      </c>
      <c r="L70" s="21"/>
      <c r="M70" s="62" t="s">
        <v>3028</v>
      </c>
      <c r="N70" s="62" t="s">
        <v>33</v>
      </c>
      <c r="O70" s="62" t="s">
        <v>3028</v>
      </c>
      <c r="P70" s="62" t="s">
        <v>33</v>
      </c>
      <c r="Q70" s="63" t="s">
        <v>3033</v>
      </c>
      <c r="R70" s="63" t="s">
        <v>3033</v>
      </c>
      <c r="S70" s="63" t="s">
        <v>3033</v>
      </c>
      <c r="T70" s="21"/>
      <c r="U70" s="21"/>
      <c r="V70" s="62" t="s">
        <v>555</v>
      </c>
      <c r="W70" s="62" t="s">
        <v>3082</v>
      </c>
      <c r="X70" s="21"/>
      <c r="Y70" s="21"/>
      <c r="Z70" s="21"/>
      <c r="AA70" s="21"/>
      <c r="AB70" s="21"/>
      <c r="AC70" s="62" t="s">
        <v>557</v>
      </c>
      <c r="AD70" s="62" t="s">
        <v>3037</v>
      </c>
      <c r="AE70" s="62" t="s">
        <v>3237</v>
      </c>
      <c r="AF70" s="62" t="s">
        <v>3238</v>
      </c>
      <c r="AG70" s="62" t="s">
        <v>3239</v>
      </c>
      <c r="AH70" s="62" t="s">
        <v>53</v>
      </c>
      <c r="AI70" s="63" t="s">
        <v>3033</v>
      </c>
    </row>
    <row r="71" ht="21.75" customHeight="1">
      <c r="A71" s="62" t="s">
        <v>3440</v>
      </c>
      <c r="B71" s="62" t="s">
        <v>3028</v>
      </c>
      <c r="C71" s="62" t="s">
        <v>33</v>
      </c>
      <c r="D71" s="62" t="s">
        <v>3441</v>
      </c>
      <c r="E71" s="62" t="s">
        <v>3442</v>
      </c>
      <c r="F71" s="62" t="s">
        <v>563</v>
      </c>
      <c r="G71" s="62" t="s">
        <v>3235</v>
      </c>
      <c r="H71" s="62" t="s">
        <v>110</v>
      </c>
      <c r="J71" s="62" t="s">
        <v>107</v>
      </c>
      <c r="K71" s="63" t="b">
        <v>0</v>
      </c>
      <c r="L71" s="21"/>
      <c r="M71" s="62" t="s">
        <v>3028</v>
      </c>
      <c r="N71" s="62" t="s">
        <v>33</v>
      </c>
      <c r="O71" s="62" t="s">
        <v>3028</v>
      </c>
      <c r="P71" s="62" t="s">
        <v>33</v>
      </c>
      <c r="Q71" s="63" t="s">
        <v>3033</v>
      </c>
      <c r="R71" s="63" t="s">
        <v>3033</v>
      </c>
      <c r="S71" s="63" t="s">
        <v>3033</v>
      </c>
      <c r="T71" s="21"/>
      <c r="U71" s="21"/>
      <c r="V71" s="62" t="s">
        <v>562</v>
      </c>
      <c r="W71" s="62" t="s">
        <v>3082</v>
      </c>
      <c r="X71" s="21"/>
      <c r="Y71" s="21"/>
      <c r="Z71" s="21"/>
      <c r="AA71" s="21"/>
      <c r="AB71" s="21"/>
      <c r="AC71" s="62" t="s">
        <v>491</v>
      </c>
      <c r="AD71" s="62" t="s">
        <v>3037</v>
      </c>
      <c r="AE71" s="62" t="s">
        <v>3237</v>
      </c>
      <c r="AF71" s="62" t="s">
        <v>3238</v>
      </c>
      <c r="AG71" s="62" t="s">
        <v>3239</v>
      </c>
      <c r="AH71" s="62" t="s">
        <v>53</v>
      </c>
      <c r="AI71" s="63" t="s">
        <v>3033</v>
      </c>
    </row>
    <row r="72" ht="21.75" customHeight="1">
      <c r="A72" s="62" t="s">
        <v>3444</v>
      </c>
      <c r="B72" s="62" t="s">
        <v>3028</v>
      </c>
      <c r="C72" s="62" t="s">
        <v>33</v>
      </c>
      <c r="D72" s="62" t="s">
        <v>3445</v>
      </c>
      <c r="E72" s="62" t="s">
        <v>3446</v>
      </c>
      <c r="F72" s="62" t="s">
        <v>570</v>
      </c>
      <c r="G72" s="62" t="s">
        <v>3235</v>
      </c>
      <c r="H72" s="62" t="s">
        <v>110</v>
      </c>
      <c r="J72" s="62" t="s">
        <v>107</v>
      </c>
      <c r="K72" s="63" t="b">
        <v>0</v>
      </c>
      <c r="L72" s="21"/>
      <c r="M72" s="62" t="s">
        <v>3028</v>
      </c>
      <c r="N72" s="62" t="s">
        <v>33</v>
      </c>
      <c r="O72" s="62" t="s">
        <v>3028</v>
      </c>
      <c r="P72" s="62" t="s">
        <v>33</v>
      </c>
      <c r="Q72" s="63" t="s">
        <v>3033</v>
      </c>
      <c r="R72" s="63" t="s">
        <v>3033</v>
      </c>
      <c r="S72" s="63" t="s">
        <v>3033</v>
      </c>
      <c r="T72" s="21"/>
      <c r="U72" s="21"/>
      <c r="V72" s="62" t="s">
        <v>567</v>
      </c>
      <c r="W72" s="62" t="s">
        <v>3082</v>
      </c>
      <c r="X72" s="21"/>
      <c r="Y72" s="21"/>
      <c r="Z72" s="21"/>
      <c r="AA72" s="21"/>
      <c r="AB72" s="21"/>
      <c r="AC72" s="62" t="s">
        <v>571</v>
      </c>
      <c r="AD72" s="62" t="s">
        <v>3037</v>
      </c>
      <c r="AE72" s="62" t="s">
        <v>3237</v>
      </c>
      <c r="AF72" s="62" t="s">
        <v>3238</v>
      </c>
      <c r="AG72" s="62" t="s">
        <v>3239</v>
      </c>
      <c r="AH72" s="62" t="s">
        <v>53</v>
      </c>
      <c r="AI72" s="63" t="s">
        <v>3033</v>
      </c>
    </row>
    <row r="73" ht="21.75" customHeight="1">
      <c r="A73" s="62" t="s">
        <v>3450</v>
      </c>
      <c r="B73" s="62" t="s">
        <v>3028</v>
      </c>
      <c r="C73" s="62" t="s">
        <v>33</v>
      </c>
      <c r="D73" s="62" t="s">
        <v>3451</v>
      </c>
      <c r="E73" s="62" t="s">
        <v>3452</v>
      </c>
      <c r="F73" s="62" t="s">
        <v>576</v>
      </c>
      <c r="G73" s="62" t="s">
        <v>3235</v>
      </c>
      <c r="H73" s="62" t="s">
        <v>110</v>
      </c>
      <c r="J73" s="62" t="s">
        <v>574</v>
      </c>
      <c r="K73" s="63" t="b">
        <v>0</v>
      </c>
      <c r="L73" s="21"/>
      <c r="M73" s="62" t="s">
        <v>3028</v>
      </c>
      <c r="N73" s="62" t="s">
        <v>33</v>
      </c>
      <c r="O73" s="62" t="s">
        <v>3028</v>
      </c>
      <c r="P73" s="62" t="s">
        <v>33</v>
      </c>
      <c r="Q73" s="63" t="s">
        <v>3033</v>
      </c>
      <c r="R73" s="63" t="s">
        <v>3033</v>
      </c>
      <c r="S73" s="63" t="s">
        <v>3033</v>
      </c>
      <c r="T73" s="21"/>
      <c r="U73" s="21"/>
      <c r="V73" s="62" t="s">
        <v>573</v>
      </c>
      <c r="W73" s="62" t="s">
        <v>3082</v>
      </c>
      <c r="X73" s="21"/>
      <c r="Y73" s="21"/>
      <c r="Z73" s="21"/>
      <c r="AA73" s="21"/>
      <c r="AB73" s="21"/>
      <c r="AC73" s="62" t="s">
        <v>513</v>
      </c>
      <c r="AD73" s="62" t="s">
        <v>3037</v>
      </c>
      <c r="AE73" s="62" t="s">
        <v>3237</v>
      </c>
      <c r="AF73" s="62" t="s">
        <v>3238</v>
      </c>
      <c r="AG73" s="62" t="s">
        <v>3239</v>
      </c>
      <c r="AH73" s="62" t="s">
        <v>53</v>
      </c>
      <c r="AI73" s="63" t="s">
        <v>3033</v>
      </c>
    </row>
    <row r="74" ht="21.75" customHeight="1">
      <c r="A74" s="62" t="s">
        <v>3453</v>
      </c>
      <c r="B74" s="62" t="s">
        <v>3028</v>
      </c>
      <c r="C74" s="62" t="s">
        <v>33</v>
      </c>
      <c r="D74" s="62" t="s">
        <v>3455</v>
      </c>
      <c r="E74" s="62" t="s">
        <v>3456</v>
      </c>
      <c r="F74" s="62" t="s">
        <v>582</v>
      </c>
      <c r="G74" s="62" t="s">
        <v>3235</v>
      </c>
      <c r="H74" s="62" t="s">
        <v>110</v>
      </c>
      <c r="J74" s="62" t="s">
        <v>581</v>
      </c>
      <c r="K74" s="63" t="b">
        <v>0</v>
      </c>
      <c r="L74" s="21"/>
      <c r="M74" s="62" t="s">
        <v>3028</v>
      </c>
      <c r="N74" s="62" t="s">
        <v>33</v>
      </c>
      <c r="O74" s="62" t="s">
        <v>3028</v>
      </c>
      <c r="P74" s="62" t="s">
        <v>33</v>
      </c>
      <c r="Q74" s="63" t="s">
        <v>3033</v>
      </c>
      <c r="R74" s="63" t="s">
        <v>3033</v>
      </c>
      <c r="S74" s="63" t="s">
        <v>3033</v>
      </c>
      <c r="T74" s="21"/>
      <c r="U74" s="21"/>
      <c r="V74" s="62" t="s">
        <v>580</v>
      </c>
      <c r="W74" s="62" t="s">
        <v>3082</v>
      </c>
      <c r="X74" s="21"/>
      <c r="Y74" s="21"/>
      <c r="Z74" s="21"/>
      <c r="AA74" s="21"/>
      <c r="AB74" s="21"/>
      <c r="AC74" s="62" t="s">
        <v>403</v>
      </c>
      <c r="AD74" s="62" t="s">
        <v>3037</v>
      </c>
      <c r="AE74" s="62" t="s">
        <v>3237</v>
      </c>
      <c r="AF74" s="62" t="s">
        <v>3238</v>
      </c>
      <c r="AG74" s="62" t="s">
        <v>3239</v>
      </c>
      <c r="AH74" s="62" t="s">
        <v>53</v>
      </c>
      <c r="AI74" s="63" t="s">
        <v>3033</v>
      </c>
    </row>
    <row r="75" ht="21.75" customHeight="1">
      <c r="A75" s="62" t="s">
        <v>3460</v>
      </c>
      <c r="B75" s="62" t="s">
        <v>3028</v>
      </c>
      <c r="C75" s="62" t="s">
        <v>33</v>
      </c>
      <c r="D75" s="62" t="s">
        <v>3461</v>
      </c>
      <c r="E75" s="62" t="s">
        <v>3462</v>
      </c>
      <c r="F75" s="62" t="s">
        <v>589</v>
      </c>
      <c r="G75" s="62" t="s">
        <v>3235</v>
      </c>
      <c r="H75" s="62" t="s">
        <v>110</v>
      </c>
      <c r="J75" s="62" t="s">
        <v>107</v>
      </c>
      <c r="K75" s="63" t="b">
        <v>0</v>
      </c>
      <c r="L75" s="21"/>
      <c r="M75" s="62" t="s">
        <v>3028</v>
      </c>
      <c r="N75" s="62" t="s">
        <v>33</v>
      </c>
      <c r="O75" s="62" t="s">
        <v>3028</v>
      </c>
      <c r="P75" s="62" t="s">
        <v>33</v>
      </c>
      <c r="Q75" s="63" t="s">
        <v>3033</v>
      </c>
      <c r="R75" s="63" t="s">
        <v>3033</v>
      </c>
      <c r="S75" s="63" t="s">
        <v>3033</v>
      </c>
      <c r="T75" s="21"/>
      <c r="U75" s="21"/>
      <c r="V75" s="62" t="s">
        <v>588</v>
      </c>
      <c r="W75" s="62" t="s">
        <v>3082</v>
      </c>
      <c r="X75" s="21"/>
      <c r="Y75" s="21"/>
      <c r="Z75" s="21"/>
      <c r="AA75" s="21"/>
      <c r="AB75" s="21"/>
      <c r="AC75" s="62" t="s">
        <v>238</v>
      </c>
      <c r="AD75" s="62" t="s">
        <v>3037</v>
      </c>
      <c r="AE75" s="62" t="s">
        <v>3237</v>
      </c>
      <c r="AF75" s="62" t="s">
        <v>3238</v>
      </c>
      <c r="AG75" s="62" t="s">
        <v>3239</v>
      </c>
      <c r="AH75" s="62" t="s">
        <v>53</v>
      </c>
      <c r="AI75" s="63" t="s">
        <v>3033</v>
      </c>
    </row>
    <row r="76" ht="21.75" customHeight="1">
      <c r="A76" s="62" t="s">
        <v>3467</v>
      </c>
      <c r="B76" s="62" t="s">
        <v>3028</v>
      </c>
      <c r="C76" s="62" t="s">
        <v>33</v>
      </c>
      <c r="D76" s="62" t="s">
        <v>3468</v>
      </c>
      <c r="E76" s="62" t="s">
        <v>3469</v>
      </c>
      <c r="F76" s="62" t="s">
        <v>593</v>
      </c>
      <c r="G76" s="62" t="s">
        <v>3235</v>
      </c>
      <c r="H76" s="62" t="s">
        <v>110</v>
      </c>
      <c r="J76" s="62" t="s">
        <v>107</v>
      </c>
      <c r="K76" s="63" t="b">
        <v>0</v>
      </c>
      <c r="L76" s="21"/>
      <c r="M76" s="62" t="s">
        <v>3028</v>
      </c>
      <c r="N76" s="62" t="s">
        <v>33</v>
      </c>
      <c r="O76" s="62" t="s">
        <v>3028</v>
      </c>
      <c r="P76" s="62" t="s">
        <v>33</v>
      </c>
      <c r="Q76" s="63" t="s">
        <v>3033</v>
      </c>
      <c r="R76" s="63" t="s">
        <v>3033</v>
      </c>
      <c r="S76" s="63" t="s">
        <v>3033</v>
      </c>
      <c r="T76" s="21"/>
      <c r="U76" s="21"/>
      <c r="V76" s="62" t="s">
        <v>592</v>
      </c>
      <c r="W76" s="62" t="s">
        <v>3082</v>
      </c>
      <c r="X76" s="21"/>
      <c r="Y76" s="21"/>
      <c r="Z76" s="21"/>
      <c r="AA76" s="21"/>
      <c r="AB76" s="21"/>
      <c r="AC76" s="62" t="s">
        <v>238</v>
      </c>
      <c r="AD76" s="62" t="s">
        <v>3037</v>
      </c>
      <c r="AE76" s="62" t="s">
        <v>3237</v>
      </c>
      <c r="AF76" s="62" t="s">
        <v>3238</v>
      </c>
      <c r="AG76" s="62" t="s">
        <v>3239</v>
      </c>
      <c r="AH76" s="62" t="s">
        <v>53</v>
      </c>
      <c r="AI76" s="63" t="s">
        <v>3033</v>
      </c>
    </row>
    <row r="77" ht="21.75" customHeight="1">
      <c r="A77" s="62" t="s">
        <v>3473</v>
      </c>
      <c r="B77" s="62" t="s">
        <v>3028</v>
      </c>
      <c r="C77" s="62" t="s">
        <v>33</v>
      </c>
      <c r="D77" s="62" t="s">
        <v>3474</v>
      </c>
      <c r="E77" s="62" t="s">
        <v>3475</v>
      </c>
      <c r="F77" s="62" t="s">
        <v>600</v>
      </c>
      <c r="G77" s="62" t="s">
        <v>3235</v>
      </c>
      <c r="H77" s="62" t="s">
        <v>110</v>
      </c>
      <c r="J77" s="62" t="s">
        <v>107</v>
      </c>
      <c r="K77" s="63" t="b">
        <v>0</v>
      </c>
      <c r="L77" s="21"/>
      <c r="M77" s="62" t="s">
        <v>3028</v>
      </c>
      <c r="N77" s="62" t="s">
        <v>33</v>
      </c>
      <c r="O77" s="62" t="s">
        <v>3028</v>
      </c>
      <c r="P77" s="62" t="s">
        <v>33</v>
      </c>
      <c r="Q77" s="63" t="s">
        <v>3033</v>
      </c>
      <c r="R77" s="63" t="s">
        <v>3033</v>
      </c>
      <c r="S77" s="63" t="s">
        <v>3033</v>
      </c>
      <c r="T77" s="21"/>
      <c r="U77" s="21"/>
      <c r="V77" s="62" t="s">
        <v>598</v>
      </c>
      <c r="W77" s="62" t="s">
        <v>3082</v>
      </c>
      <c r="X77" s="21"/>
      <c r="Y77" s="21"/>
      <c r="Z77" s="21"/>
      <c r="AA77" s="21"/>
      <c r="AB77" s="21"/>
      <c r="AC77" s="62" t="s">
        <v>491</v>
      </c>
      <c r="AD77" s="62" t="s">
        <v>3037</v>
      </c>
      <c r="AE77" s="62" t="s">
        <v>3237</v>
      </c>
      <c r="AF77" s="62" t="s">
        <v>3238</v>
      </c>
      <c r="AG77" s="62" t="s">
        <v>3239</v>
      </c>
      <c r="AH77" s="62" t="s">
        <v>53</v>
      </c>
      <c r="AI77" s="63" t="s">
        <v>3033</v>
      </c>
    </row>
    <row r="78" ht="21.75" customHeight="1">
      <c r="A78" s="62" t="s">
        <v>3476</v>
      </c>
      <c r="B78" s="62" t="s">
        <v>3028</v>
      </c>
      <c r="C78" s="62" t="s">
        <v>33</v>
      </c>
      <c r="D78" s="62" t="s">
        <v>3477</v>
      </c>
      <c r="E78" s="62" t="s">
        <v>3478</v>
      </c>
      <c r="F78" s="62" t="s">
        <v>610</v>
      </c>
      <c r="G78" s="62" t="s">
        <v>3235</v>
      </c>
      <c r="H78" s="62" t="s">
        <v>110</v>
      </c>
      <c r="J78" s="62" t="s">
        <v>107</v>
      </c>
      <c r="K78" s="63" t="b">
        <v>0</v>
      </c>
      <c r="L78" s="21"/>
      <c r="M78" s="62" t="s">
        <v>3028</v>
      </c>
      <c r="N78" s="62" t="s">
        <v>33</v>
      </c>
      <c r="O78" s="62" t="s">
        <v>3028</v>
      </c>
      <c r="P78" s="62" t="s">
        <v>33</v>
      </c>
      <c r="Q78" s="63" t="s">
        <v>3033</v>
      </c>
      <c r="R78" s="63" t="s">
        <v>3033</v>
      </c>
      <c r="S78" s="63" t="s">
        <v>3033</v>
      </c>
      <c r="T78" s="21"/>
      <c r="U78" s="21"/>
      <c r="V78" s="62" t="s">
        <v>609</v>
      </c>
      <c r="W78" s="62" t="s">
        <v>3082</v>
      </c>
      <c r="X78" s="21"/>
      <c r="Y78" s="21"/>
      <c r="Z78" s="21"/>
      <c r="AA78" s="21"/>
      <c r="AB78" s="21"/>
      <c r="AC78" s="62" t="s">
        <v>611</v>
      </c>
      <c r="AD78" s="62" t="s">
        <v>3037</v>
      </c>
      <c r="AE78" s="62" t="s">
        <v>3237</v>
      </c>
      <c r="AF78" s="62" t="s">
        <v>3238</v>
      </c>
      <c r="AG78" s="62" t="s">
        <v>3239</v>
      </c>
      <c r="AH78" s="62" t="s">
        <v>53</v>
      </c>
      <c r="AI78" s="63" t="s">
        <v>3033</v>
      </c>
    </row>
    <row r="79" ht="21.75" customHeight="1">
      <c r="A79" s="62" t="s">
        <v>3481</v>
      </c>
      <c r="B79" s="62" t="s">
        <v>3028</v>
      </c>
      <c r="C79" s="62" t="s">
        <v>33</v>
      </c>
      <c r="D79" s="62" t="s">
        <v>3482</v>
      </c>
      <c r="E79" s="62" t="s">
        <v>3483</v>
      </c>
      <c r="F79" s="62" t="s">
        <v>615</v>
      </c>
      <c r="G79" s="62" t="s">
        <v>3235</v>
      </c>
      <c r="H79" s="62" t="s">
        <v>110</v>
      </c>
      <c r="J79" s="62" t="s">
        <v>107</v>
      </c>
      <c r="K79" s="63" t="b">
        <v>0</v>
      </c>
      <c r="L79" s="21"/>
      <c r="M79" s="62" t="s">
        <v>3028</v>
      </c>
      <c r="N79" s="62" t="s">
        <v>33</v>
      </c>
      <c r="O79" s="62" t="s">
        <v>3028</v>
      </c>
      <c r="P79" s="62" t="s">
        <v>33</v>
      </c>
      <c r="Q79" s="63" t="s">
        <v>3033</v>
      </c>
      <c r="R79" s="63" t="s">
        <v>3033</v>
      </c>
      <c r="S79" s="63" t="s">
        <v>3033</v>
      </c>
      <c r="T79" s="21"/>
      <c r="U79" s="21"/>
      <c r="V79" s="62" t="s">
        <v>613</v>
      </c>
      <c r="W79" s="62" t="s">
        <v>3082</v>
      </c>
      <c r="X79" s="21"/>
      <c r="Y79" s="21"/>
      <c r="Z79" s="21"/>
      <c r="AA79" s="21"/>
      <c r="AB79" s="21"/>
      <c r="AC79" s="62" t="s">
        <v>238</v>
      </c>
      <c r="AD79" s="62" t="s">
        <v>3037</v>
      </c>
      <c r="AE79" s="62" t="s">
        <v>3237</v>
      </c>
      <c r="AF79" s="62" t="s">
        <v>3238</v>
      </c>
      <c r="AG79" s="62" t="s">
        <v>3239</v>
      </c>
      <c r="AH79" s="62" t="s">
        <v>53</v>
      </c>
      <c r="AI79" s="63" t="s">
        <v>3033</v>
      </c>
    </row>
    <row r="80" ht="21.75" customHeight="1">
      <c r="A80" s="62" t="s">
        <v>3485</v>
      </c>
      <c r="B80" s="62" t="s">
        <v>3028</v>
      </c>
      <c r="C80" s="62" t="s">
        <v>33</v>
      </c>
      <c r="D80" s="62" t="s">
        <v>3486</v>
      </c>
      <c r="E80" s="62" t="s">
        <v>3487</v>
      </c>
      <c r="F80" s="62" t="s">
        <v>621</v>
      </c>
      <c r="G80" s="62" t="s">
        <v>3235</v>
      </c>
      <c r="H80" s="62" t="s">
        <v>110</v>
      </c>
      <c r="J80" s="62" t="s">
        <v>107</v>
      </c>
      <c r="K80" s="63" t="b">
        <v>0</v>
      </c>
      <c r="L80" s="21"/>
      <c r="M80" s="62" t="s">
        <v>3028</v>
      </c>
      <c r="N80" s="62" t="s">
        <v>33</v>
      </c>
      <c r="O80" s="62" t="s">
        <v>3028</v>
      </c>
      <c r="P80" s="62" t="s">
        <v>33</v>
      </c>
      <c r="Q80" s="63" t="s">
        <v>3033</v>
      </c>
      <c r="R80" s="63" t="s">
        <v>3033</v>
      </c>
      <c r="S80" s="63" t="s">
        <v>3033</v>
      </c>
      <c r="T80" s="21"/>
      <c r="U80" s="21"/>
      <c r="V80" s="62" t="s">
        <v>620</v>
      </c>
      <c r="W80" s="62" t="s">
        <v>3082</v>
      </c>
      <c r="X80" s="21"/>
      <c r="Y80" s="21"/>
      <c r="Z80" s="21"/>
      <c r="AA80" s="21"/>
      <c r="AB80" s="21"/>
      <c r="AC80" s="62" t="s">
        <v>403</v>
      </c>
      <c r="AD80" s="62" t="s">
        <v>3037</v>
      </c>
      <c r="AE80" s="62" t="s">
        <v>3237</v>
      </c>
      <c r="AF80" s="62" t="s">
        <v>3238</v>
      </c>
      <c r="AG80" s="62" t="s">
        <v>3239</v>
      </c>
      <c r="AH80" s="62" t="s">
        <v>53</v>
      </c>
      <c r="AI80" s="63" t="s">
        <v>3033</v>
      </c>
    </row>
    <row r="81" ht="21.75" customHeight="1">
      <c r="A81" s="62" t="s">
        <v>3491</v>
      </c>
      <c r="B81" s="62" t="s">
        <v>3028</v>
      </c>
      <c r="C81" s="62" t="s">
        <v>33</v>
      </c>
      <c r="D81" s="62" t="s">
        <v>3492</v>
      </c>
      <c r="E81" s="62" t="s">
        <v>3493</v>
      </c>
      <c r="F81" s="62" t="s">
        <v>628</v>
      </c>
      <c r="G81" s="62" t="s">
        <v>3494</v>
      </c>
      <c r="H81" s="62" t="s">
        <v>629</v>
      </c>
      <c r="I81" s="63" t="str">
        <f>+91 9541227719</f>
        <v>#ERROR!</v>
      </c>
      <c r="J81" s="63" t="str">
        <f>+91 9541227719</f>
        <v>#ERROR!</v>
      </c>
      <c r="K81" s="63" t="b">
        <v>0</v>
      </c>
      <c r="L81" s="21"/>
      <c r="M81" s="62" t="s">
        <v>3028</v>
      </c>
      <c r="N81" s="62" t="s">
        <v>33</v>
      </c>
      <c r="O81" s="62" t="s">
        <v>3028</v>
      </c>
      <c r="P81" s="62" t="s">
        <v>33</v>
      </c>
      <c r="Q81" s="63" t="s">
        <v>3033</v>
      </c>
      <c r="R81" s="63" t="s">
        <v>3033</v>
      </c>
      <c r="S81" s="63" t="s">
        <v>3033</v>
      </c>
      <c r="T81" s="21"/>
      <c r="U81" s="21"/>
      <c r="V81" s="62" t="s">
        <v>626</v>
      </c>
      <c r="W81" s="62" t="s">
        <v>3036</v>
      </c>
      <c r="X81" s="21"/>
      <c r="Y81" s="21"/>
      <c r="Z81" s="21"/>
      <c r="AA81" s="21"/>
      <c r="AB81" s="21"/>
      <c r="AC81" s="21"/>
      <c r="AD81" s="62" t="s">
        <v>3037</v>
      </c>
      <c r="AE81" s="62" t="s">
        <v>3498</v>
      </c>
      <c r="AF81" s="62" t="s">
        <v>3499</v>
      </c>
      <c r="AG81" s="62" t="s">
        <v>3500</v>
      </c>
      <c r="AH81" s="62" t="s">
        <v>53</v>
      </c>
      <c r="AI81" s="63" t="s">
        <v>3033</v>
      </c>
    </row>
    <row r="82" ht="21.75" customHeight="1">
      <c r="A82" s="62" t="s">
        <v>3503</v>
      </c>
      <c r="B82" s="62" t="s">
        <v>3028</v>
      </c>
      <c r="C82" s="62" t="s">
        <v>33</v>
      </c>
      <c r="D82" s="62" t="s">
        <v>3505</v>
      </c>
      <c r="E82" s="62" t="s">
        <v>3506</v>
      </c>
      <c r="F82" s="62" t="s">
        <v>635</v>
      </c>
      <c r="G82" s="62" t="s">
        <v>3507</v>
      </c>
      <c r="H82" s="62" t="s">
        <v>636</v>
      </c>
      <c r="K82" s="63" t="b">
        <v>0</v>
      </c>
      <c r="L82" s="21"/>
      <c r="M82" s="62" t="s">
        <v>3028</v>
      </c>
      <c r="N82" s="62" t="s">
        <v>33</v>
      </c>
      <c r="O82" s="62" t="s">
        <v>3028</v>
      </c>
      <c r="P82" s="62" t="s">
        <v>33</v>
      </c>
      <c r="Q82" s="63" t="s">
        <v>3033</v>
      </c>
      <c r="R82" s="63" t="s">
        <v>3033</v>
      </c>
      <c r="S82" s="63" t="s">
        <v>3033</v>
      </c>
      <c r="T82" s="21"/>
      <c r="U82" s="21"/>
      <c r="V82" s="62" t="s">
        <v>634</v>
      </c>
      <c r="W82" s="62" t="s">
        <v>3036</v>
      </c>
      <c r="X82" s="21"/>
      <c r="Y82" s="21"/>
      <c r="Z82" s="21"/>
      <c r="AA82" s="21"/>
      <c r="AB82" s="21"/>
      <c r="AC82" s="21"/>
      <c r="AD82" s="62" t="s">
        <v>3037</v>
      </c>
      <c r="AE82" s="62" t="s">
        <v>3509</v>
      </c>
      <c r="AF82" s="62" t="s">
        <v>3510</v>
      </c>
      <c r="AG82" s="62" t="s">
        <v>3040</v>
      </c>
      <c r="AH82" s="62" t="s">
        <v>53</v>
      </c>
      <c r="AI82" s="63" t="s">
        <v>3033</v>
      </c>
    </row>
    <row r="83" ht="21.75" customHeight="1">
      <c r="A83" s="62" t="s">
        <v>3511</v>
      </c>
      <c r="B83" s="62" t="s">
        <v>3028</v>
      </c>
      <c r="C83" s="62" t="s">
        <v>33</v>
      </c>
      <c r="D83" s="62" t="s">
        <v>3514</v>
      </c>
      <c r="E83" s="62" t="s">
        <v>3515</v>
      </c>
      <c r="F83" s="62" t="s">
        <v>642</v>
      </c>
      <c r="G83" s="62" t="s">
        <v>3235</v>
      </c>
      <c r="H83" s="62" t="s">
        <v>110</v>
      </c>
      <c r="J83" s="21"/>
      <c r="K83" s="63" t="b">
        <v>0</v>
      </c>
      <c r="L83" s="21"/>
      <c r="M83" s="62" t="s">
        <v>3028</v>
      </c>
      <c r="N83" s="62" t="s">
        <v>33</v>
      </c>
      <c r="O83" s="62" t="s">
        <v>3028</v>
      </c>
      <c r="P83" s="62" t="s">
        <v>33</v>
      </c>
      <c r="Q83" s="63" t="s">
        <v>3033</v>
      </c>
      <c r="R83" s="63" t="s">
        <v>3033</v>
      </c>
      <c r="S83" s="63" t="s">
        <v>3033</v>
      </c>
      <c r="T83" s="21"/>
      <c r="U83" s="21"/>
      <c r="V83" s="62" t="s">
        <v>641</v>
      </c>
      <c r="W83" s="62" t="s">
        <v>3036</v>
      </c>
      <c r="X83" s="21"/>
      <c r="Y83" s="21"/>
      <c r="Z83" s="21"/>
      <c r="AA83" s="21"/>
      <c r="AB83" s="21"/>
      <c r="AC83" s="21"/>
      <c r="AD83" s="62" t="s">
        <v>3037</v>
      </c>
      <c r="AE83" s="62" t="s">
        <v>3237</v>
      </c>
      <c r="AF83" s="62" t="s">
        <v>3238</v>
      </c>
      <c r="AG83" s="62" t="s">
        <v>3239</v>
      </c>
      <c r="AH83" s="62" t="s">
        <v>53</v>
      </c>
      <c r="AI83" s="63" t="s">
        <v>3033</v>
      </c>
    </row>
    <row r="84" ht="21.75" customHeight="1">
      <c r="A84" s="62" t="s">
        <v>3517</v>
      </c>
      <c r="B84" s="62" t="s">
        <v>3028</v>
      </c>
      <c r="C84" s="62" t="s">
        <v>33</v>
      </c>
      <c r="D84" s="62" t="s">
        <v>3518</v>
      </c>
      <c r="E84" s="62" t="s">
        <v>3519</v>
      </c>
      <c r="F84" s="62" t="s">
        <v>645</v>
      </c>
      <c r="G84" s="62" t="s">
        <v>3235</v>
      </c>
      <c r="H84" s="62" t="s">
        <v>110</v>
      </c>
      <c r="J84" s="21"/>
      <c r="K84" s="63" t="b">
        <v>0</v>
      </c>
      <c r="L84" s="21"/>
      <c r="M84" s="62" t="s">
        <v>3028</v>
      </c>
      <c r="N84" s="62" t="s">
        <v>33</v>
      </c>
      <c r="O84" s="62" t="s">
        <v>3028</v>
      </c>
      <c r="P84" s="62" t="s">
        <v>33</v>
      </c>
      <c r="Q84" s="63" t="s">
        <v>3033</v>
      </c>
      <c r="R84" s="63" t="s">
        <v>3033</v>
      </c>
      <c r="S84" s="63" t="s">
        <v>3033</v>
      </c>
      <c r="T84" s="21"/>
      <c r="U84" s="21"/>
      <c r="V84" s="62" t="s">
        <v>644</v>
      </c>
      <c r="W84" s="62" t="s">
        <v>3036</v>
      </c>
      <c r="X84" s="21"/>
      <c r="Y84" s="21"/>
      <c r="Z84" s="21"/>
      <c r="AA84" s="21"/>
      <c r="AB84" s="21"/>
      <c r="AC84" s="21"/>
      <c r="AD84" s="62" t="s">
        <v>3037</v>
      </c>
      <c r="AE84" s="62" t="s">
        <v>3237</v>
      </c>
      <c r="AF84" s="62" t="s">
        <v>3238</v>
      </c>
      <c r="AG84" s="62" t="s">
        <v>3239</v>
      </c>
      <c r="AH84" s="62" t="s">
        <v>53</v>
      </c>
      <c r="AI84" s="63" t="s">
        <v>3033</v>
      </c>
    </row>
    <row r="85" ht="21.75" customHeight="1">
      <c r="A85" s="62" t="s">
        <v>3523</v>
      </c>
      <c r="B85" s="62" t="s">
        <v>3028</v>
      </c>
      <c r="C85" s="62" t="s">
        <v>33</v>
      </c>
      <c r="D85" s="62" t="s">
        <v>38</v>
      </c>
      <c r="E85" s="62" t="s">
        <v>3524</v>
      </c>
      <c r="F85" s="62" t="s">
        <v>651</v>
      </c>
      <c r="G85" s="62"/>
      <c r="H85" s="62"/>
      <c r="I85" s="21"/>
      <c r="J85" s="21"/>
      <c r="K85" s="63" t="b">
        <v>0</v>
      </c>
      <c r="L85" s="21"/>
      <c r="M85" s="62" t="s">
        <v>3028</v>
      </c>
      <c r="N85" s="62" t="s">
        <v>33</v>
      </c>
      <c r="O85" s="62" t="s">
        <v>3028</v>
      </c>
      <c r="P85" s="62" t="s">
        <v>33</v>
      </c>
      <c r="Q85" s="63" t="s">
        <v>3033</v>
      </c>
      <c r="R85" s="63" t="s">
        <v>3033</v>
      </c>
      <c r="S85" s="63" t="s">
        <v>3033</v>
      </c>
      <c r="T85" s="21"/>
      <c r="U85" s="21"/>
      <c r="V85" s="62" t="s">
        <v>650</v>
      </c>
      <c r="W85" s="62" t="s">
        <v>3036</v>
      </c>
      <c r="X85" s="21"/>
      <c r="Y85" s="21"/>
      <c r="Z85" s="21"/>
      <c r="AA85" s="21"/>
      <c r="AB85" s="21"/>
      <c r="AC85" s="21"/>
      <c r="AD85" s="21"/>
      <c r="AE85" s="21"/>
      <c r="AF85" s="21"/>
      <c r="AG85" s="21"/>
      <c r="AH85" s="62" t="s">
        <v>3525</v>
      </c>
      <c r="AI85" s="21"/>
    </row>
    <row r="86" ht="21.75" customHeight="1">
      <c r="A86" s="62" t="s">
        <v>3526</v>
      </c>
      <c r="B86" s="62" t="s">
        <v>3028</v>
      </c>
      <c r="C86" s="62" t="s">
        <v>33</v>
      </c>
      <c r="D86" s="62" t="s">
        <v>3527</v>
      </c>
      <c r="E86" s="62" t="s">
        <v>3528</v>
      </c>
      <c r="F86" s="62" t="s">
        <v>655</v>
      </c>
      <c r="G86" s="62" t="s">
        <v>3529</v>
      </c>
      <c r="H86" s="62" t="s">
        <v>656</v>
      </c>
      <c r="I86" s="21"/>
      <c r="J86" s="21"/>
      <c r="K86" s="63" t="b">
        <v>0</v>
      </c>
      <c r="L86" s="21"/>
      <c r="M86" s="62" t="s">
        <v>3028</v>
      </c>
      <c r="N86" s="62" t="s">
        <v>33</v>
      </c>
      <c r="O86" s="62" t="s">
        <v>3028</v>
      </c>
      <c r="P86" s="62" t="s">
        <v>33</v>
      </c>
      <c r="Q86" s="63" t="s">
        <v>3033</v>
      </c>
      <c r="R86" s="63" t="s">
        <v>3033</v>
      </c>
      <c r="S86" s="63" t="s">
        <v>3033</v>
      </c>
      <c r="T86" s="21"/>
      <c r="U86" s="21"/>
      <c r="V86" s="62" t="s">
        <v>654</v>
      </c>
      <c r="W86" s="62" t="s">
        <v>3036</v>
      </c>
      <c r="X86" s="21"/>
      <c r="Y86" s="21"/>
      <c r="Z86" s="21"/>
      <c r="AA86" s="21"/>
      <c r="AB86" s="21"/>
      <c r="AC86" s="21"/>
      <c r="AD86" s="62" t="s">
        <v>3530</v>
      </c>
      <c r="AE86" s="62" t="s">
        <v>3531</v>
      </c>
      <c r="AF86" s="62" t="s">
        <v>3532</v>
      </c>
      <c r="AG86" s="62" t="s">
        <v>3533</v>
      </c>
      <c r="AH86" s="62" t="s">
        <v>53</v>
      </c>
      <c r="AI86" s="65">
        <v>46025.0</v>
      </c>
    </row>
    <row r="87" ht="21.75" customHeight="1">
      <c r="A87" s="62" t="s">
        <v>3536</v>
      </c>
      <c r="B87" s="62" t="s">
        <v>3028</v>
      </c>
      <c r="C87" s="62" t="s">
        <v>33</v>
      </c>
      <c r="D87" s="62" t="s">
        <v>3538</v>
      </c>
      <c r="E87" s="62" t="s">
        <v>3539</v>
      </c>
      <c r="F87" s="62" t="s">
        <v>663</v>
      </c>
      <c r="G87" s="62" t="s">
        <v>3226</v>
      </c>
      <c r="H87" s="62" t="s">
        <v>664</v>
      </c>
      <c r="I87" s="62"/>
      <c r="J87" s="62"/>
      <c r="K87" s="63" t="b">
        <v>0</v>
      </c>
      <c r="L87" s="21"/>
      <c r="M87" s="62" t="s">
        <v>3028</v>
      </c>
      <c r="N87" s="62" t="s">
        <v>33</v>
      </c>
      <c r="O87" s="62" t="s">
        <v>3028</v>
      </c>
      <c r="P87" s="62" t="s">
        <v>33</v>
      </c>
      <c r="Q87" s="63" t="s">
        <v>3033</v>
      </c>
      <c r="R87" s="63" t="s">
        <v>3033</v>
      </c>
      <c r="S87" s="63" t="s">
        <v>3033</v>
      </c>
      <c r="T87" s="21"/>
      <c r="U87" s="21"/>
      <c r="V87" s="62" t="s">
        <v>662</v>
      </c>
      <c r="W87" s="62" t="s">
        <v>3036</v>
      </c>
      <c r="X87" s="21"/>
      <c r="Y87" s="21"/>
      <c r="Z87" s="21"/>
      <c r="AA87" s="21"/>
      <c r="AB87" s="21"/>
      <c r="AC87" s="21"/>
      <c r="AD87" s="62" t="s">
        <v>3037</v>
      </c>
      <c r="AE87" s="62" t="s">
        <v>3229</v>
      </c>
      <c r="AF87" s="62" t="s">
        <v>3540</v>
      </c>
      <c r="AG87" s="62" t="s">
        <v>3231</v>
      </c>
      <c r="AH87" s="62" t="s">
        <v>53</v>
      </c>
      <c r="AI87" s="63" t="s">
        <v>3033</v>
      </c>
    </row>
    <row r="88" ht="21.75" customHeight="1">
      <c r="A88" s="62" t="s">
        <v>3542</v>
      </c>
      <c r="B88" s="62" t="s">
        <v>3028</v>
      </c>
      <c r="C88" s="62" t="s">
        <v>33</v>
      </c>
      <c r="D88" s="62" t="s">
        <v>3544</v>
      </c>
      <c r="E88" s="62" t="s">
        <v>3546</v>
      </c>
      <c r="F88" s="62" t="s">
        <v>667</v>
      </c>
      <c r="G88" s="62" t="s">
        <v>3226</v>
      </c>
      <c r="H88" s="62" t="s">
        <v>664</v>
      </c>
      <c r="I88" s="62"/>
      <c r="J88" s="62"/>
      <c r="K88" s="63" t="b">
        <v>0</v>
      </c>
      <c r="L88" s="21"/>
      <c r="M88" s="62" t="s">
        <v>3028</v>
      </c>
      <c r="N88" s="62" t="s">
        <v>33</v>
      </c>
      <c r="O88" s="62" t="s">
        <v>3028</v>
      </c>
      <c r="P88" s="62" t="s">
        <v>33</v>
      </c>
      <c r="Q88" s="63" t="s">
        <v>3033</v>
      </c>
      <c r="R88" s="63" t="s">
        <v>3033</v>
      </c>
      <c r="S88" s="63" t="s">
        <v>3033</v>
      </c>
      <c r="T88" s="21"/>
      <c r="U88" s="21"/>
      <c r="V88" s="62" t="s">
        <v>666</v>
      </c>
      <c r="W88" s="62" t="s">
        <v>3036</v>
      </c>
      <c r="X88" s="21"/>
      <c r="Y88" s="21"/>
      <c r="Z88" s="21"/>
      <c r="AA88" s="21"/>
      <c r="AB88" s="21"/>
      <c r="AC88" s="21"/>
      <c r="AD88" s="62" t="s">
        <v>3037</v>
      </c>
      <c r="AE88" s="62" t="s">
        <v>3229</v>
      </c>
      <c r="AF88" s="62" t="s">
        <v>3540</v>
      </c>
      <c r="AG88" s="62" t="s">
        <v>3231</v>
      </c>
      <c r="AH88" s="62" t="s">
        <v>53</v>
      </c>
      <c r="AI88" s="63" t="s">
        <v>3033</v>
      </c>
    </row>
    <row r="89" ht="21.75" customHeight="1">
      <c r="A89" s="62" t="s">
        <v>3550</v>
      </c>
      <c r="B89" s="62" t="s">
        <v>3028</v>
      </c>
      <c r="C89" s="62" t="s">
        <v>33</v>
      </c>
      <c r="D89" s="62" t="s">
        <v>3551</v>
      </c>
      <c r="E89" s="62" t="s">
        <v>3552</v>
      </c>
      <c r="F89" s="62" t="s">
        <v>673</v>
      </c>
      <c r="G89" s="62" t="s">
        <v>3553</v>
      </c>
      <c r="H89" s="62" t="s">
        <v>675</v>
      </c>
      <c r="I89" s="21"/>
      <c r="J89" s="21"/>
      <c r="K89" s="63" t="b">
        <v>0</v>
      </c>
      <c r="L89" s="21"/>
      <c r="M89" s="62" t="s">
        <v>3028</v>
      </c>
      <c r="N89" s="62" t="s">
        <v>33</v>
      </c>
      <c r="O89" s="62" t="s">
        <v>3028</v>
      </c>
      <c r="P89" s="62" t="s">
        <v>33</v>
      </c>
      <c r="Q89" s="63" t="s">
        <v>3033</v>
      </c>
      <c r="R89" s="63" t="s">
        <v>3033</v>
      </c>
      <c r="S89" s="63" t="s">
        <v>3033</v>
      </c>
      <c r="T89" s="21"/>
      <c r="U89" s="21"/>
      <c r="V89" s="62" t="s">
        <v>672</v>
      </c>
      <c r="W89" s="62" t="s">
        <v>3036</v>
      </c>
      <c r="X89" s="21"/>
      <c r="Y89" s="21"/>
      <c r="Z89" s="21"/>
      <c r="AA89" s="21"/>
      <c r="AB89" s="21"/>
      <c r="AC89" s="62" t="s">
        <v>674</v>
      </c>
      <c r="AD89" s="62" t="s">
        <v>3530</v>
      </c>
      <c r="AE89" s="62" t="s">
        <v>3554</v>
      </c>
      <c r="AF89" s="62" t="s">
        <v>3540</v>
      </c>
      <c r="AG89" s="62" t="s">
        <v>3239</v>
      </c>
      <c r="AH89" s="62" t="s">
        <v>53</v>
      </c>
      <c r="AI89" s="63" t="s">
        <v>3033</v>
      </c>
    </row>
    <row r="90" ht="21.75" customHeight="1">
      <c r="A90" s="62" t="s">
        <v>3555</v>
      </c>
      <c r="B90" s="62" t="s">
        <v>3028</v>
      </c>
      <c r="C90" s="62" t="s">
        <v>33</v>
      </c>
      <c r="D90" s="62" t="s">
        <v>3556</v>
      </c>
      <c r="E90" s="62" t="s">
        <v>3557</v>
      </c>
      <c r="F90" s="62" t="s">
        <v>679</v>
      </c>
      <c r="G90" s="62" t="s">
        <v>3553</v>
      </c>
      <c r="H90" s="62" t="s">
        <v>675</v>
      </c>
      <c r="I90" s="21"/>
      <c r="J90" s="21"/>
      <c r="K90" s="63" t="b">
        <v>0</v>
      </c>
      <c r="L90" s="21"/>
      <c r="M90" s="62" t="s">
        <v>3028</v>
      </c>
      <c r="N90" s="62" t="s">
        <v>33</v>
      </c>
      <c r="O90" s="62" t="s">
        <v>3028</v>
      </c>
      <c r="P90" s="62" t="s">
        <v>33</v>
      </c>
      <c r="Q90" s="63" t="s">
        <v>3033</v>
      </c>
      <c r="R90" s="63" t="s">
        <v>3033</v>
      </c>
      <c r="S90" s="63" t="s">
        <v>3033</v>
      </c>
      <c r="T90" s="21"/>
      <c r="U90" s="21"/>
      <c r="V90" s="62" t="s">
        <v>677</v>
      </c>
      <c r="W90" s="62" t="s">
        <v>3036</v>
      </c>
      <c r="X90" s="21"/>
      <c r="Y90" s="21"/>
      <c r="Z90" s="21"/>
      <c r="AA90" s="21"/>
      <c r="AB90" s="21"/>
      <c r="AC90" s="21"/>
      <c r="AD90" s="62" t="s">
        <v>3530</v>
      </c>
      <c r="AE90" s="62" t="s">
        <v>3554</v>
      </c>
      <c r="AF90" s="62" t="s">
        <v>3540</v>
      </c>
      <c r="AG90" s="62" t="s">
        <v>3239</v>
      </c>
      <c r="AH90" s="62" t="s">
        <v>53</v>
      </c>
      <c r="AI90" s="63" t="s">
        <v>3033</v>
      </c>
    </row>
    <row r="91" ht="21.75" customHeight="1">
      <c r="A91" s="62" t="s">
        <v>3562</v>
      </c>
      <c r="B91" s="62" t="s">
        <v>3028</v>
      </c>
      <c r="C91" s="62" t="s">
        <v>33</v>
      </c>
      <c r="D91" s="62" t="s">
        <v>3563</v>
      </c>
      <c r="E91" s="62" t="s">
        <v>3564</v>
      </c>
      <c r="F91" s="62" t="s">
        <v>684</v>
      </c>
      <c r="G91" s="62" t="s">
        <v>3553</v>
      </c>
      <c r="H91" s="62" t="s">
        <v>675</v>
      </c>
      <c r="I91" s="21"/>
      <c r="J91" s="21"/>
      <c r="K91" s="63" t="b">
        <v>0</v>
      </c>
      <c r="L91" s="21"/>
      <c r="M91" s="62" t="s">
        <v>3028</v>
      </c>
      <c r="N91" s="62" t="s">
        <v>33</v>
      </c>
      <c r="O91" s="62" t="s">
        <v>3028</v>
      </c>
      <c r="P91" s="62" t="s">
        <v>33</v>
      </c>
      <c r="Q91" s="63" t="s">
        <v>3033</v>
      </c>
      <c r="R91" s="63" t="s">
        <v>3033</v>
      </c>
      <c r="S91" s="63" t="s">
        <v>3033</v>
      </c>
      <c r="T91" s="21"/>
      <c r="U91" s="21"/>
      <c r="V91" s="62" t="s">
        <v>683</v>
      </c>
      <c r="W91" s="62" t="s">
        <v>3036</v>
      </c>
      <c r="X91" s="21"/>
      <c r="Y91" s="21"/>
      <c r="Z91" s="21"/>
      <c r="AA91" s="21"/>
      <c r="AB91" s="21"/>
      <c r="AC91" s="21"/>
      <c r="AD91" s="62" t="s">
        <v>3530</v>
      </c>
      <c r="AE91" s="62" t="s">
        <v>3554</v>
      </c>
      <c r="AF91" s="62" t="s">
        <v>3540</v>
      </c>
      <c r="AG91" s="62" t="s">
        <v>3239</v>
      </c>
      <c r="AH91" s="62" t="s">
        <v>53</v>
      </c>
      <c r="AI91" s="63" t="s">
        <v>3033</v>
      </c>
    </row>
    <row r="92" ht="21.75" customHeight="1">
      <c r="A92" s="62" t="s">
        <v>3568</v>
      </c>
      <c r="B92" s="62" t="s">
        <v>3028</v>
      </c>
      <c r="C92" s="62" t="s">
        <v>33</v>
      </c>
      <c r="D92" s="62" t="s">
        <v>3569</v>
      </c>
      <c r="E92" s="62" t="s">
        <v>3570</v>
      </c>
      <c r="F92" s="62" t="s">
        <v>689</v>
      </c>
      <c r="G92" s="62" t="s">
        <v>3571</v>
      </c>
      <c r="H92" s="62" t="s">
        <v>692</v>
      </c>
      <c r="J92" s="62" t="s">
        <v>107</v>
      </c>
      <c r="K92" s="63" t="b">
        <v>0</v>
      </c>
      <c r="L92" s="21"/>
      <c r="M92" s="62" t="s">
        <v>3028</v>
      </c>
      <c r="N92" s="62" t="s">
        <v>33</v>
      </c>
      <c r="O92" s="62" t="s">
        <v>3028</v>
      </c>
      <c r="P92" s="62" t="s">
        <v>33</v>
      </c>
      <c r="Q92" s="63" t="s">
        <v>3033</v>
      </c>
      <c r="R92" s="63" t="s">
        <v>3033</v>
      </c>
      <c r="S92" s="63" t="s">
        <v>3033</v>
      </c>
      <c r="T92" s="21"/>
      <c r="U92" s="21"/>
      <c r="V92" s="62" t="s">
        <v>686</v>
      </c>
      <c r="W92" s="62" t="s">
        <v>3082</v>
      </c>
      <c r="X92" s="21"/>
      <c r="Y92" s="21"/>
      <c r="Z92" s="21"/>
      <c r="AA92" s="21"/>
      <c r="AB92" s="21"/>
      <c r="AC92" s="62" t="s">
        <v>691</v>
      </c>
      <c r="AD92" s="62" t="s">
        <v>3530</v>
      </c>
      <c r="AE92" s="62" t="s">
        <v>3575</v>
      </c>
      <c r="AF92" s="62" t="s">
        <v>3576</v>
      </c>
      <c r="AG92" s="62" t="s">
        <v>3577</v>
      </c>
      <c r="AH92" s="62" t="s">
        <v>53</v>
      </c>
      <c r="AI92" s="65">
        <v>46236.0</v>
      </c>
    </row>
    <row r="93" ht="21.75" customHeight="1">
      <c r="A93" s="62" t="s">
        <v>3578</v>
      </c>
      <c r="B93" s="62" t="s">
        <v>3028</v>
      </c>
      <c r="C93" s="62" t="s">
        <v>33</v>
      </c>
      <c r="D93" s="62" t="s">
        <v>3579</v>
      </c>
      <c r="E93" s="62" t="s">
        <v>3580</v>
      </c>
      <c r="F93" s="62" t="s">
        <v>695</v>
      </c>
      <c r="G93" s="62" t="s">
        <v>3571</v>
      </c>
      <c r="H93" s="62" t="s">
        <v>692</v>
      </c>
      <c r="J93" s="62" t="s">
        <v>107</v>
      </c>
      <c r="K93" s="63" t="b">
        <v>0</v>
      </c>
      <c r="L93" s="21"/>
      <c r="M93" s="62" t="s">
        <v>3028</v>
      </c>
      <c r="N93" s="62" t="s">
        <v>33</v>
      </c>
      <c r="O93" s="62" t="s">
        <v>3028</v>
      </c>
      <c r="P93" s="62" t="s">
        <v>33</v>
      </c>
      <c r="Q93" s="63" t="s">
        <v>3033</v>
      </c>
      <c r="R93" s="63" t="s">
        <v>3033</v>
      </c>
      <c r="S93" s="63" t="s">
        <v>3033</v>
      </c>
      <c r="T93" s="21"/>
      <c r="U93" s="21"/>
      <c r="V93" s="62" t="s">
        <v>694</v>
      </c>
      <c r="W93" s="62" t="s">
        <v>3082</v>
      </c>
      <c r="X93" s="21"/>
      <c r="Y93" s="21"/>
      <c r="Z93" s="21"/>
      <c r="AA93" s="21"/>
      <c r="AB93" s="21"/>
      <c r="AC93" s="62" t="s">
        <v>696</v>
      </c>
      <c r="AD93" s="62" t="s">
        <v>3530</v>
      </c>
      <c r="AE93" s="62" t="s">
        <v>3575</v>
      </c>
      <c r="AF93" s="62" t="s">
        <v>3576</v>
      </c>
      <c r="AG93" s="62" t="s">
        <v>3577</v>
      </c>
      <c r="AH93" s="62" t="s">
        <v>53</v>
      </c>
      <c r="AI93" s="63" t="s">
        <v>3033</v>
      </c>
    </row>
    <row r="94" ht="21.75" customHeight="1">
      <c r="A94" s="62" t="s">
        <v>3585</v>
      </c>
      <c r="B94" s="62" t="s">
        <v>3028</v>
      </c>
      <c r="C94" s="62" t="s">
        <v>33</v>
      </c>
      <c r="D94" s="62" t="s">
        <v>3586</v>
      </c>
      <c r="E94" s="62" t="s">
        <v>3587</v>
      </c>
      <c r="F94" s="62" t="s">
        <v>702</v>
      </c>
      <c r="G94" s="62" t="s">
        <v>3571</v>
      </c>
      <c r="H94" s="62" t="s">
        <v>692</v>
      </c>
      <c r="J94" s="21"/>
      <c r="K94" s="63" t="b">
        <v>0</v>
      </c>
      <c r="L94" s="21"/>
      <c r="M94" s="62" t="s">
        <v>3028</v>
      </c>
      <c r="N94" s="62" t="s">
        <v>33</v>
      </c>
      <c r="O94" s="62" t="s">
        <v>3028</v>
      </c>
      <c r="P94" s="62" t="s">
        <v>33</v>
      </c>
      <c r="Q94" s="63" t="s">
        <v>3033</v>
      </c>
      <c r="R94" s="63" t="s">
        <v>3033</v>
      </c>
      <c r="S94" s="63" t="s">
        <v>3033</v>
      </c>
      <c r="T94" s="21"/>
      <c r="U94" s="21"/>
      <c r="V94" s="62" t="s">
        <v>700</v>
      </c>
      <c r="W94" s="62" t="s">
        <v>3082</v>
      </c>
      <c r="X94" s="21"/>
      <c r="Y94" s="21"/>
      <c r="Z94" s="21"/>
      <c r="AA94" s="21"/>
      <c r="AB94" s="21"/>
      <c r="AC94" s="62" t="s">
        <v>703</v>
      </c>
      <c r="AD94" s="62" t="s">
        <v>3530</v>
      </c>
      <c r="AE94" s="62" t="s">
        <v>3575</v>
      </c>
      <c r="AF94" s="62" t="s">
        <v>3576</v>
      </c>
      <c r="AG94" s="62" t="s">
        <v>3577</v>
      </c>
      <c r="AH94" s="62" t="s">
        <v>53</v>
      </c>
      <c r="AI94" s="63" t="s">
        <v>3033</v>
      </c>
    </row>
    <row r="95" ht="21.75" customHeight="1">
      <c r="A95" s="62" t="s">
        <v>3589</v>
      </c>
      <c r="B95" s="62" t="s">
        <v>3028</v>
      </c>
      <c r="C95" s="62" t="s">
        <v>33</v>
      </c>
      <c r="D95" s="62" t="s">
        <v>3591</v>
      </c>
      <c r="E95" s="62" t="s">
        <v>3593</v>
      </c>
      <c r="F95" s="62" t="s">
        <v>706</v>
      </c>
      <c r="G95" s="62" t="s">
        <v>3571</v>
      </c>
      <c r="H95" s="62" t="s">
        <v>692</v>
      </c>
      <c r="J95" s="62" t="s">
        <v>107</v>
      </c>
      <c r="K95" s="63" t="b">
        <v>0</v>
      </c>
      <c r="L95" s="21"/>
      <c r="M95" s="62" t="s">
        <v>3028</v>
      </c>
      <c r="N95" s="62" t="s">
        <v>33</v>
      </c>
      <c r="O95" s="62" t="s">
        <v>3028</v>
      </c>
      <c r="P95" s="62" t="s">
        <v>33</v>
      </c>
      <c r="Q95" s="63" t="s">
        <v>3033</v>
      </c>
      <c r="R95" s="63" t="s">
        <v>3033</v>
      </c>
      <c r="S95" s="63" t="s">
        <v>3033</v>
      </c>
      <c r="T95" s="21"/>
      <c r="U95" s="21"/>
      <c r="V95" s="62" t="s">
        <v>705</v>
      </c>
      <c r="W95" s="62" t="s">
        <v>3082</v>
      </c>
      <c r="X95" s="21"/>
      <c r="Y95" s="21"/>
      <c r="Z95" s="21"/>
      <c r="AA95" s="21"/>
      <c r="AB95" s="21"/>
      <c r="AC95" s="62" t="s">
        <v>403</v>
      </c>
      <c r="AD95" s="62" t="s">
        <v>3530</v>
      </c>
      <c r="AE95" s="62" t="s">
        <v>3575</v>
      </c>
      <c r="AF95" s="62" t="s">
        <v>3576</v>
      </c>
      <c r="AG95" s="62" t="s">
        <v>3577</v>
      </c>
      <c r="AH95" s="62" t="s">
        <v>53</v>
      </c>
      <c r="AI95" s="63" t="s">
        <v>3033</v>
      </c>
    </row>
    <row r="96" ht="21.75" customHeight="1">
      <c r="A96" s="62" t="s">
        <v>3596</v>
      </c>
      <c r="B96" s="62" t="s">
        <v>3028</v>
      </c>
      <c r="C96" s="62" t="s">
        <v>33</v>
      </c>
      <c r="D96" s="62" t="s">
        <v>3597</v>
      </c>
      <c r="E96" s="62" t="s">
        <v>3598</v>
      </c>
      <c r="F96" s="62" t="s">
        <v>712</v>
      </c>
      <c r="G96" s="62" t="s">
        <v>3571</v>
      </c>
      <c r="H96" s="62" t="s">
        <v>692</v>
      </c>
      <c r="J96" s="63" t="str">
        <f>+1 202-324-9842</f>
        <v>#ERROR!</v>
      </c>
      <c r="K96" s="63" t="b">
        <v>0</v>
      </c>
      <c r="L96" s="21"/>
      <c r="M96" s="62" t="s">
        <v>3028</v>
      </c>
      <c r="N96" s="62" t="s">
        <v>33</v>
      </c>
      <c r="O96" s="62" t="s">
        <v>3028</v>
      </c>
      <c r="P96" s="62" t="s">
        <v>33</v>
      </c>
      <c r="Q96" s="63" t="s">
        <v>3033</v>
      </c>
      <c r="R96" s="63" t="s">
        <v>3033</v>
      </c>
      <c r="S96" s="63" t="s">
        <v>3033</v>
      </c>
      <c r="T96" s="21"/>
      <c r="U96" s="21"/>
      <c r="V96" s="62" t="s">
        <v>711</v>
      </c>
      <c r="W96" s="62" t="s">
        <v>3082</v>
      </c>
      <c r="X96" s="21"/>
      <c r="Y96" s="21"/>
      <c r="Z96" s="21"/>
      <c r="AA96" s="21"/>
      <c r="AB96" s="21"/>
      <c r="AC96" s="62" t="s">
        <v>395</v>
      </c>
      <c r="AD96" s="62" t="s">
        <v>3530</v>
      </c>
      <c r="AE96" s="62" t="s">
        <v>3575</v>
      </c>
      <c r="AF96" s="62" t="s">
        <v>3576</v>
      </c>
      <c r="AG96" s="62" t="s">
        <v>3577</v>
      </c>
      <c r="AH96" s="62" t="s">
        <v>53</v>
      </c>
      <c r="AI96" s="63" t="s">
        <v>3033</v>
      </c>
    </row>
    <row r="97" ht="21.75" customHeight="1">
      <c r="A97" s="62" t="s">
        <v>3602</v>
      </c>
      <c r="B97" s="62" t="s">
        <v>3028</v>
      </c>
      <c r="C97" s="62" t="s">
        <v>33</v>
      </c>
      <c r="D97" s="62" t="s">
        <v>3604</v>
      </c>
      <c r="E97" s="62" t="s">
        <v>3606</v>
      </c>
      <c r="F97" s="62" t="s">
        <v>716</v>
      </c>
      <c r="G97" s="62" t="s">
        <v>3608</v>
      </c>
      <c r="H97" s="62" t="s">
        <v>717</v>
      </c>
      <c r="J97" s="62" t="s">
        <v>107</v>
      </c>
      <c r="K97" s="63" t="b">
        <v>0</v>
      </c>
      <c r="L97" s="21"/>
      <c r="M97" s="62" t="s">
        <v>3028</v>
      </c>
      <c r="N97" s="62" t="s">
        <v>33</v>
      </c>
      <c r="O97" s="62" t="s">
        <v>3028</v>
      </c>
      <c r="P97" s="62" t="s">
        <v>33</v>
      </c>
      <c r="Q97" s="63" t="s">
        <v>3033</v>
      </c>
      <c r="R97" s="63" t="s">
        <v>3033</v>
      </c>
      <c r="S97" s="63" t="s">
        <v>3033</v>
      </c>
      <c r="T97" s="21"/>
      <c r="U97" s="21"/>
      <c r="V97" s="62" t="s">
        <v>715</v>
      </c>
      <c r="W97" s="62" t="s">
        <v>3082</v>
      </c>
      <c r="X97" s="21"/>
      <c r="Y97" s="21"/>
      <c r="Z97" s="21"/>
      <c r="AA97" s="21"/>
      <c r="AB97" s="21"/>
      <c r="AC97" s="62" t="s">
        <v>403</v>
      </c>
      <c r="AD97" s="62" t="s">
        <v>3530</v>
      </c>
      <c r="AE97" s="62" t="s">
        <v>3611</v>
      </c>
      <c r="AF97" s="62" t="s">
        <v>3613</v>
      </c>
      <c r="AG97" s="62" t="s">
        <v>3614</v>
      </c>
      <c r="AH97" s="62" t="s">
        <v>3525</v>
      </c>
      <c r="AI97" s="63" t="s">
        <v>3033</v>
      </c>
    </row>
    <row r="98" ht="21.75" customHeight="1">
      <c r="A98" s="62" t="s">
        <v>3615</v>
      </c>
      <c r="B98" s="62" t="s">
        <v>3028</v>
      </c>
      <c r="C98" s="62" t="s">
        <v>33</v>
      </c>
      <c r="D98" s="62" t="s">
        <v>3616</v>
      </c>
      <c r="E98" s="62" t="s">
        <v>3617</v>
      </c>
      <c r="F98" s="62" t="s">
        <v>723</v>
      </c>
      <c r="G98" s="62" t="s">
        <v>3608</v>
      </c>
      <c r="H98" s="62" t="s">
        <v>717</v>
      </c>
      <c r="J98" s="62" t="s">
        <v>107</v>
      </c>
      <c r="K98" s="63" t="b">
        <v>0</v>
      </c>
      <c r="L98" s="21"/>
      <c r="M98" s="62" t="s">
        <v>3028</v>
      </c>
      <c r="N98" s="62" t="s">
        <v>33</v>
      </c>
      <c r="O98" s="62" t="s">
        <v>3028</v>
      </c>
      <c r="P98" s="62" t="s">
        <v>33</v>
      </c>
      <c r="Q98" s="63" t="s">
        <v>3033</v>
      </c>
      <c r="R98" s="63" t="s">
        <v>3033</v>
      </c>
      <c r="S98" s="63" t="s">
        <v>3033</v>
      </c>
      <c r="T98" s="21"/>
      <c r="U98" s="21"/>
      <c r="V98" s="62" t="s">
        <v>722</v>
      </c>
      <c r="W98" s="62" t="s">
        <v>3082</v>
      </c>
      <c r="X98" s="21"/>
      <c r="Y98" s="21"/>
      <c r="Z98" s="21"/>
      <c r="AA98" s="21"/>
      <c r="AB98" s="21"/>
      <c r="AC98" s="62" t="s">
        <v>724</v>
      </c>
      <c r="AD98" s="62" t="s">
        <v>3530</v>
      </c>
      <c r="AE98" s="62" t="s">
        <v>3611</v>
      </c>
      <c r="AF98" s="62" t="s">
        <v>3613</v>
      </c>
      <c r="AG98" s="62" t="s">
        <v>3614</v>
      </c>
      <c r="AH98" s="62" t="s">
        <v>3525</v>
      </c>
      <c r="AI98" s="63" t="s">
        <v>3033</v>
      </c>
    </row>
    <row r="99" ht="21.75" customHeight="1">
      <c r="A99" s="62" t="s">
        <v>3622</v>
      </c>
      <c r="B99" s="62" t="s">
        <v>3028</v>
      </c>
      <c r="C99" s="62" t="s">
        <v>33</v>
      </c>
      <c r="D99" s="62" t="s">
        <v>3623</v>
      </c>
      <c r="E99" s="62" t="s">
        <v>3624</v>
      </c>
      <c r="G99" s="62" t="s">
        <v>3608</v>
      </c>
      <c r="H99" s="62" t="s">
        <v>717</v>
      </c>
      <c r="J99" s="62" t="s">
        <v>107</v>
      </c>
      <c r="K99" s="63" t="b">
        <v>0</v>
      </c>
      <c r="L99" s="21"/>
      <c r="M99" s="62" t="s">
        <v>3028</v>
      </c>
      <c r="N99" s="62" t="s">
        <v>33</v>
      </c>
      <c r="O99" s="62" t="s">
        <v>3028</v>
      </c>
      <c r="P99" s="62" t="s">
        <v>33</v>
      </c>
      <c r="Q99" s="63" t="s">
        <v>3033</v>
      </c>
      <c r="R99" s="63" t="s">
        <v>3033</v>
      </c>
      <c r="S99" s="63" t="s">
        <v>3033</v>
      </c>
      <c r="T99" s="21"/>
      <c r="U99" s="21"/>
      <c r="V99" s="62" t="s">
        <v>726</v>
      </c>
      <c r="W99" s="62" t="s">
        <v>3082</v>
      </c>
      <c r="X99" s="21"/>
      <c r="Y99" s="21"/>
      <c r="Z99" s="21"/>
      <c r="AA99" s="21"/>
      <c r="AB99" s="21"/>
      <c r="AC99" s="62" t="s">
        <v>727</v>
      </c>
      <c r="AD99" s="62" t="s">
        <v>3530</v>
      </c>
      <c r="AE99" s="62" t="s">
        <v>3611</v>
      </c>
      <c r="AF99" s="62" t="s">
        <v>3613</v>
      </c>
      <c r="AG99" s="62" t="s">
        <v>3614</v>
      </c>
      <c r="AH99" s="62" t="s">
        <v>3525</v>
      </c>
      <c r="AI99" s="63" t="s">
        <v>3033</v>
      </c>
    </row>
    <row r="100" ht="21.75" customHeight="1">
      <c r="A100" s="62" t="s">
        <v>3628</v>
      </c>
      <c r="B100" s="62" t="s">
        <v>3028</v>
      </c>
      <c r="C100" s="62" t="s">
        <v>33</v>
      </c>
      <c r="D100" s="62" t="s">
        <v>3629</v>
      </c>
      <c r="E100" s="62" t="s">
        <v>3630</v>
      </c>
      <c r="F100" s="21"/>
      <c r="G100" s="62" t="s">
        <v>3608</v>
      </c>
      <c r="H100" s="62" t="s">
        <v>717</v>
      </c>
      <c r="J100" s="62" t="s">
        <v>107</v>
      </c>
      <c r="K100" s="63" t="b">
        <v>0</v>
      </c>
      <c r="L100" s="21"/>
      <c r="M100" s="62" t="s">
        <v>3028</v>
      </c>
      <c r="N100" s="62" t="s">
        <v>33</v>
      </c>
      <c r="O100" s="62" t="s">
        <v>3028</v>
      </c>
      <c r="P100" s="62" t="s">
        <v>33</v>
      </c>
      <c r="Q100" s="63" t="s">
        <v>3033</v>
      </c>
      <c r="R100" s="63" t="s">
        <v>3033</v>
      </c>
      <c r="S100" s="63" t="s">
        <v>3033</v>
      </c>
      <c r="T100" s="21"/>
      <c r="U100" s="21"/>
      <c r="V100" s="62" t="s">
        <v>732</v>
      </c>
      <c r="W100" s="62" t="s">
        <v>3082</v>
      </c>
      <c r="X100" s="21"/>
      <c r="Y100" s="21"/>
      <c r="Z100" s="21"/>
      <c r="AA100" s="21"/>
      <c r="AB100" s="21"/>
      <c r="AC100" s="62" t="s">
        <v>733</v>
      </c>
      <c r="AD100" s="62" t="s">
        <v>3530</v>
      </c>
      <c r="AE100" s="62" t="s">
        <v>3611</v>
      </c>
      <c r="AF100" s="62" t="s">
        <v>3613</v>
      </c>
      <c r="AG100" s="62" t="s">
        <v>3614</v>
      </c>
      <c r="AH100" s="62" t="s">
        <v>3525</v>
      </c>
      <c r="AI100" s="63" t="s">
        <v>3033</v>
      </c>
    </row>
    <row r="101" ht="21.75" customHeight="1">
      <c r="A101" s="62" t="s">
        <v>3631</v>
      </c>
      <c r="B101" s="62" t="s">
        <v>3028</v>
      </c>
      <c r="C101" s="62" t="s">
        <v>33</v>
      </c>
      <c r="D101" s="62" t="s">
        <v>3632</v>
      </c>
      <c r="E101" s="62" t="s">
        <v>3633</v>
      </c>
      <c r="F101" s="62" t="s">
        <v>736</v>
      </c>
      <c r="G101" s="62" t="s">
        <v>3608</v>
      </c>
      <c r="H101" s="62" t="s">
        <v>717</v>
      </c>
      <c r="J101" s="62" t="s">
        <v>107</v>
      </c>
      <c r="K101" s="63" t="b">
        <v>0</v>
      </c>
      <c r="L101" s="21"/>
      <c r="M101" s="62" t="s">
        <v>3028</v>
      </c>
      <c r="N101" s="62" t="s">
        <v>33</v>
      </c>
      <c r="O101" s="62" t="s">
        <v>3028</v>
      </c>
      <c r="P101" s="62" t="s">
        <v>33</v>
      </c>
      <c r="Q101" s="63" t="s">
        <v>3033</v>
      </c>
      <c r="R101" s="63" t="s">
        <v>3033</v>
      </c>
      <c r="S101" s="63" t="s">
        <v>3033</v>
      </c>
      <c r="T101" s="21"/>
      <c r="U101" s="21"/>
      <c r="V101" s="62" t="s">
        <v>735</v>
      </c>
      <c r="W101" s="62" t="s">
        <v>3082</v>
      </c>
      <c r="X101" s="21"/>
      <c r="Y101" s="21"/>
      <c r="Z101" s="21"/>
      <c r="AA101" s="21"/>
      <c r="AB101" s="21"/>
      <c r="AC101" s="62" t="s">
        <v>403</v>
      </c>
      <c r="AD101" s="62" t="s">
        <v>3530</v>
      </c>
      <c r="AE101" s="62" t="s">
        <v>3611</v>
      </c>
      <c r="AF101" s="62" t="s">
        <v>3613</v>
      </c>
      <c r="AG101" s="62" t="s">
        <v>3614</v>
      </c>
      <c r="AH101" s="62" t="s">
        <v>53</v>
      </c>
      <c r="AI101" s="63" t="s">
        <v>3033</v>
      </c>
    </row>
    <row r="102" ht="21.75" customHeight="1">
      <c r="A102" s="62" t="s">
        <v>3637</v>
      </c>
      <c r="B102" s="62" t="s">
        <v>3028</v>
      </c>
      <c r="C102" s="62" t="s">
        <v>33</v>
      </c>
      <c r="D102" s="62" t="s">
        <v>3638</v>
      </c>
      <c r="E102" s="62" t="s">
        <v>3639</v>
      </c>
      <c r="F102" s="62" t="s">
        <v>742</v>
      </c>
      <c r="G102" s="62" t="s">
        <v>3608</v>
      </c>
      <c r="H102" s="62" t="s">
        <v>717</v>
      </c>
      <c r="J102" s="62" t="s">
        <v>107</v>
      </c>
      <c r="K102" s="63" t="b">
        <v>0</v>
      </c>
      <c r="L102" s="21"/>
      <c r="M102" s="62" t="s">
        <v>3028</v>
      </c>
      <c r="N102" s="62" t="s">
        <v>33</v>
      </c>
      <c r="O102" s="62" t="s">
        <v>3028</v>
      </c>
      <c r="P102" s="62" t="s">
        <v>33</v>
      </c>
      <c r="Q102" s="63" t="s">
        <v>3033</v>
      </c>
      <c r="R102" s="63" t="s">
        <v>3033</v>
      </c>
      <c r="S102" s="63" t="s">
        <v>3033</v>
      </c>
      <c r="T102" s="21"/>
      <c r="U102" s="21"/>
      <c r="V102" s="62" t="s">
        <v>741</v>
      </c>
      <c r="W102" s="62" t="s">
        <v>3082</v>
      </c>
      <c r="X102" s="21"/>
      <c r="Y102" s="21"/>
      <c r="Z102" s="21"/>
      <c r="AA102" s="21"/>
      <c r="AB102" s="21"/>
      <c r="AC102" s="62" t="s">
        <v>743</v>
      </c>
      <c r="AD102" s="62" t="s">
        <v>3530</v>
      </c>
      <c r="AE102" s="62" t="s">
        <v>3611</v>
      </c>
      <c r="AF102" s="62" t="s">
        <v>3613</v>
      </c>
      <c r="AG102" s="62" t="s">
        <v>3614</v>
      </c>
      <c r="AH102" s="62" t="s">
        <v>53</v>
      </c>
      <c r="AI102" s="63" t="s">
        <v>3033</v>
      </c>
    </row>
    <row r="103" ht="21.75" customHeight="1">
      <c r="A103" s="62" t="s">
        <v>3644</v>
      </c>
      <c r="B103" s="62" t="s">
        <v>3028</v>
      </c>
      <c r="C103" s="62" t="s">
        <v>33</v>
      </c>
      <c r="D103" s="62" t="s">
        <v>3645</v>
      </c>
      <c r="E103" s="62" t="s">
        <v>3646</v>
      </c>
      <c r="F103" s="21"/>
      <c r="G103" s="62" t="s">
        <v>3608</v>
      </c>
      <c r="H103" s="62" t="s">
        <v>717</v>
      </c>
      <c r="J103" s="62" t="s">
        <v>107</v>
      </c>
      <c r="K103" s="63" t="b">
        <v>0</v>
      </c>
      <c r="L103" s="21"/>
      <c r="M103" s="62" t="s">
        <v>3028</v>
      </c>
      <c r="N103" s="62" t="s">
        <v>33</v>
      </c>
      <c r="O103" s="62" t="s">
        <v>3028</v>
      </c>
      <c r="P103" s="62" t="s">
        <v>33</v>
      </c>
      <c r="Q103" s="63" t="s">
        <v>3033</v>
      </c>
      <c r="R103" s="63" t="s">
        <v>3033</v>
      </c>
      <c r="S103" s="63" t="s">
        <v>3033</v>
      </c>
      <c r="T103" s="21"/>
      <c r="U103" s="21"/>
      <c r="V103" s="62" t="s">
        <v>745</v>
      </c>
      <c r="W103" s="62" t="s">
        <v>3082</v>
      </c>
      <c r="X103" s="21"/>
      <c r="Y103" s="21"/>
      <c r="Z103" s="21"/>
      <c r="AA103" s="21"/>
      <c r="AB103" s="21"/>
      <c r="AC103" s="62" t="s">
        <v>395</v>
      </c>
      <c r="AD103" s="62" t="s">
        <v>3530</v>
      </c>
      <c r="AE103" s="62" t="s">
        <v>3611</v>
      </c>
      <c r="AF103" s="62" t="s">
        <v>3613</v>
      </c>
      <c r="AG103" s="62" t="s">
        <v>3614</v>
      </c>
      <c r="AH103" s="62" t="s">
        <v>3525</v>
      </c>
      <c r="AI103" s="63" t="s">
        <v>3033</v>
      </c>
    </row>
    <row r="104" ht="21.75" customHeight="1">
      <c r="A104" s="62" t="s">
        <v>3649</v>
      </c>
      <c r="B104" s="62" t="s">
        <v>3028</v>
      </c>
      <c r="C104" s="62" t="s">
        <v>33</v>
      </c>
      <c r="D104" s="62" t="s">
        <v>3650</v>
      </c>
      <c r="E104" s="62" t="s">
        <v>3652</v>
      </c>
      <c r="F104" s="21"/>
      <c r="G104" s="62" t="s">
        <v>3608</v>
      </c>
      <c r="H104" s="62" t="s">
        <v>717</v>
      </c>
      <c r="J104" s="62" t="s">
        <v>107</v>
      </c>
      <c r="K104" s="63" t="b">
        <v>0</v>
      </c>
      <c r="L104" s="21"/>
      <c r="M104" s="62" t="s">
        <v>3028</v>
      </c>
      <c r="N104" s="62" t="s">
        <v>33</v>
      </c>
      <c r="O104" s="62" t="s">
        <v>3028</v>
      </c>
      <c r="P104" s="62" t="s">
        <v>33</v>
      </c>
      <c r="Q104" s="63" t="s">
        <v>3033</v>
      </c>
      <c r="R104" s="63" t="s">
        <v>3033</v>
      </c>
      <c r="S104" s="63" t="s">
        <v>3033</v>
      </c>
      <c r="T104" s="21"/>
      <c r="U104" s="21"/>
      <c r="V104" s="62" t="s">
        <v>750</v>
      </c>
      <c r="W104" s="62" t="s">
        <v>3082</v>
      </c>
      <c r="X104" s="21"/>
      <c r="Y104" s="21"/>
      <c r="Z104" s="21"/>
      <c r="AA104" s="21"/>
      <c r="AB104" s="21"/>
      <c r="AC104" s="62" t="s">
        <v>403</v>
      </c>
      <c r="AD104" s="62" t="s">
        <v>3530</v>
      </c>
      <c r="AE104" s="62" t="s">
        <v>3611</v>
      </c>
      <c r="AF104" s="62" t="s">
        <v>3613</v>
      </c>
      <c r="AG104" s="62" t="s">
        <v>3614</v>
      </c>
      <c r="AH104" s="62" t="s">
        <v>3525</v>
      </c>
      <c r="AI104" s="63" t="s">
        <v>3033</v>
      </c>
    </row>
    <row r="105" ht="21.75" customHeight="1">
      <c r="A105" s="62" t="s">
        <v>3653</v>
      </c>
      <c r="B105" s="62" t="s">
        <v>3028</v>
      </c>
      <c r="C105" s="62" t="s">
        <v>33</v>
      </c>
      <c r="D105" s="62" t="s">
        <v>3654</v>
      </c>
      <c r="E105" s="62" t="s">
        <v>3655</v>
      </c>
      <c r="F105" s="21"/>
      <c r="G105" s="62" t="s">
        <v>3608</v>
      </c>
      <c r="H105" s="62" t="s">
        <v>717</v>
      </c>
      <c r="J105" s="62" t="s">
        <v>107</v>
      </c>
      <c r="K105" s="63" t="b">
        <v>0</v>
      </c>
      <c r="L105" s="21"/>
      <c r="M105" s="62" t="s">
        <v>3028</v>
      </c>
      <c r="N105" s="62" t="s">
        <v>33</v>
      </c>
      <c r="O105" s="62" t="s">
        <v>3028</v>
      </c>
      <c r="P105" s="62" t="s">
        <v>33</v>
      </c>
      <c r="Q105" s="63" t="s">
        <v>3033</v>
      </c>
      <c r="R105" s="63" t="s">
        <v>3033</v>
      </c>
      <c r="S105" s="63" t="s">
        <v>3033</v>
      </c>
      <c r="T105" s="21"/>
      <c r="U105" s="21"/>
      <c r="V105" s="62" t="s">
        <v>753</v>
      </c>
      <c r="W105" s="62" t="s">
        <v>3082</v>
      </c>
      <c r="X105" s="21"/>
      <c r="Y105" s="21"/>
      <c r="Z105" s="21"/>
      <c r="AA105" s="21"/>
      <c r="AB105" s="21"/>
      <c r="AC105" s="62" t="s">
        <v>395</v>
      </c>
      <c r="AD105" s="62" t="s">
        <v>3530</v>
      </c>
      <c r="AE105" s="62" t="s">
        <v>3611</v>
      </c>
      <c r="AF105" s="62" t="s">
        <v>3613</v>
      </c>
      <c r="AG105" s="62" t="s">
        <v>3614</v>
      </c>
      <c r="AH105" s="62" t="s">
        <v>3525</v>
      </c>
      <c r="AI105" s="63" t="s">
        <v>3033</v>
      </c>
    </row>
    <row r="106" ht="21.75" customHeight="1">
      <c r="A106" s="62" t="s">
        <v>3659</v>
      </c>
      <c r="B106" s="62" t="s">
        <v>3028</v>
      </c>
      <c r="C106" s="62" t="s">
        <v>33</v>
      </c>
      <c r="D106" s="62" t="s">
        <v>3660</v>
      </c>
      <c r="E106" s="62" t="s">
        <v>3661</v>
      </c>
      <c r="F106" s="21"/>
      <c r="G106" s="62" t="s">
        <v>3608</v>
      </c>
      <c r="H106" s="62" t="s">
        <v>717</v>
      </c>
      <c r="J106" s="64">
        <v>9.52E9</v>
      </c>
      <c r="K106" s="63" t="b">
        <v>0</v>
      </c>
      <c r="L106" s="21"/>
      <c r="M106" s="62" t="s">
        <v>3028</v>
      </c>
      <c r="N106" s="62" t="s">
        <v>33</v>
      </c>
      <c r="O106" s="62" t="s">
        <v>3028</v>
      </c>
      <c r="P106" s="62" t="s">
        <v>33</v>
      </c>
      <c r="Q106" s="63" t="s">
        <v>3033</v>
      </c>
      <c r="R106" s="63" t="s">
        <v>3033</v>
      </c>
      <c r="S106" s="63" t="s">
        <v>3033</v>
      </c>
      <c r="T106" s="21"/>
      <c r="U106" s="21"/>
      <c r="V106" s="62" t="s">
        <v>758</v>
      </c>
      <c r="W106" s="62" t="s">
        <v>3082</v>
      </c>
      <c r="X106" s="21"/>
      <c r="Y106" s="21"/>
      <c r="Z106" s="21"/>
      <c r="AA106" s="21"/>
      <c r="AB106" s="21"/>
      <c r="AC106" s="62" t="s">
        <v>426</v>
      </c>
      <c r="AD106" s="62" t="s">
        <v>3530</v>
      </c>
      <c r="AE106" s="62" t="s">
        <v>3611</v>
      </c>
      <c r="AF106" s="62" t="s">
        <v>3613</v>
      </c>
      <c r="AG106" s="62" t="s">
        <v>3614</v>
      </c>
      <c r="AH106" s="62" t="s">
        <v>3525</v>
      </c>
      <c r="AI106" s="63" t="s">
        <v>3033</v>
      </c>
    </row>
    <row r="107" ht="21.75" customHeight="1">
      <c r="A107" s="62" t="s">
        <v>3664</v>
      </c>
      <c r="B107" s="62" t="s">
        <v>3028</v>
      </c>
      <c r="C107" s="62" t="s">
        <v>33</v>
      </c>
      <c r="D107" s="62" t="s">
        <v>3665</v>
      </c>
      <c r="E107" s="62" t="s">
        <v>3666</v>
      </c>
      <c r="F107" s="21"/>
      <c r="G107" s="62" t="s">
        <v>3608</v>
      </c>
      <c r="H107" s="62" t="s">
        <v>717</v>
      </c>
      <c r="J107" s="62" t="s">
        <v>107</v>
      </c>
      <c r="K107" s="63" t="b">
        <v>0</v>
      </c>
      <c r="L107" s="21"/>
      <c r="M107" s="62" t="s">
        <v>3028</v>
      </c>
      <c r="N107" s="62" t="s">
        <v>33</v>
      </c>
      <c r="O107" s="62" t="s">
        <v>3028</v>
      </c>
      <c r="P107" s="62" t="s">
        <v>33</v>
      </c>
      <c r="Q107" s="63" t="s">
        <v>3033</v>
      </c>
      <c r="R107" s="63" t="s">
        <v>3033</v>
      </c>
      <c r="S107" s="63" t="s">
        <v>3033</v>
      </c>
      <c r="T107" s="21"/>
      <c r="U107" s="21"/>
      <c r="V107" s="62" t="s">
        <v>763</v>
      </c>
      <c r="W107" s="62" t="s">
        <v>3082</v>
      </c>
      <c r="X107" s="21"/>
      <c r="Y107" s="21"/>
      <c r="Z107" s="21"/>
      <c r="AA107" s="21"/>
      <c r="AB107" s="21"/>
      <c r="AC107" s="62" t="s">
        <v>764</v>
      </c>
      <c r="AD107" s="62" t="s">
        <v>3530</v>
      </c>
      <c r="AE107" s="62" t="s">
        <v>3611</v>
      </c>
      <c r="AF107" s="62" t="s">
        <v>3613</v>
      </c>
      <c r="AG107" s="62" t="s">
        <v>3614</v>
      </c>
      <c r="AH107" s="62" t="s">
        <v>3525</v>
      </c>
      <c r="AI107" s="63" t="s">
        <v>3033</v>
      </c>
    </row>
    <row r="108" ht="21.75" customHeight="1">
      <c r="A108" s="62" t="s">
        <v>3668</v>
      </c>
      <c r="B108" s="62" t="s">
        <v>3028</v>
      </c>
      <c r="C108" s="62" t="s">
        <v>33</v>
      </c>
      <c r="D108" s="62" t="s">
        <v>3669</v>
      </c>
      <c r="E108" s="62" t="s">
        <v>3670</v>
      </c>
      <c r="F108" s="21"/>
      <c r="G108" s="62" t="s">
        <v>3608</v>
      </c>
      <c r="H108" s="62" t="s">
        <v>717</v>
      </c>
      <c r="J108" s="62" t="s">
        <v>107</v>
      </c>
      <c r="K108" s="63" t="b">
        <v>0</v>
      </c>
      <c r="L108" s="21"/>
      <c r="M108" s="62" t="s">
        <v>3028</v>
      </c>
      <c r="N108" s="62" t="s">
        <v>33</v>
      </c>
      <c r="O108" s="62" t="s">
        <v>3028</v>
      </c>
      <c r="P108" s="62" t="s">
        <v>33</v>
      </c>
      <c r="Q108" s="63" t="s">
        <v>3033</v>
      </c>
      <c r="R108" s="63" t="s">
        <v>3033</v>
      </c>
      <c r="S108" s="63" t="s">
        <v>3033</v>
      </c>
      <c r="T108" s="21"/>
      <c r="U108" s="21"/>
      <c r="V108" s="62" t="s">
        <v>766</v>
      </c>
      <c r="W108" s="62" t="s">
        <v>3082</v>
      </c>
      <c r="X108" s="21"/>
      <c r="Y108" s="21"/>
      <c r="Z108" s="21"/>
      <c r="AA108" s="21"/>
      <c r="AB108" s="21"/>
      <c r="AC108" s="62" t="s">
        <v>768</v>
      </c>
      <c r="AD108" s="62" t="s">
        <v>3530</v>
      </c>
      <c r="AE108" s="62" t="s">
        <v>3611</v>
      </c>
      <c r="AF108" s="62" t="s">
        <v>3613</v>
      </c>
      <c r="AG108" s="62" t="s">
        <v>3614</v>
      </c>
      <c r="AH108" s="62" t="s">
        <v>3525</v>
      </c>
      <c r="AI108" s="63" t="s">
        <v>3033</v>
      </c>
    </row>
    <row r="109" ht="21.75" customHeight="1">
      <c r="A109" s="62" t="s">
        <v>3674</v>
      </c>
      <c r="B109" s="62" t="s">
        <v>3028</v>
      </c>
      <c r="C109" s="62" t="s">
        <v>33</v>
      </c>
      <c r="D109" s="62" t="s">
        <v>3675</v>
      </c>
      <c r="E109" s="62" t="s">
        <v>3676</v>
      </c>
      <c r="F109" s="21"/>
      <c r="G109" s="62" t="s">
        <v>3608</v>
      </c>
      <c r="H109" s="62" t="s">
        <v>717</v>
      </c>
      <c r="J109" s="62" t="s">
        <v>107</v>
      </c>
      <c r="K109" s="63" t="b">
        <v>0</v>
      </c>
      <c r="L109" s="21"/>
      <c r="M109" s="62" t="s">
        <v>3028</v>
      </c>
      <c r="N109" s="62" t="s">
        <v>33</v>
      </c>
      <c r="O109" s="62" t="s">
        <v>3028</v>
      </c>
      <c r="P109" s="62" t="s">
        <v>33</v>
      </c>
      <c r="Q109" s="63" t="s">
        <v>3033</v>
      </c>
      <c r="R109" s="63" t="s">
        <v>3033</v>
      </c>
      <c r="S109" s="63" t="s">
        <v>3033</v>
      </c>
      <c r="T109" s="21"/>
      <c r="U109" s="21"/>
      <c r="V109" s="62" t="s">
        <v>770</v>
      </c>
      <c r="W109" s="62" t="s">
        <v>3082</v>
      </c>
      <c r="X109" s="21"/>
      <c r="Y109" s="21"/>
      <c r="Z109" s="21"/>
      <c r="AA109" s="21"/>
      <c r="AB109" s="21"/>
      <c r="AC109" s="62" t="s">
        <v>403</v>
      </c>
      <c r="AD109" s="62" t="s">
        <v>3530</v>
      </c>
      <c r="AE109" s="62" t="s">
        <v>3611</v>
      </c>
      <c r="AF109" s="62" t="s">
        <v>3613</v>
      </c>
      <c r="AG109" s="62" t="s">
        <v>3614</v>
      </c>
      <c r="AH109" s="62" t="s">
        <v>3525</v>
      </c>
      <c r="AI109" s="63" t="s">
        <v>3033</v>
      </c>
    </row>
    <row r="110" ht="21.75" customHeight="1">
      <c r="A110" s="62" t="s">
        <v>3677</v>
      </c>
      <c r="B110" s="62" t="s">
        <v>3028</v>
      </c>
      <c r="C110" s="62" t="s">
        <v>33</v>
      </c>
      <c r="D110" s="62" t="s">
        <v>3678</v>
      </c>
      <c r="E110" s="62" t="s">
        <v>3679</v>
      </c>
      <c r="F110" s="21"/>
      <c r="G110" s="62" t="s">
        <v>3608</v>
      </c>
      <c r="H110" s="62" t="s">
        <v>717</v>
      </c>
      <c r="J110" s="62" t="s">
        <v>107</v>
      </c>
      <c r="K110" s="63" t="b">
        <v>0</v>
      </c>
      <c r="L110" s="21"/>
      <c r="M110" s="62" t="s">
        <v>3028</v>
      </c>
      <c r="N110" s="62" t="s">
        <v>33</v>
      </c>
      <c r="O110" s="62" t="s">
        <v>3028</v>
      </c>
      <c r="P110" s="62" t="s">
        <v>33</v>
      </c>
      <c r="Q110" s="63" t="s">
        <v>3033</v>
      </c>
      <c r="R110" s="63" t="s">
        <v>3033</v>
      </c>
      <c r="S110" s="63" t="s">
        <v>3033</v>
      </c>
      <c r="T110" s="21"/>
      <c r="U110" s="21"/>
      <c r="V110" s="62" t="s">
        <v>775</v>
      </c>
      <c r="W110" s="62" t="s">
        <v>3082</v>
      </c>
      <c r="X110" s="21"/>
      <c r="Y110" s="21"/>
      <c r="Z110" s="21"/>
      <c r="AA110" s="21"/>
      <c r="AB110" s="21"/>
      <c r="AC110" s="62" t="s">
        <v>776</v>
      </c>
      <c r="AD110" s="62" t="s">
        <v>3530</v>
      </c>
      <c r="AE110" s="62" t="s">
        <v>3611</v>
      </c>
      <c r="AF110" s="62" t="s">
        <v>3613</v>
      </c>
      <c r="AG110" s="62" t="s">
        <v>3614</v>
      </c>
      <c r="AH110" s="62" t="s">
        <v>3525</v>
      </c>
      <c r="AI110" s="63" t="s">
        <v>3033</v>
      </c>
    </row>
    <row r="111" ht="21.75" customHeight="1">
      <c r="A111" s="62" t="s">
        <v>3684</v>
      </c>
      <c r="B111" s="62" t="s">
        <v>3028</v>
      </c>
      <c r="C111" s="62" t="s">
        <v>33</v>
      </c>
      <c r="D111" s="62" t="s">
        <v>3685</v>
      </c>
      <c r="E111" s="62" t="s">
        <v>3686</v>
      </c>
      <c r="F111" s="21"/>
      <c r="G111" s="62" t="s">
        <v>3608</v>
      </c>
      <c r="H111" s="62" t="s">
        <v>717</v>
      </c>
      <c r="J111" s="62" t="s">
        <v>107</v>
      </c>
      <c r="K111" s="63" t="b">
        <v>0</v>
      </c>
      <c r="L111" s="21"/>
      <c r="M111" s="62" t="s">
        <v>3028</v>
      </c>
      <c r="N111" s="62" t="s">
        <v>33</v>
      </c>
      <c r="O111" s="62" t="s">
        <v>3028</v>
      </c>
      <c r="P111" s="62" t="s">
        <v>33</v>
      </c>
      <c r="Q111" s="63" t="s">
        <v>3033</v>
      </c>
      <c r="R111" s="63" t="s">
        <v>3033</v>
      </c>
      <c r="S111" s="63" t="s">
        <v>3033</v>
      </c>
      <c r="T111" s="21"/>
      <c r="U111" s="21"/>
      <c r="V111" s="62" t="s">
        <v>779</v>
      </c>
      <c r="W111" s="62" t="s">
        <v>3082</v>
      </c>
      <c r="X111" s="21"/>
      <c r="Y111" s="21"/>
      <c r="Z111" s="21"/>
      <c r="AA111" s="21"/>
      <c r="AB111" s="21"/>
      <c r="AC111" s="62" t="s">
        <v>403</v>
      </c>
      <c r="AD111" s="62" t="s">
        <v>3530</v>
      </c>
      <c r="AE111" s="62" t="s">
        <v>3611</v>
      </c>
      <c r="AF111" s="62" t="s">
        <v>3613</v>
      </c>
      <c r="AG111" s="62" t="s">
        <v>3614</v>
      </c>
      <c r="AH111" s="62" t="s">
        <v>3525</v>
      </c>
      <c r="AI111" s="63" t="s">
        <v>3033</v>
      </c>
    </row>
    <row r="112" ht="21.75" customHeight="1">
      <c r="A112" s="62" t="s">
        <v>3690</v>
      </c>
      <c r="B112" s="62" t="s">
        <v>3028</v>
      </c>
      <c r="C112" s="62" t="s">
        <v>33</v>
      </c>
      <c r="D112" s="62" t="s">
        <v>3691</v>
      </c>
      <c r="E112" s="62" t="s">
        <v>3692</v>
      </c>
      <c r="F112" s="21"/>
      <c r="G112" s="62" t="s">
        <v>3608</v>
      </c>
      <c r="H112" s="62" t="s">
        <v>717</v>
      </c>
      <c r="J112" s="62" t="s">
        <v>107</v>
      </c>
      <c r="K112" s="63" t="b">
        <v>0</v>
      </c>
      <c r="L112" s="21"/>
      <c r="M112" s="62" t="s">
        <v>3028</v>
      </c>
      <c r="N112" s="62" t="s">
        <v>33</v>
      </c>
      <c r="O112" s="62" t="s">
        <v>3028</v>
      </c>
      <c r="P112" s="62" t="s">
        <v>33</v>
      </c>
      <c r="Q112" s="63" t="s">
        <v>3033</v>
      </c>
      <c r="R112" s="63" t="s">
        <v>3033</v>
      </c>
      <c r="S112" s="63" t="s">
        <v>3033</v>
      </c>
      <c r="T112" s="21"/>
      <c r="U112" s="21"/>
      <c r="V112" s="62" t="s">
        <v>784</v>
      </c>
      <c r="W112" s="62" t="s">
        <v>3082</v>
      </c>
      <c r="X112" s="21"/>
      <c r="Y112" s="21"/>
      <c r="Z112" s="21"/>
      <c r="AA112" s="21"/>
      <c r="AB112" s="21"/>
      <c r="AC112" s="62" t="s">
        <v>785</v>
      </c>
      <c r="AD112" s="62" t="s">
        <v>3530</v>
      </c>
      <c r="AE112" s="62" t="s">
        <v>3611</v>
      </c>
      <c r="AF112" s="62" t="s">
        <v>3613</v>
      </c>
      <c r="AG112" s="62" t="s">
        <v>3614</v>
      </c>
      <c r="AH112" s="62" t="s">
        <v>3525</v>
      </c>
      <c r="AI112" s="63" t="s">
        <v>3033</v>
      </c>
    </row>
    <row r="113" ht="21.75" customHeight="1">
      <c r="A113" s="62" t="s">
        <v>3697</v>
      </c>
      <c r="B113" s="62" t="s">
        <v>3028</v>
      </c>
      <c r="C113" s="62" t="s">
        <v>33</v>
      </c>
      <c r="D113" s="62" t="s">
        <v>3698</v>
      </c>
      <c r="E113" s="62" t="s">
        <v>3699</v>
      </c>
      <c r="F113" s="21"/>
      <c r="G113" s="62" t="s">
        <v>3608</v>
      </c>
      <c r="H113" s="62" t="s">
        <v>717</v>
      </c>
      <c r="J113" s="62" t="s">
        <v>107</v>
      </c>
      <c r="K113" s="63" t="b">
        <v>0</v>
      </c>
      <c r="L113" s="21"/>
      <c r="M113" s="62" t="s">
        <v>3028</v>
      </c>
      <c r="N113" s="62" t="s">
        <v>33</v>
      </c>
      <c r="O113" s="62" t="s">
        <v>3028</v>
      </c>
      <c r="P113" s="62" t="s">
        <v>33</v>
      </c>
      <c r="Q113" s="63" t="s">
        <v>3033</v>
      </c>
      <c r="R113" s="63" t="s">
        <v>3033</v>
      </c>
      <c r="S113" s="63" t="s">
        <v>3033</v>
      </c>
      <c r="T113" s="21"/>
      <c r="U113" s="21"/>
      <c r="V113" s="62" t="s">
        <v>790</v>
      </c>
      <c r="W113" s="62" t="s">
        <v>3082</v>
      </c>
      <c r="X113" s="21"/>
      <c r="Y113" s="21"/>
      <c r="Z113" s="21"/>
      <c r="AA113" s="21"/>
      <c r="AB113" s="21"/>
      <c r="AC113" s="62" t="s">
        <v>791</v>
      </c>
      <c r="AD113" s="62" t="s">
        <v>3530</v>
      </c>
      <c r="AE113" s="62" t="s">
        <v>3611</v>
      </c>
      <c r="AF113" s="62" t="s">
        <v>3613</v>
      </c>
      <c r="AG113" s="62" t="s">
        <v>3614</v>
      </c>
      <c r="AH113" s="62" t="s">
        <v>3525</v>
      </c>
      <c r="AI113" s="63" t="s">
        <v>3033</v>
      </c>
    </row>
    <row r="114" ht="21.75" customHeight="1">
      <c r="A114" s="62" t="s">
        <v>3703</v>
      </c>
      <c r="B114" s="62" t="s">
        <v>3028</v>
      </c>
      <c r="C114" s="62" t="s">
        <v>33</v>
      </c>
      <c r="D114" s="62" t="s">
        <v>3704</v>
      </c>
      <c r="E114" s="62" t="s">
        <v>3705</v>
      </c>
      <c r="F114" s="21"/>
      <c r="G114" s="62" t="s">
        <v>3608</v>
      </c>
      <c r="H114" s="62" t="s">
        <v>717</v>
      </c>
      <c r="J114" s="62" t="s">
        <v>107</v>
      </c>
      <c r="K114" s="63" t="b">
        <v>0</v>
      </c>
      <c r="L114" s="21"/>
      <c r="M114" s="62" t="s">
        <v>3028</v>
      </c>
      <c r="N114" s="62" t="s">
        <v>33</v>
      </c>
      <c r="O114" s="62" t="s">
        <v>3028</v>
      </c>
      <c r="P114" s="62" t="s">
        <v>33</v>
      </c>
      <c r="Q114" s="63" t="s">
        <v>3033</v>
      </c>
      <c r="R114" s="63" t="s">
        <v>3033</v>
      </c>
      <c r="S114" s="63" t="s">
        <v>3033</v>
      </c>
      <c r="T114" s="21"/>
      <c r="U114" s="21"/>
      <c r="V114" s="62" t="s">
        <v>797</v>
      </c>
      <c r="W114" s="62" t="s">
        <v>3082</v>
      </c>
      <c r="X114" s="21"/>
      <c r="Y114" s="21"/>
      <c r="Z114" s="21"/>
      <c r="AA114" s="21"/>
      <c r="AB114" s="21"/>
      <c r="AC114" s="62" t="s">
        <v>403</v>
      </c>
      <c r="AD114" s="62" t="s">
        <v>3530</v>
      </c>
      <c r="AE114" s="62" t="s">
        <v>3611</v>
      </c>
      <c r="AF114" s="62" t="s">
        <v>3613</v>
      </c>
      <c r="AG114" s="62" t="s">
        <v>3614</v>
      </c>
      <c r="AH114" s="62" t="s">
        <v>3525</v>
      </c>
      <c r="AI114" s="63" t="s">
        <v>3033</v>
      </c>
    </row>
    <row r="115" ht="21.75" customHeight="1">
      <c r="A115" s="62" t="s">
        <v>3706</v>
      </c>
      <c r="B115" s="62" t="s">
        <v>3028</v>
      </c>
      <c r="C115" s="62" t="s">
        <v>33</v>
      </c>
      <c r="D115" s="62" t="s">
        <v>3707</v>
      </c>
      <c r="E115" s="62" t="s">
        <v>3708</v>
      </c>
      <c r="F115" s="21"/>
      <c r="G115" s="62" t="s">
        <v>3608</v>
      </c>
      <c r="H115" s="62" t="s">
        <v>717</v>
      </c>
      <c r="J115" s="62" t="s">
        <v>107</v>
      </c>
      <c r="K115" s="63" t="b">
        <v>0</v>
      </c>
      <c r="L115" s="21"/>
      <c r="M115" s="62" t="s">
        <v>3028</v>
      </c>
      <c r="N115" s="62" t="s">
        <v>33</v>
      </c>
      <c r="O115" s="62" t="s">
        <v>3028</v>
      </c>
      <c r="P115" s="62" t="s">
        <v>33</v>
      </c>
      <c r="Q115" s="63" t="s">
        <v>3033</v>
      </c>
      <c r="R115" s="63" t="s">
        <v>3033</v>
      </c>
      <c r="S115" s="63" t="s">
        <v>3033</v>
      </c>
      <c r="T115" s="21"/>
      <c r="U115" s="21"/>
      <c r="V115" s="62" t="s">
        <v>799</v>
      </c>
      <c r="W115" s="62" t="s">
        <v>3082</v>
      </c>
      <c r="X115" s="21"/>
      <c r="Y115" s="21"/>
      <c r="Z115" s="21"/>
      <c r="AA115" s="21"/>
      <c r="AB115" s="21"/>
      <c r="AC115" s="62" t="s">
        <v>403</v>
      </c>
      <c r="AD115" s="62" t="s">
        <v>3530</v>
      </c>
      <c r="AE115" s="62" t="s">
        <v>3611</v>
      </c>
      <c r="AF115" s="62" t="s">
        <v>3613</v>
      </c>
      <c r="AG115" s="62" t="s">
        <v>3614</v>
      </c>
      <c r="AH115" s="62" t="s">
        <v>3525</v>
      </c>
      <c r="AI115" s="63" t="s">
        <v>3033</v>
      </c>
    </row>
    <row r="116" ht="21.75" customHeight="1">
      <c r="A116" s="62" t="s">
        <v>3712</v>
      </c>
      <c r="B116" s="62" t="s">
        <v>3028</v>
      </c>
      <c r="C116" s="62" t="s">
        <v>33</v>
      </c>
      <c r="D116" s="62" t="s">
        <v>3713</v>
      </c>
      <c r="E116" s="62" t="s">
        <v>3714</v>
      </c>
      <c r="F116" s="62" t="s">
        <v>806</v>
      </c>
      <c r="G116" s="62" t="s">
        <v>3608</v>
      </c>
      <c r="H116" s="62" t="s">
        <v>717</v>
      </c>
      <c r="J116" s="62" t="s">
        <v>107</v>
      </c>
      <c r="K116" s="63" t="b">
        <v>0</v>
      </c>
      <c r="L116" s="21"/>
      <c r="M116" s="62" t="s">
        <v>3028</v>
      </c>
      <c r="N116" s="62" t="s">
        <v>33</v>
      </c>
      <c r="O116" s="62" t="s">
        <v>3028</v>
      </c>
      <c r="P116" s="62" t="s">
        <v>33</v>
      </c>
      <c r="Q116" s="63" t="s">
        <v>3033</v>
      </c>
      <c r="R116" s="63" t="s">
        <v>3033</v>
      </c>
      <c r="S116" s="63" t="s">
        <v>3033</v>
      </c>
      <c r="T116" s="21"/>
      <c r="U116" s="21"/>
      <c r="V116" s="62" t="s">
        <v>805</v>
      </c>
      <c r="W116" s="62" t="s">
        <v>3082</v>
      </c>
      <c r="X116" s="21"/>
      <c r="Y116" s="21"/>
      <c r="Z116" s="21"/>
      <c r="AA116" s="21"/>
      <c r="AB116" s="21"/>
      <c r="AC116" s="62" t="s">
        <v>807</v>
      </c>
      <c r="AD116" s="62" t="s">
        <v>3530</v>
      </c>
      <c r="AE116" s="62" t="s">
        <v>3611</v>
      </c>
      <c r="AF116" s="62" t="s">
        <v>3613</v>
      </c>
      <c r="AG116" s="62" t="s">
        <v>3614</v>
      </c>
      <c r="AH116" s="62" t="s">
        <v>53</v>
      </c>
      <c r="AI116" s="63" t="s">
        <v>3033</v>
      </c>
    </row>
    <row r="117" ht="21.75" customHeight="1">
      <c r="A117" s="62" t="s">
        <v>3718</v>
      </c>
      <c r="B117" s="62" t="s">
        <v>3028</v>
      </c>
      <c r="C117" s="62" t="s">
        <v>33</v>
      </c>
      <c r="D117" s="62" t="s">
        <v>3719</v>
      </c>
      <c r="E117" s="62" t="s">
        <v>3720</v>
      </c>
      <c r="F117" s="21"/>
      <c r="G117" s="62" t="s">
        <v>3608</v>
      </c>
      <c r="H117" s="62" t="s">
        <v>717</v>
      </c>
      <c r="J117" s="62" t="s">
        <v>107</v>
      </c>
      <c r="K117" s="63" t="b">
        <v>0</v>
      </c>
      <c r="L117" s="21"/>
      <c r="M117" s="62" t="s">
        <v>3028</v>
      </c>
      <c r="N117" s="62" t="s">
        <v>33</v>
      </c>
      <c r="O117" s="62" t="s">
        <v>3028</v>
      </c>
      <c r="P117" s="62" t="s">
        <v>33</v>
      </c>
      <c r="Q117" s="63" t="s">
        <v>3033</v>
      </c>
      <c r="R117" s="63" t="s">
        <v>3033</v>
      </c>
      <c r="S117" s="63" t="s">
        <v>3033</v>
      </c>
      <c r="T117" s="21"/>
      <c r="U117" s="21"/>
      <c r="V117" s="62" t="s">
        <v>809</v>
      </c>
      <c r="W117" s="62" t="s">
        <v>3082</v>
      </c>
      <c r="X117" s="21"/>
      <c r="Y117" s="21"/>
      <c r="Z117" s="21"/>
      <c r="AA117" s="21"/>
      <c r="AB117" s="21"/>
      <c r="AC117" s="62" t="s">
        <v>403</v>
      </c>
      <c r="AD117" s="62" t="s">
        <v>3530</v>
      </c>
      <c r="AE117" s="62" t="s">
        <v>3611</v>
      </c>
      <c r="AF117" s="62" t="s">
        <v>3613</v>
      </c>
      <c r="AG117" s="62" t="s">
        <v>3614</v>
      </c>
      <c r="AH117" s="62" t="s">
        <v>3525</v>
      </c>
      <c r="AI117" s="63" t="s">
        <v>3033</v>
      </c>
    </row>
    <row r="118" ht="21.75" customHeight="1">
      <c r="A118" s="62" t="s">
        <v>3721</v>
      </c>
      <c r="B118" s="62" t="s">
        <v>3028</v>
      </c>
      <c r="C118" s="62" t="s">
        <v>33</v>
      </c>
      <c r="D118" s="62" t="s">
        <v>3722</v>
      </c>
      <c r="E118" s="62" t="s">
        <v>3723</v>
      </c>
      <c r="G118" s="62" t="s">
        <v>3724</v>
      </c>
      <c r="H118" s="62" t="s">
        <v>3727</v>
      </c>
      <c r="I118" s="21"/>
      <c r="J118" s="62" t="s">
        <v>107</v>
      </c>
      <c r="K118" s="63" t="b">
        <v>0</v>
      </c>
      <c r="L118" s="21"/>
      <c r="M118" s="62" t="s">
        <v>3028</v>
      </c>
      <c r="N118" s="62" t="s">
        <v>33</v>
      </c>
      <c r="O118" s="62" t="s">
        <v>3028</v>
      </c>
      <c r="P118" s="62" t="s">
        <v>33</v>
      </c>
      <c r="Q118" s="63" t="s">
        <v>3033</v>
      </c>
      <c r="R118" s="63" t="s">
        <v>3033</v>
      </c>
      <c r="S118" s="21"/>
      <c r="T118" s="21"/>
      <c r="U118" s="21"/>
      <c r="V118" s="62" t="s">
        <v>3729</v>
      </c>
      <c r="W118" s="62" t="s">
        <v>3082</v>
      </c>
      <c r="X118" s="21"/>
      <c r="Y118" s="21"/>
      <c r="Z118" s="21"/>
      <c r="AA118" s="21"/>
      <c r="AB118" s="21"/>
      <c r="AC118" s="62" t="s">
        <v>889</v>
      </c>
      <c r="AD118" s="62" t="s">
        <v>3530</v>
      </c>
      <c r="AE118" s="62" t="s">
        <v>3730</v>
      </c>
      <c r="AF118" s="62" t="s">
        <v>3731</v>
      </c>
      <c r="AG118" s="62" t="s">
        <v>3239</v>
      </c>
      <c r="AH118" s="62" t="s">
        <v>3525</v>
      </c>
      <c r="AI118" s="63" t="s">
        <v>3033</v>
      </c>
    </row>
    <row r="119" ht="21.75" customHeight="1">
      <c r="A119" s="62" t="s">
        <v>3732</v>
      </c>
      <c r="B119" s="62" t="s">
        <v>3028</v>
      </c>
      <c r="C119" s="62" t="s">
        <v>33</v>
      </c>
      <c r="D119" s="62" t="s">
        <v>3733</v>
      </c>
      <c r="E119" s="62" t="s">
        <v>3734</v>
      </c>
      <c r="F119" s="62" t="s">
        <v>3735</v>
      </c>
      <c r="G119" s="62" t="s">
        <v>3724</v>
      </c>
      <c r="H119" s="62" t="s">
        <v>3727</v>
      </c>
      <c r="I119" s="21"/>
      <c r="J119" s="66">
        <v>9.84011463098218E19</v>
      </c>
      <c r="K119" s="63" t="b">
        <v>0</v>
      </c>
      <c r="L119" s="21"/>
      <c r="M119" s="62" t="s">
        <v>3028</v>
      </c>
      <c r="N119" s="62" t="s">
        <v>33</v>
      </c>
      <c r="O119" s="62" t="s">
        <v>3028</v>
      </c>
      <c r="P119" s="62" t="s">
        <v>33</v>
      </c>
      <c r="Q119" s="63" t="s">
        <v>3033</v>
      </c>
      <c r="R119" s="63" t="s">
        <v>3033</v>
      </c>
      <c r="S119" s="63" t="s">
        <v>3033</v>
      </c>
      <c r="T119" s="21"/>
      <c r="U119" s="21"/>
      <c r="V119" s="62" t="s">
        <v>3739</v>
      </c>
      <c r="W119" s="62" t="s">
        <v>3082</v>
      </c>
      <c r="X119" s="21"/>
      <c r="Y119" s="21"/>
      <c r="Z119" s="21"/>
      <c r="AA119" s="21"/>
      <c r="AB119" s="21"/>
      <c r="AC119" s="62" t="s">
        <v>889</v>
      </c>
      <c r="AD119" s="62" t="s">
        <v>3530</v>
      </c>
      <c r="AE119" s="62" t="s">
        <v>3730</v>
      </c>
      <c r="AF119" s="62" t="s">
        <v>3731</v>
      </c>
      <c r="AG119" s="62" t="s">
        <v>3239</v>
      </c>
      <c r="AH119" s="62" t="s">
        <v>3525</v>
      </c>
      <c r="AI119" s="63" t="s">
        <v>3033</v>
      </c>
    </row>
    <row r="120" ht="21.75" customHeight="1">
      <c r="A120" s="62" t="s">
        <v>3740</v>
      </c>
      <c r="B120" s="62" t="s">
        <v>3028</v>
      </c>
      <c r="C120" s="62" t="s">
        <v>33</v>
      </c>
      <c r="D120" s="62" t="s">
        <v>3741</v>
      </c>
      <c r="E120" s="62" t="s">
        <v>3742</v>
      </c>
      <c r="F120" s="62" t="s">
        <v>3743</v>
      </c>
      <c r="G120" s="62" t="s">
        <v>3724</v>
      </c>
      <c r="H120" s="62" t="s">
        <v>3727</v>
      </c>
      <c r="I120" s="21"/>
      <c r="J120" s="62" t="s">
        <v>107</v>
      </c>
      <c r="K120" s="63" t="b">
        <v>0</v>
      </c>
      <c r="L120" s="21"/>
      <c r="M120" s="62" t="s">
        <v>3028</v>
      </c>
      <c r="N120" s="62" t="s">
        <v>33</v>
      </c>
      <c r="O120" s="62" t="s">
        <v>3028</v>
      </c>
      <c r="P120" s="62" t="s">
        <v>33</v>
      </c>
      <c r="Q120" s="63" t="s">
        <v>3033</v>
      </c>
      <c r="R120" s="63" t="s">
        <v>3033</v>
      </c>
      <c r="S120" s="21"/>
      <c r="T120" s="21"/>
      <c r="U120" s="21"/>
      <c r="V120" s="62" t="s">
        <v>3747</v>
      </c>
      <c r="W120" s="62" t="s">
        <v>3082</v>
      </c>
      <c r="X120" s="21"/>
      <c r="Y120" s="21"/>
      <c r="Z120" s="21"/>
      <c r="AA120" s="21"/>
      <c r="AB120" s="21"/>
      <c r="AC120" s="62" t="s">
        <v>889</v>
      </c>
      <c r="AD120" s="62" t="s">
        <v>3530</v>
      </c>
      <c r="AE120" s="62" t="s">
        <v>3730</v>
      </c>
      <c r="AF120" s="62" t="s">
        <v>3731</v>
      </c>
      <c r="AG120" s="62" t="s">
        <v>3239</v>
      </c>
      <c r="AH120" s="62" t="s">
        <v>3525</v>
      </c>
      <c r="AI120" s="63" t="s">
        <v>3033</v>
      </c>
    </row>
    <row r="121" ht="21.75" customHeight="1">
      <c r="A121" s="62" t="s">
        <v>3748</v>
      </c>
      <c r="B121" s="62" t="s">
        <v>3028</v>
      </c>
      <c r="C121" s="62" t="s">
        <v>33</v>
      </c>
      <c r="D121" s="62" t="s">
        <v>3749</v>
      </c>
      <c r="E121" s="62" t="s">
        <v>3750</v>
      </c>
      <c r="F121" s="62" t="s">
        <v>3751</v>
      </c>
      <c r="G121" s="62" t="s">
        <v>3724</v>
      </c>
      <c r="H121" s="62" t="s">
        <v>3727</v>
      </c>
      <c r="I121" s="21"/>
      <c r="J121" s="64">
        <v>9.57E9</v>
      </c>
      <c r="K121" s="63" t="b">
        <v>0</v>
      </c>
      <c r="L121" s="21"/>
      <c r="M121" s="62" t="s">
        <v>3028</v>
      </c>
      <c r="N121" s="62" t="s">
        <v>33</v>
      </c>
      <c r="O121" s="62" t="s">
        <v>3028</v>
      </c>
      <c r="P121" s="62" t="s">
        <v>33</v>
      </c>
      <c r="Q121" s="63" t="s">
        <v>3033</v>
      </c>
      <c r="R121" s="63" t="s">
        <v>3033</v>
      </c>
      <c r="S121" s="21"/>
      <c r="T121" s="21"/>
      <c r="U121" s="21"/>
      <c r="V121" s="62" t="s">
        <v>3752</v>
      </c>
      <c r="W121" s="62" t="s">
        <v>3082</v>
      </c>
      <c r="X121" s="21"/>
      <c r="Y121" s="21"/>
      <c r="Z121" s="21"/>
      <c r="AA121" s="21"/>
      <c r="AB121" s="21"/>
      <c r="AC121" s="62" t="s">
        <v>3753</v>
      </c>
      <c r="AD121" s="62" t="s">
        <v>3530</v>
      </c>
      <c r="AE121" s="62" t="s">
        <v>3730</v>
      </c>
      <c r="AF121" s="62" t="s">
        <v>3731</v>
      </c>
      <c r="AG121" s="62" t="s">
        <v>3239</v>
      </c>
      <c r="AH121" s="62" t="s">
        <v>3525</v>
      </c>
      <c r="AI121" s="63" t="s">
        <v>3033</v>
      </c>
    </row>
    <row r="122" ht="21.75" customHeight="1">
      <c r="A122" s="62" t="s">
        <v>3757</v>
      </c>
      <c r="B122" s="62" t="s">
        <v>3028</v>
      </c>
      <c r="C122" s="62" t="s">
        <v>33</v>
      </c>
      <c r="D122" s="62" t="s">
        <v>3758</v>
      </c>
      <c r="E122" s="62" t="s">
        <v>3759</v>
      </c>
      <c r="F122" s="62" t="s">
        <v>3760</v>
      </c>
      <c r="G122" s="62" t="s">
        <v>3724</v>
      </c>
      <c r="H122" s="62" t="s">
        <v>3727</v>
      </c>
      <c r="I122" s="21"/>
      <c r="J122" s="62" t="s">
        <v>107</v>
      </c>
      <c r="K122" s="63" t="b">
        <v>0</v>
      </c>
      <c r="L122" s="21"/>
      <c r="M122" s="62" t="s">
        <v>3028</v>
      </c>
      <c r="N122" s="62" t="s">
        <v>33</v>
      </c>
      <c r="O122" s="62" t="s">
        <v>3028</v>
      </c>
      <c r="P122" s="62" t="s">
        <v>33</v>
      </c>
      <c r="Q122" s="63" t="s">
        <v>3033</v>
      </c>
      <c r="R122" s="63" t="s">
        <v>3033</v>
      </c>
      <c r="S122" s="21"/>
      <c r="T122" s="21"/>
      <c r="U122" s="21"/>
      <c r="V122" s="62" t="s">
        <v>3761</v>
      </c>
      <c r="W122" s="62" t="s">
        <v>3082</v>
      </c>
      <c r="X122" s="21"/>
      <c r="Y122" s="21"/>
      <c r="Z122" s="21"/>
      <c r="AA122" s="21"/>
      <c r="AB122" s="21"/>
      <c r="AC122" s="62" t="s">
        <v>3762</v>
      </c>
      <c r="AD122" s="62" t="s">
        <v>3530</v>
      </c>
      <c r="AE122" s="62" t="s">
        <v>3730</v>
      </c>
      <c r="AF122" s="62" t="s">
        <v>3731</v>
      </c>
      <c r="AG122" s="62" t="s">
        <v>3239</v>
      </c>
      <c r="AH122" s="62" t="s">
        <v>3525</v>
      </c>
      <c r="AI122" s="63" t="s">
        <v>3033</v>
      </c>
    </row>
    <row r="123" ht="21.75" customHeight="1">
      <c r="A123" s="62" t="s">
        <v>3763</v>
      </c>
      <c r="B123" s="62" t="s">
        <v>3028</v>
      </c>
      <c r="C123" s="62" t="s">
        <v>33</v>
      </c>
      <c r="D123" s="62" t="s">
        <v>3764</v>
      </c>
      <c r="E123" s="62" t="s">
        <v>3765</v>
      </c>
      <c r="F123" s="62" t="s">
        <v>3767</v>
      </c>
      <c r="G123" s="62" t="s">
        <v>3724</v>
      </c>
      <c r="H123" s="62" t="s">
        <v>3727</v>
      </c>
      <c r="I123" s="21"/>
      <c r="J123" s="62" t="s">
        <v>107</v>
      </c>
      <c r="K123" s="63" t="b">
        <v>0</v>
      </c>
      <c r="L123" s="21"/>
      <c r="M123" s="62" t="s">
        <v>3028</v>
      </c>
      <c r="N123" s="62" t="s">
        <v>33</v>
      </c>
      <c r="O123" s="62" t="s">
        <v>3028</v>
      </c>
      <c r="P123" s="62" t="s">
        <v>33</v>
      </c>
      <c r="Q123" s="63" t="s">
        <v>3033</v>
      </c>
      <c r="R123" s="63" t="s">
        <v>3033</v>
      </c>
      <c r="S123" s="21"/>
      <c r="T123" s="21"/>
      <c r="U123" s="21"/>
      <c r="V123" s="62" t="s">
        <v>3770</v>
      </c>
      <c r="W123" s="62" t="s">
        <v>3082</v>
      </c>
      <c r="X123" s="21"/>
      <c r="Y123" s="21"/>
      <c r="Z123" s="21"/>
      <c r="AA123" s="21"/>
      <c r="AB123" s="21"/>
      <c r="AC123" s="62" t="s">
        <v>889</v>
      </c>
      <c r="AD123" s="62" t="s">
        <v>3530</v>
      </c>
      <c r="AE123" s="62" t="s">
        <v>3730</v>
      </c>
      <c r="AF123" s="62" t="s">
        <v>3731</v>
      </c>
      <c r="AG123" s="62" t="s">
        <v>3239</v>
      </c>
      <c r="AH123" s="62" t="s">
        <v>3525</v>
      </c>
      <c r="AI123" s="63" t="s">
        <v>3033</v>
      </c>
    </row>
    <row r="124" ht="21.75" customHeight="1">
      <c r="A124" s="62" t="s">
        <v>3771</v>
      </c>
      <c r="B124" s="62" t="s">
        <v>3028</v>
      </c>
      <c r="C124" s="62" t="s">
        <v>33</v>
      </c>
      <c r="D124" s="62" t="s">
        <v>3772</v>
      </c>
      <c r="E124" s="62" t="s">
        <v>3773</v>
      </c>
      <c r="F124" s="62" t="s">
        <v>3774</v>
      </c>
      <c r="G124" s="62" t="s">
        <v>3724</v>
      </c>
      <c r="H124" s="62" t="s">
        <v>3727</v>
      </c>
      <c r="I124" s="21"/>
      <c r="J124" s="62" t="s">
        <v>107</v>
      </c>
      <c r="K124" s="63" t="b">
        <v>0</v>
      </c>
      <c r="L124" s="21"/>
      <c r="M124" s="62" t="s">
        <v>3028</v>
      </c>
      <c r="N124" s="62" t="s">
        <v>33</v>
      </c>
      <c r="O124" s="62" t="s">
        <v>3028</v>
      </c>
      <c r="P124" s="62" t="s">
        <v>33</v>
      </c>
      <c r="Q124" s="63" t="s">
        <v>3033</v>
      </c>
      <c r="R124" s="63" t="s">
        <v>3033</v>
      </c>
      <c r="S124" s="21"/>
      <c r="T124" s="21"/>
      <c r="U124" s="21"/>
      <c r="V124" s="62" t="s">
        <v>3777</v>
      </c>
      <c r="W124" s="62" t="s">
        <v>3082</v>
      </c>
      <c r="X124" s="21"/>
      <c r="Y124" s="21"/>
      <c r="Z124" s="21"/>
      <c r="AA124" s="21"/>
      <c r="AB124" s="21"/>
      <c r="AC124" s="62" t="s">
        <v>889</v>
      </c>
      <c r="AD124" s="62" t="s">
        <v>3530</v>
      </c>
      <c r="AE124" s="62" t="s">
        <v>3730</v>
      </c>
      <c r="AF124" s="62" t="s">
        <v>3731</v>
      </c>
      <c r="AG124" s="62" t="s">
        <v>3239</v>
      </c>
      <c r="AH124" s="62" t="s">
        <v>3525</v>
      </c>
      <c r="AI124" s="63" t="s">
        <v>3033</v>
      </c>
    </row>
    <row r="125" ht="21.75" customHeight="1">
      <c r="A125" s="62" t="s">
        <v>3779</v>
      </c>
      <c r="B125" s="62" t="s">
        <v>3028</v>
      </c>
      <c r="C125" s="62" t="s">
        <v>33</v>
      </c>
      <c r="D125" s="62" t="s">
        <v>3780</v>
      </c>
      <c r="E125" s="62" t="s">
        <v>3781</v>
      </c>
      <c r="F125" s="62" t="s">
        <v>3782</v>
      </c>
      <c r="G125" s="62" t="s">
        <v>3724</v>
      </c>
      <c r="H125" s="62" t="s">
        <v>3727</v>
      </c>
      <c r="I125" s="21"/>
      <c r="J125" s="62" t="s">
        <v>107</v>
      </c>
      <c r="K125" s="63" t="b">
        <v>0</v>
      </c>
      <c r="L125" s="21"/>
      <c r="M125" s="62" t="s">
        <v>3028</v>
      </c>
      <c r="N125" s="62" t="s">
        <v>33</v>
      </c>
      <c r="O125" s="62" t="s">
        <v>3028</v>
      </c>
      <c r="P125" s="62" t="s">
        <v>33</v>
      </c>
      <c r="Q125" s="63" t="s">
        <v>3033</v>
      </c>
      <c r="R125" s="63" t="s">
        <v>3033</v>
      </c>
      <c r="S125" s="21"/>
      <c r="T125" s="21"/>
      <c r="U125" s="21"/>
      <c r="V125" s="62" t="s">
        <v>3783</v>
      </c>
      <c r="W125" s="62" t="s">
        <v>3082</v>
      </c>
      <c r="X125" s="21"/>
      <c r="Y125" s="21"/>
      <c r="Z125" s="21"/>
      <c r="AA125" s="21"/>
      <c r="AB125" s="21"/>
      <c r="AC125" s="62" t="s">
        <v>889</v>
      </c>
      <c r="AD125" s="62" t="s">
        <v>3530</v>
      </c>
      <c r="AE125" s="62" t="s">
        <v>3730</v>
      </c>
      <c r="AF125" s="62" t="s">
        <v>3731</v>
      </c>
      <c r="AG125" s="62" t="s">
        <v>3239</v>
      </c>
      <c r="AH125" s="62" t="s">
        <v>3525</v>
      </c>
      <c r="AI125" s="63" t="s">
        <v>3033</v>
      </c>
    </row>
    <row r="126" ht="21.75" customHeight="1">
      <c r="A126" s="62" t="s">
        <v>3785</v>
      </c>
      <c r="B126" s="62" t="s">
        <v>3028</v>
      </c>
      <c r="C126" s="62" t="s">
        <v>33</v>
      </c>
      <c r="D126" s="62" t="s">
        <v>3787</v>
      </c>
      <c r="E126" s="62" t="s">
        <v>3788</v>
      </c>
      <c r="F126" s="62" t="s">
        <v>3790</v>
      </c>
      <c r="G126" s="62" t="s">
        <v>3724</v>
      </c>
      <c r="H126" s="62" t="s">
        <v>3727</v>
      </c>
      <c r="I126" s="21"/>
      <c r="J126" s="62" t="s">
        <v>107</v>
      </c>
      <c r="K126" s="63" t="b">
        <v>0</v>
      </c>
      <c r="L126" s="21"/>
      <c r="M126" s="62" t="s">
        <v>3028</v>
      </c>
      <c r="N126" s="62" t="s">
        <v>33</v>
      </c>
      <c r="O126" s="62" t="s">
        <v>3028</v>
      </c>
      <c r="P126" s="62" t="s">
        <v>33</v>
      </c>
      <c r="Q126" s="63" t="s">
        <v>3033</v>
      </c>
      <c r="R126" s="63" t="s">
        <v>3033</v>
      </c>
      <c r="S126" s="21"/>
      <c r="T126" s="21"/>
      <c r="U126" s="21"/>
      <c r="V126" s="62" t="s">
        <v>3791</v>
      </c>
      <c r="W126" s="62" t="s">
        <v>3082</v>
      </c>
      <c r="X126" s="21"/>
      <c r="Y126" s="21"/>
      <c r="Z126" s="21"/>
      <c r="AA126" s="21"/>
      <c r="AB126" s="21"/>
      <c r="AC126" s="62" t="s">
        <v>3792</v>
      </c>
      <c r="AD126" s="62" t="s">
        <v>3530</v>
      </c>
      <c r="AE126" s="62" t="s">
        <v>3730</v>
      </c>
      <c r="AF126" s="62" t="s">
        <v>3731</v>
      </c>
      <c r="AG126" s="62" t="s">
        <v>3239</v>
      </c>
      <c r="AH126" s="62" t="s">
        <v>3525</v>
      </c>
      <c r="AI126" s="63" t="s">
        <v>3033</v>
      </c>
    </row>
    <row r="127" ht="21.75" customHeight="1">
      <c r="A127" s="62" t="s">
        <v>3793</v>
      </c>
      <c r="B127" s="62" t="s">
        <v>3028</v>
      </c>
      <c r="C127" s="62" t="s">
        <v>33</v>
      </c>
      <c r="D127" s="62" t="s">
        <v>3794</v>
      </c>
      <c r="E127" s="62" t="s">
        <v>3623</v>
      </c>
      <c r="F127" s="62" t="s">
        <v>3795</v>
      </c>
      <c r="G127" s="62" t="s">
        <v>3724</v>
      </c>
      <c r="H127" s="62" t="s">
        <v>3727</v>
      </c>
      <c r="I127" s="21"/>
      <c r="J127" s="62" t="s">
        <v>107</v>
      </c>
      <c r="K127" s="63" t="b">
        <v>0</v>
      </c>
      <c r="L127" s="21"/>
      <c r="M127" s="62" t="s">
        <v>3028</v>
      </c>
      <c r="N127" s="62" t="s">
        <v>33</v>
      </c>
      <c r="O127" s="62" t="s">
        <v>3028</v>
      </c>
      <c r="P127" s="62" t="s">
        <v>33</v>
      </c>
      <c r="Q127" s="63" t="s">
        <v>3033</v>
      </c>
      <c r="R127" s="63" t="s">
        <v>3033</v>
      </c>
      <c r="S127" s="21"/>
      <c r="T127" s="21"/>
      <c r="U127" s="21"/>
      <c r="V127" s="62" t="s">
        <v>3799</v>
      </c>
      <c r="W127" s="62" t="s">
        <v>3082</v>
      </c>
      <c r="X127" s="21"/>
      <c r="Y127" s="21"/>
      <c r="Z127" s="21"/>
      <c r="AA127" s="21"/>
      <c r="AB127" s="21"/>
      <c r="AC127" s="62" t="s">
        <v>3800</v>
      </c>
      <c r="AD127" s="62" t="s">
        <v>3530</v>
      </c>
      <c r="AE127" s="62" t="s">
        <v>3730</v>
      </c>
      <c r="AF127" s="62" t="s">
        <v>3731</v>
      </c>
      <c r="AG127" s="62" t="s">
        <v>3239</v>
      </c>
      <c r="AH127" s="62" t="s">
        <v>3525</v>
      </c>
      <c r="AI127" s="63" t="s">
        <v>3033</v>
      </c>
    </row>
    <row r="128" ht="21.75" customHeight="1">
      <c r="A128" s="62" t="s">
        <v>3801</v>
      </c>
      <c r="B128" s="62" t="s">
        <v>3028</v>
      </c>
      <c r="C128" s="62" t="s">
        <v>33</v>
      </c>
      <c r="D128" s="62" t="s">
        <v>3802</v>
      </c>
      <c r="E128" s="62" t="s">
        <v>3742</v>
      </c>
      <c r="F128" s="62" t="s">
        <v>3803</v>
      </c>
      <c r="G128" s="62" t="s">
        <v>3724</v>
      </c>
      <c r="H128" s="62" t="s">
        <v>3727</v>
      </c>
      <c r="I128" s="21"/>
      <c r="J128" s="64">
        <v>9.79E9</v>
      </c>
      <c r="K128" s="63" t="b">
        <v>0</v>
      </c>
      <c r="L128" s="21"/>
      <c r="M128" s="62" t="s">
        <v>3028</v>
      </c>
      <c r="N128" s="62" t="s">
        <v>33</v>
      </c>
      <c r="O128" s="62" t="s">
        <v>3028</v>
      </c>
      <c r="P128" s="62" t="s">
        <v>33</v>
      </c>
      <c r="Q128" s="63" t="s">
        <v>3033</v>
      </c>
      <c r="R128" s="63" t="s">
        <v>3033</v>
      </c>
      <c r="S128" s="63" t="s">
        <v>3033</v>
      </c>
      <c r="T128" s="21"/>
      <c r="U128" s="21"/>
      <c r="V128" s="62" t="s">
        <v>3804</v>
      </c>
      <c r="W128" s="62" t="s">
        <v>3082</v>
      </c>
      <c r="X128" s="21"/>
      <c r="Y128" s="21"/>
      <c r="Z128" s="21"/>
      <c r="AA128" s="21"/>
      <c r="AB128" s="21"/>
      <c r="AC128" s="62" t="s">
        <v>3805</v>
      </c>
      <c r="AD128" s="62" t="s">
        <v>3530</v>
      </c>
      <c r="AE128" s="62" t="s">
        <v>3730</v>
      </c>
      <c r="AF128" s="62" t="s">
        <v>3731</v>
      </c>
      <c r="AG128" s="62" t="s">
        <v>3239</v>
      </c>
      <c r="AH128" s="62" t="s">
        <v>3525</v>
      </c>
      <c r="AI128" s="63" t="s">
        <v>3033</v>
      </c>
    </row>
    <row r="129" ht="21.75" customHeight="1">
      <c r="A129" s="62" t="s">
        <v>3809</v>
      </c>
      <c r="B129" s="62" t="s">
        <v>3028</v>
      </c>
      <c r="C129" s="62" t="s">
        <v>33</v>
      </c>
      <c r="D129" s="62" t="s">
        <v>3281</v>
      </c>
      <c r="E129" s="62" t="s">
        <v>3810</v>
      </c>
      <c r="F129" s="62" t="s">
        <v>3811</v>
      </c>
      <c r="G129" s="62" t="s">
        <v>3724</v>
      </c>
      <c r="H129" s="62" t="s">
        <v>3727</v>
      </c>
      <c r="I129" s="21"/>
      <c r="J129" s="64">
        <v>9.84E9</v>
      </c>
      <c r="K129" s="63" t="b">
        <v>0</v>
      </c>
      <c r="L129" s="21"/>
      <c r="M129" s="62" t="s">
        <v>3028</v>
      </c>
      <c r="N129" s="62" t="s">
        <v>33</v>
      </c>
      <c r="O129" s="62" t="s">
        <v>3028</v>
      </c>
      <c r="P129" s="62" t="s">
        <v>33</v>
      </c>
      <c r="Q129" s="63" t="s">
        <v>3033</v>
      </c>
      <c r="R129" s="63" t="s">
        <v>3033</v>
      </c>
      <c r="S129" s="21"/>
      <c r="T129" s="21"/>
      <c r="U129" s="21"/>
      <c r="V129" s="62" t="s">
        <v>3812</v>
      </c>
      <c r="W129" s="62" t="s">
        <v>3082</v>
      </c>
      <c r="X129" s="21"/>
      <c r="Y129" s="21"/>
      <c r="Z129" s="21"/>
      <c r="AA129" s="21"/>
      <c r="AB129" s="21"/>
      <c r="AC129" s="62" t="s">
        <v>3813</v>
      </c>
      <c r="AD129" s="62" t="s">
        <v>3530</v>
      </c>
      <c r="AE129" s="62" t="s">
        <v>3730</v>
      </c>
      <c r="AF129" s="62" t="s">
        <v>3731</v>
      </c>
      <c r="AG129" s="62" t="s">
        <v>3239</v>
      </c>
      <c r="AH129" s="62" t="s">
        <v>3525</v>
      </c>
      <c r="AI129" s="63" t="s">
        <v>3033</v>
      </c>
    </row>
    <row r="130" ht="21.75" customHeight="1">
      <c r="A130" s="62" t="s">
        <v>3814</v>
      </c>
      <c r="B130" s="62" t="s">
        <v>3028</v>
      </c>
      <c r="C130" s="62" t="s">
        <v>33</v>
      </c>
      <c r="D130" s="62" t="s">
        <v>3815</v>
      </c>
      <c r="E130" s="62" t="s">
        <v>3817</v>
      </c>
      <c r="G130" s="62" t="s">
        <v>3724</v>
      </c>
      <c r="H130" s="62" t="s">
        <v>3727</v>
      </c>
      <c r="I130" s="21"/>
      <c r="J130" s="62" t="s">
        <v>107</v>
      </c>
      <c r="K130" s="63" t="b">
        <v>0</v>
      </c>
      <c r="L130" s="21"/>
      <c r="M130" s="62" t="s">
        <v>3028</v>
      </c>
      <c r="N130" s="62" t="s">
        <v>33</v>
      </c>
      <c r="O130" s="62" t="s">
        <v>3028</v>
      </c>
      <c r="P130" s="62" t="s">
        <v>33</v>
      </c>
      <c r="Q130" s="63" t="s">
        <v>3033</v>
      </c>
      <c r="R130" s="63" t="s">
        <v>3033</v>
      </c>
      <c r="S130" s="21"/>
      <c r="T130" s="21"/>
      <c r="U130" s="21"/>
      <c r="V130" s="62" t="s">
        <v>3819</v>
      </c>
      <c r="W130" s="62" t="s">
        <v>3082</v>
      </c>
      <c r="X130" s="21"/>
      <c r="Y130" s="21"/>
      <c r="Z130" s="21"/>
      <c r="AA130" s="21"/>
      <c r="AB130" s="21"/>
      <c r="AC130" s="62" t="s">
        <v>3820</v>
      </c>
      <c r="AD130" s="62" t="s">
        <v>3530</v>
      </c>
      <c r="AE130" s="62" t="s">
        <v>3730</v>
      </c>
      <c r="AF130" s="62" t="s">
        <v>3731</v>
      </c>
      <c r="AG130" s="62" t="s">
        <v>3239</v>
      </c>
      <c r="AH130" s="62" t="s">
        <v>3525</v>
      </c>
      <c r="AI130" s="63" t="s">
        <v>3033</v>
      </c>
    </row>
    <row r="131" ht="21.75" customHeight="1">
      <c r="A131" s="62" t="s">
        <v>3821</v>
      </c>
      <c r="B131" s="62" t="s">
        <v>3028</v>
      </c>
      <c r="C131" s="62" t="s">
        <v>33</v>
      </c>
      <c r="D131" s="62" t="s">
        <v>3823</v>
      </c>
      <c r="E131" s="62" t="s">
        <v>3824</v>
      </c>
      <c r="F131" s="62" t="s">
        <v>3825</v>
      </c>
      <c r="G131" s="62" t="s">
        <v>3724</v>
      </c>
      <c r="H131" s="62" t="s">
        <v>3727</v>
      </c>
      <c r="I131" s="21"/>
      <c r="J131" s="62" t="s">
        <v>107</v>
      </c>
      <c r="K131" s="63" t="b">
        <v>0</v>
      </c>
      <c r="L131" s="21"/>
      <c r="M131" s="62" t="s">
        <v>3028</v>
      </c>
      <c r="N131" s="62" t="s">
        <v>33</v>
      </c>
      <c r="O131" s="62" t="s">
        <v>3028</v>
      </c>
      <c r="P131" s="62" t="s">
        <v>33</v>
      </c>
      <c r="Q131" s="63" t="s">
        <v>3033</v>
      </c>
      <c r="R131" s="63" t="s">
        <v>3033</v>
      </c>
      <c r="S131" s="21"/>
      <c r="T131" s="21"/>
      <c r="U131" s="21"/>
      <c r="V131" s="62" t="s">
        <v>3826</v>
      </c>
      <c r="W131" s="62" t="s">
        <v>3082</v>
      </c>
      <c r="X131" s="21"/>
      <c r="Y131" s="21"/>
      <c r="Z131" s="21"/>
      <c r="AA131" s="21"/>
      <c r="AB131" s="21"/>
      <c r="AC131" s="62" t="s">
        <v>3827</v>
      </c>
      <c r="AD131" s="62" t="s">
        <v>3530</v>
      </c>
      <c r="AE131" s="62" t="s">
        <v>3730</v>
      </c>
      <c r="AF131" s="62" t="s">
        <v>3731</v>
      </c>
      <c r="AG131" s="62" t="s">
        <v>3239</v>
      </c>
      <c r="AH131" s="62" t="s">
        <v>3525</v>
      </c>
      <c r="AI131" s="63" t="s">
        <v>3033</v>
      </c>
    </row>
    <row r="132" ht="21.75" customHeight="1">
      <c r="A132" s="62" t="s">
        <v>3829</v>
      </c>
      <c r="B132" s="62" t="s">
        <v>3028</v>
      </c>
      <c r="C132" s="62" t="s">
        <v>33</v>
      </c>
      <c r="D132" s="62" t="s">
        <v>3830</v>
      </c>
      <c r="E132" s="62" t="s">
        <v>3831</v>
      </c>
      <c r="F132" s="62" t="s">
        <v>3832</v>
      </c>
      <c r="G132" s="62" t="s">
        <v>3724</v>
      </c>
      <c r="H132" s="62" t="s">
        <v>3727</v>
      </c>
      <c r="I132" s="21"/>
      <c r="J132" s="64">
        <v>9.1E9</v>
      </c>
      <c r="K132" s="63" t="b">
        <v>0</v>
      </c>
      <c r="L132" s="21"/>
      <c r="M132" s="62" t="s">
        <v>3028</v>
      </c>
      <c r="N132" s="62" t="s">
        <v>33</v>
      </c>
      <c r="O132" s="62" t="s">
        <v>3028</v>
      </c>
      <c r="P132" s="62" t="s">
        <v>33</v>
      </c>
      <c r="Q132" s="63" t="s">
        <v>3033</v>
      </c>
      <c r="R132" s="63" t="s">
        <v>3033</v>
      </c>
      <c r="S132" s="21"/>
      <c r="T132" s="21"/>
      <c r="U132" s="21"/>
      <c r="V132" s="62" t="s">
        <v>3836</v>
      </c>
      <c r="W132" s="62" t="s">
        <v>3082</v>
      </c>
      <c r="X132" s="21"/>
      <c r="Y132" s="21"/>
      <c r="Z132" s="21"/>
      <c r="AA132" s="21"/>
      <c r="AB132" s="21"/>
      <c r="AC132" s="62" t="s">
        <v>197</v>
      </c>
      <c r="AD132" s="62" t="s">
        <v>3530</v>
      </c>
      <c r="AE132" s="62" t="s">
        <v>3730</v>
      </c>
      <c r="AF132" s="62" t="s">
        <v>3731</v>
      </c>
      <c r="AG132" s="62" t="s">
        <v>3239</v>
      </c>
      <c r="AH132" s="62" t="s">
        <v>3525</v>
      </c>
      <c r="AI132" s="63" t="s">
        <v>3033</v>
      </c>
    </row>
    <row r="133" ht="21.75" customHeight="1">
      <c r="A133" s="62" t="s">
        <v>3837</v>
      </c>
      <c r="B133" s="62" t="s">
        <v>3028</v>
      </c>
      <c r="C133" s="62" t="s">
        <v>33</v>
      </c>
      <c r="D133" s="62" t="s">
        <v>3838</v>
      </c>
      <c r="E133" s="62" t="s">
        <v>3477</v>
      </c>
      <c r="F133" s="62" t="s">
        <v>3839</v>
      </c>
      <c r="G133" s="62" t="s">
        <v>3724</v>
      </c>
      <c r="H133" s="62" t="s">
        <v>3727</v>
      </c>
      <c r="I133" s="21"/>
      <c r="J133" s="62" t="s">
        <v>107</v>
      </c>
      <c r="K133" s="63" t="b">
        <v>0</v>
      </c>
      <c r="L133" s="21"/>
      <c r="M133" s="62" t="s">
        <v>3028</v>
      </c>
      <c r="N133" s="62" t="s">
        <v>33</v>
      </c>
      <c r="O133" s="62" t="s">
        <v>3028</v>
      </c>
      <c r="P133" s="62" t="s">
        <v>33</v>
      </c>
      <c r="Q133" s="63" t="s">
        <v>3033</v>
      </c>
      <c r="R133" s="63" t="s">
        <v>3033</v>
      </c>
      <c r="S133" s="21"/>
      <c r="T133" s="21"/>
      <c r="U133" s="21"/>
      <c r="V133" s="62" t="s">
        <v>3840</v>
      </c>
      <c r="W133" s="62" t="s">
        <v>3082</v>
      </c>
      <c r="X133" s="21"/>
      <c r="Y133" s="21"/>
      <c r="Z133" s="21"/>
      <c r="AA133" s="21"/>
      <c r="AB133" s="21"/>
      <c r="AC133" s="62" t="s">
        <v>3841</v>
      </c>
      <c r="AD133" s="62" t="s">
        <v>3530</v>
      </c>
      <c r="AE133" s="62" t="s">
        <v>3730</v>
      </c>
      <c r="AF133" s="62" t="s">
        <v>3731</v>
      </c>
      <c r="AG133" s="62" t="s">
        <v>3239</v>
      </c>
      <c r="AH133" s="62" t="s">
        <v>3525</v>
      </c>
      <c r="AI133" s="63" t="s">
        <v>3033</v>
      </c>
    </row>
    <row r="134" ht="21.75" customHeight="1">
      <c r="A134" s="62" t="s">
        <v>3843</v>
      </c>
      <c r="B134" s="62" t="s">
        <v>3028</v>
      </c>
      <c r="C134" s="62" t="s">
        <v>33</v>
      </c>
      <c r="D134" s="62" t="s">
        <v>3845</v>
      </c>
      <c r="E134" s="62" t="s">
        <v>3846</v>
      </c>
      <c r="F134" s="62" t="s">
        <v>3847</v>
      </c>
      <c r="G134" s="62" t="s">
        <v>3724</v>
      </c>
      <c r="H134" s="62" t="s">
        <v>3727</v>
      </c>
      <c r="I134" s="21"/>
      <c r="J134" s="62" t="s">
        <v>107</v>
      </c>
      <c r="K134" s="63" t="b">
        <v>0</v>
      </c>
      <c r="L134" s="21"/>
      <c r="M134" s="62" t="s">
        <v>3028</v>
      </c>
      <c r="N134" s="62" t="s">
        <v>33</v>
      </c>
      <c r="O134" s="62" t="s">
        <v>3028</v>
      </c>
      <c r="P134" s="62" t="s">
        <v>33</v>
      </c>
      <c r="Q134" s="63" t="s">
        <v>3033</v>
      </c>
      <c r="R134" s="63" t="s">
        <v>3033</v>
      </c>
      <c r="S134" s="21"/>
      <c r="T134" s="21"/>
      <c r="U134" s="21"/>
      <c r="V134" s="62" t="s">
        <v>3849</v>
      </c>
      <c r="W134" s="62" t="s">
        <v>3082</v>
      </c>
      <c r="X134" s="21"/>
      <c r="Y134" s="21"/>
      <c r="Z134" s="21"/>
      <c r="AA134" s="21"/>
      <c r="AB134" s="21"/>
      <c r="AC134" s="62" t="s">
        <v>3850</v>
      </c>
      <c r="AD134" s="62" t="s">
        <v>3530</v>
      </c>
      <c r="AE134" s="62" t="s">
        <v>3730</v>
      </c>
      <c r="AF134" s="62" t="s">
        <v>3731</v>
      </c>
      <c r="AG134" s="62" t="s">
        <v>3239</v>
      </c>
      <c r="AH134" s="62" t="s">
        <v>3525</v>
      </c>
      <c r="AI134" s="63" t="s">
        <v>3033</v>
      </c>
    </row>
    <row r="135" ht="21.75" customHeight="1">
      <c r="A135" s="62" t="s">
        <v>3851</v>
      </c>
      <c r="B135" s="62" t="s">
        <v>3028</v>
      </c>
      <c r="C135" s="62" t="s">
        <v>33</v>
      </c>
      <c r="D135" s="62" t="s">
        <v>3214</v>
      </c>
      <c r="E135" s="62" t="s">
        <v>3852</v>
      </c>
      <c r="F135" s="62" t="s">
        <v>3853</v>
      </c>
      <c r="G135" s="62" t="s">
        <v>3724</v>
      </c>
      <c r="H135" s="62" t="s">
        <v>3727</v>
      </c>
      <c r="I135" s="21"/>
      <c r="J135" s="62" t="s">
        <v>107</v>
      </c>
      <c r="K135" s="63" t="b">
        <v>0</v>
      </c>
      <c r="L135" s="21"/>
      <c r="M135" s="62" t="s">
        <v>3028</v>
      </c>
      <c r="N135" s="62" t="s">
        <v>33</v>
      </c>
      <c r="O135" s="62" t="s">
        <v>3028</v>
      </c>
      <c r="P135" s="62" t="s">
        <v>33</v>
      </c>
      <c r="Q135" s="63" t="s">
        <v>3033</v>
      </c>
      <c r="R135" s="63" t="s">
        <v>3033</v>
      </c>
      <c r="S135" s="21"/>
      <c r="T135" s="21"/>
      <c r="U135" s="21"/>
      <c r="V135" s="62" t="s">
        <v>3854</v>
      </c>
      <c r="W135" s="62" t="s">
        <v>3082</v>
      </c>
      <c r="X135" s="21"/>
      <c r="Y135" s="21"/>
      <c r="Z135" s="21"/>
      <c r="AA135" s="21"/>
      <c r="AB135" s="21"/>
      <c r="AC135" s="62" t="s">
        <v>3856</v>
      </c>
      <c r="AD135" s="62" t="s">
        <v>3530</v>
      </c>
      <c r="AE135" s="62" t="s">
        <v>3730</v>
      </c>
      <c r="AF135" s="62" t="s">
        <v>3731</v>
      </c>
      <c r="AG135" s="62" t="s">
        <v>3239</v>
      </c>
      <c r="AH135" s="62" t="s">
        <v>3525</v>
      </c>
      <c r="AI135" s="63" t="s">
        <v>3033</v>
      </c>
    </row>
    <row r="136" ht="21.75" customHeight="1">
      <c r="A136" s="62" t="s">
        <v>3859</v>
      </c>
      <c r="B136" s="62" t="s">
        <v>3028</v>
      </c>
      <c r="C136" s="62" t="s">
        <v>33</v>
      </c>
      <c r="D136" s="62" t="s">
        <v>3860</v>
      </c>
      <c r="E136" s="62" t="s">
        <v>3861</v>
      </c>
      <c r="F136" s="62" t="s">
        <v>3862</v>
      </c>
      <c r="G136" s="62" t="s">
        <v>3724</v>
      </c>
      <c r="H136" s="62" t="s">
        <v>3727</v>
      </c>
      <c r="I136" s="21"/>
      <c r="J136" s="62" t="s">
        <v>107</v>
      </c>
      <c r="K136" s="63" t="b">
        <v>0</v>
      </c>
      <c r="L136" s="21"/>
      <c r="M136" s="62" t="s">
        <v>3028</v>
      </c>
      <c r="N136" s="62" t="s">
        <v>33</v>
      </c>
      <c r="O136" s="62" t="s">
        <v>3028</v>
      </c>
      <c r="P136" s="62" t="s">
        <v>33</v>
      </c>
      <c r="Q136" s="63" t="s">
        <v>3033</v>
      </c>
      <c r="R136" s="63" t="s">
        <v>3033</v>
      </c>
      <c r="S136" s="63" t="s">
        <v>3033</v>
      </c>
      <c r="T136" s="21"/>
      <c r="U136" s="21"/>
      <c r="V136" s="62" t="s">
        <v>3863</v>
      </c>
      <c r="W136" s="62" t="s">
        <v>3082</v>
      </c>
      <c r="X136" s="21"/>
      <c r="Y136" s="21"/>
      <c r="Z136" s="21"/>
      <c r="AA136" s="21"/>
      <c r="AB136" s="21"/>
      <c r="AC136" s="62" t="s">
        <v>3856</v>
      </c>
      <c r="AD136" s="62" t="s">
        <v>3530</v>
      </c>
      <c r="AE136" s="62" t="s">
        <v>3730</v>
      </c>
      <c r="AF136" s="62" t="s">
        <v>3731</v>
      </c>
      <c r="AG136" s="62" t="s">
        <v>3239</v>
      </c>
      <c r="AH136" s="62" t="s">
        <v>3525</v>
      </c>
      <c r="AI136" s="63" t="s">
        <v>3033</v>
      </c>
    </row>
    <row r="137" ht="21.75" customHeight="1">
      <c r="A137" s="62" t="s">
        <v>3865</v>
      </c>
      <c r="B137" s="62" t="s">
        <v>3028</v>
      </c>
      <c r="C137" s="62" t="s">
        <v>33</v>
      </c>
      <c r="D137" s="62" t="s">
        <v>3866</v>
      </c>
      <c r="E137" s="62" t="s">
        <v>3867</v>
      </c>
      <c r="F137" s="62" t="s">
        <v>3868</v>
      </c>
      <c r="G137" s="62" t="s">
        <v>3724</v>
      </c>
      <c r="H137" s="62" t="s">
        <v>3727</v>
      </c>
      <c r="I137" s="21"/>
      <c r="J137" s="62" t="s">
        <v>107</v>
      </c>
      <c r="K137" s="63" t="b">
        <v>0</v>
      </c>
      <c r="L137" s="21"/>
      <c r="M137" s="62" t="s">
        <v>3028</v>
      </c>
      <c r="N137" s="62" t="s">
        <v>33</v>
      </c>
      <c r="O137" s="62" t="s">
        <v>3028</v>
      </c>
      <c r="P137" s="62" t="s">
        <v>33</v>
      </c>
      <c r="Q137" s="63" t="s">
        <v>3033</v>
      </c>
      <c r="R137" s="63" t="s">
        <v>3033</v>
      </c>
      <c r="S137" s="21"/>
      <c r="T137" s="21"/>
      <c r="U137" s="21"/>
      <c r="V137" s="62" t="s">
        <v>3872</v>
      </c>
      <c r="W137" s="62" t="s">
        <v>3082</v>
      </c>
      <c r="X137" s="21"/>
      <c r="Y137" s="21"/>
      <c r="Z137" s="21"/>
      <c r="AA137" s="21"/>
      <c r="AB137" s="21"/>
      <c r="AC137" s="62" t="s">
        <v>3856</v>
      </c>
      <c r="AD137" s="62" t="s">
        <v>3530</v>
      </c>
      <c r="AE137" s="62" t="s">
        <v>3730</v>
      </c>
      <c r="AF137" s="62" t="s">
        <v>3731</v>
      </c>
      <c r="AG137" s="62" t="s">
        <v>3239</v>
      </c>
      <c r="AH137" s="62" t="s">
        <v>3525</v>
      </c>
      <c r="AI137" s="63" t="s">
        <v>3033</v>
      </c>
    </row>
    <row r="138" ht="21.75" customHeight="1">
      <c r="A138" s="62" t="s">
        <v>3873</v>
      </c>
      <c r="B138" s="62" t="s">
        <v>3028</v>
      </c>
      <c r="C138" s="62" t="s">
        <v>33</v>
      </c>
      <c r="D138" s="62" t="s">
        <v>3874</v>
      </c>
      <c r="E138" s="62" t="s">
        <v>3875</v>
      </c>
      <c r="F138" s="62" t="s">
        <v>3876</v>
      </c>
      <c r="G138" s="62" t="s">
        <v>3724</v>
      </c>
      <c r="H138" s="62" t="s">
        <v>3727</v>
      </c>
      <c r="I138" s="21"/>
      <c r="J138" s="64">
        <v>9.88E9</v>
      </c>
      <c r="K138" s="63" t="b">
        <v>0</v>
      </c>
      <c r="L138" s="21"/>
      <c r="M138" s="62" t="s">
        <v>3028</v>
      </c>
      <c r="N138" s="62" t="s">
        <v>33</v>
      </c>
      <c r="O138" s="62" t="s">
        <v>3028</v>
      </c>
      <c r="P138" s="62" t="s">
        <v>33</v>
      </c>
      <c r="Q138" s="63" t="s">
        <v>3033</v>
      </c>
      <c r="R138" s="63" t="s">
        <v>3033</v>
      </c>
      <c r="S138" s="21"/>
      <c r="T138" s="21"/>
      <c r="U138" s="21"/>
      <c r="V138" s="62" t="s">
        <v>3877</v>
      </c>
      <c r="W138" s="62" t="s">
        <v>3082</v>
      </c>
      <c r="X138" s="21"/>
      <c r="Y138" s="21"/>
      <c r="Z138" s="21"/>
      <c r="AA138" s="21"/>
      <c r="AB138" s="21"/>
      <c r="AC138" s="62" t="s">
        <v>3880</v>
      </c>
      <c r="AD138" s="62" t="s">
        <v>3530</v>
      </c>
      <c r="AE138" s="62" t="s">
        <v>3730</v>
      </c>
      <c r="AF138" s="62" t="s">
        <v>3731</v>
      </c>
      <c r="AG138" s="62" t="s">
        <v>3239</v>
      </c>
      <c r="AH138" s="62" t="s">
        <v>3525</v>
      </c>
      <c r="AI138" s="63" t="s">
        <v>3033</v>
      </c>
    </row>
    <row r="139" ht="21.75" customHeight="1">
      <c r="A139" s="62" t="s">
        <v>3882</v>
      </c>
      <c r="B139" s="62" t="s">
        <v>3028</v>
      </c>
      <c r="C139" s="62" t="s">
        <v>33</v>
      </c>
      <c r="D139" s="62" t="s">
        <v>3883</v>
      </c>
      <c r="E139" s="62" t="s">
        <v>3884</v>
      </c>
      <c r="F139" s="62" t="s">
        <v>3885</v>
      </c>
      <c r="G139" s="62" t="s">
        <v>3724</v>
      </c>
      <c r="H139" s="62" t="s">
        <v>3727</v>
      </c>
      <c r="I139" s="21"/>
      <c r="J139" s="62" t="s">
        <v>107</v>
      </c>
      <c r="K139" s="63" t="b">
        <v>0</v>
      </c>
      <c r="L139" s="21"/>
      <c r="M139" s="62" t="s">
        <v>3028</v>
      </c>
      <c r="N139" s="62" t="s">
        <v>33</v>
      </c>
      <c r="O139" s="62" t="s">
        <v>3028</v>
      </c>
      <c r="P139" s="62" t="s">
        <v>33</v>
      </c>
      <c r="Q139" s="63" t="s">
        <v>3033</v>
      </c>
      <c r="R139" s="63" t="s">
        <v>3033</v>
      </c>
      <c r="S139" s="21"/>
      <c r="T139" s="21"/>
      <c r="U139" s="21"/>
      <c r="V139" s="62" t="s">
        <v>3886</v>
      </c>
      <c r="W139" s="62" t="s">
        <v>3082</v>
      </c>
      <c r="X139" s="21"/>
      <c r="Y139" s="21"/>
      <c r="Z139" s="21"/>
      <c r="AA139" s="21"/>
      <c r="AB139" s="21"/>
      <c r="AC139" s="62" t="s">
        <v>3792</v>
      </c>
      <c r="AD139" s="62" t="s">
        <v>3530</v>
      </c>
      <c r="AE139" s="62" t="s">
        <v>3730</v>
      </c>
      <c r="AF139" s="62" t="s">
        <v>3731</v>
      </c>
      <c r="AG139" s="62" t="s">
        <v>3239</v>
      </c>
      <c r="AH139" s="62" t="s">
        <v>3525</v>
      </c>
      <c r="AI139" s="63" t="s">
        <v>3033</v>
      </c>
    </row>
    <row r="140" ht="21.75" customHeight="1">
      <c r="A140" s="62" t="s">
        <v>3888</v>
      </c>
      <c r="B140" s="62" t="s">
        <v>3028</v>
      </c>
      <c r="C140" s="62" t="s">
        <v>33</v>
      </c>
      <c r="D140" s="62" t="s">
        <v>3890</v>
      </c>
      <c r="E140" s="62" t="s">
        <v>3846</v>
      </c>
      <c r="F140" s="62" t="s">
        <v>3892</v>
      </c>
      <c r="G140" s="62" t="s">
        <v>3724</v>
      </c>
      <c r="H140" s="62" t="s">
        <v>3727</v>
      </c>
      <c r="I140" s="21"/>
      <c r="J140" s="62" t="s">
        <v>107</v>
      </c>
      <c r="K140" s="63" t="b">
        <v>0</v>
      </c>
      <c r="L140" s="21"/>
      <c r="M140" s="62" t="s">
        <v>3028</v>
      </c>
      <c r="N140" s="62" t="s">
        <v>33</v>
      </c>
      <c r="O140" s="62" t="s">
        <v>3028</v>
      </c>
      <c r="P140" s="62" t="s">
        <v>33</v>
      </c>
      <c r="Q140" s="63" t="s">
        <v>3033</v>
      </c>
      <c r="R140" s="63" t="s">
        <v>3033</v>
      </c>
      <c r="S140" s="21"/>
      <c r="T140" s="21"/>
      <c r="U140" s="21"/>
      <c r="V140" s="62" t="s">
        <v>3893</v>
      </c>
      <c r="W140" s="62" t="s">
        <v>3082</v>
      </c>
      <c r="X140" s="21"/>
      <c r="Y140" s="21"/>
      <c r="Z140" s="21"/>
      <c r="AA140" s="21"/>
      <c r="AB140" s="21"/>
      <c r="AC140" s="62" t="s">
        <v>3856</v>
      </c>
      <c r="AD140" s="62" t="s">
        <v>3530</v>
      </c>
      <c r="AE140" s="62" t="s">
        <v>3730</v>
      </c>
      <c r="AF140" s="62" t="s">
        <v>3731</v>
      </c>
      <c r="AG140" s="62" t="s">
        <v>3239</v>
      </c>
      <c r="AH140" s="62" t="s">
        <v>3525</v>
      </c>
      <c r="AI140" s="63" t="s">
        <v>3033</v>
      </c>
    </row>
    <row r="141" ht="21.75" customHeight="1">
      <c r="A141" s="62" t="s">
        <v>3895</v>
      </c>
      <c r="B141" s="62" t="s">
        <v>3028</v>
      </c>
      <c r="C141" s="62" t="s">
        <v>33</v>
      </c>
      <c r="D141" s="62" t="s">
        <v>3896</v>
      </c>
      <c r="E141" s="62" t="s">
        <v>3897</v>
      </c>
      <c r="F141" s="62" t="s">
        <v>3898</v>
      </c>
      <c r="G141" s="62" t="s">
        <v>3724</v>
      </c>
      <c r="H141" s="62" t="s">
        <v>3727</v>
      </c>
      <c r="I141" s="21"/>
      <c r="J141" s="64">
        <v>9.95E9</v>
      </c>
      <c r="K141" s="63" t="b">
        <v>0</v>
      </c>
      <c r="L141" s="21"/>
      <c r="M141" s="62" t="s">
        <v>3028</v>
      </c>
      <c r="N141" s="62" t="s">
        <v>33</v>
      </c>
      <c r="O141" s="62" t="s">
        <v>3028</v>
      </c>
      <c r="P141" s="62" t="s">
        <v>33</v>
      </c>
      <c r="Q141" s="63" t="s">
        <v>3033</v>
      </c>
      <c r="R141" s="63" t="s">
        <v>3033</v>
      </c>
      <c r="S141" s="21"/>
      <c r="T141" s="21"/>
      <c r="U141" s="21"/>
      <c r="V141" s="62" t="s">
        <v>3902</v>
      </c>
      <c r="W141" s="62" t="s">
        <v>3082</v>
      </c>
      <c r="X141" s="21"/>
      <c r="Y141" s="21"/>
      <c r="Z141" s="21"/>
      <c r="AA141" s="21"/>
      <c r="AB141" s="21"/>
      <c r="AC141" s="62" t="s">
        <v>855</v>
      </c>
      <c r="AD141" s="62" t="s">
        <v>3530</v>
      </c>
      <c r="AE141" s="62" t="s">
        <v>3730</v>
      </c>
      <c r="AF141" s="62" t="s">
        <v>3731</v>
      </c>
      <c r="AG141" s="62" t="s">
        <v>3239</v>
      </c>
      <c r="AH141" s="62" t="s">
        <v>3525</v>
      </c>
      <c r="AI141" s="63" t="s">
        <v>3033</v>
      </c>
    </row>
    <row r="142" ht="21.75" customHeight="1">
      <c r="A142" s="62" t="s">
        <v>3903</v>
      </c>
      <c r="B142" s="62" t="s">
        <v>3028</v>
      </c>
      <c r="C142" s="62" t="s">
        <v>33</v>
      </c>
      <c r="D142" s="62" t="s">
        <v>3904</v>
      </c>
      <c r="E142" s="62" t="s">
        <v>3905</v>
      </c>
      <c r="F142" s="62" t="s">
        <v>3906</v>
      </c>
      <c r="G142" s="62" t="s">
        <v>3724</v>
      </c>
      <c r="H142" s="62" t="s">
        <v>3727</v>
      </c>
      <c r="I142" s="21"/>
      <c r="J142" s="21"/>
      <c r="K142" s="63" t="b">
        <v>0</v>
      </c>
      <c r="L142" s="21"/>
      <c r="M142" s="62" t="s">
        <v>3028</v>
      </c>
      <c r="N142" s="62" t="s">
        <v>33</v>
      </c>
      <c r="O142" s="62" t="s">
        <v>3028</v>
      </c>
      <c r="P142" s="62" t="s">
        <v>33</v>
      </c>
      <c r="Q142" s="63" t="s">
        <v>3033</v>
      </c>
      <c r="R142" s="63" t="s">
        <v>3033</v>
      </c>
      <c r="S142" s="21"/>
      <c r="T142" s="21"/>
      <c r="U142" s="21"/>
      <c r="V142" s="62" t="s">
        <v>3907</v>
      </c>
      <c r="W142" s="62" t="s">
        <v>3082</v>
      </c>
      <c r="X142" s="21"/>
      <c r="Y142" s="21"/>
      <c r="Z142" s="21"/>
      <c r="AA142" s="21"/>
      <c r="AB142" s="21"/>
      <c r="AC142" s="62" t="s">
        <v>197</v>
      </c>
      <c r="AD142" s="62" t="s">
        <v>3530</v>
      </c>
      <c r="AE142" s="62" t="s">
        <v>3730</v>
      </c>
      <c r="AF142" s="62" t="s">
        <v>3731</v>
      </c>
      <c r="AG142" s="62" t="s">
        <v>3239</v>
      </c>
      <c r="AH142" s="62" t="s">
        <v>3525</v>
      </c>
      <c r="AI142" s="63" t="s">
        <v>3033</v>
      </c>
    </row>
    <row r="143" ht="21.75" customHeight="1">
      <c r="A143" s="62" t="s">
        <v>3911</v>
      </c>
      <c r="B143" s="62" t="s">
        <v>3028</v>
      </c>
      <c r="C143" s="62" t="s">
        <v>33</v>
      </c>
      <c r="D143" s="62" t="s">
        <v>3616</v>
      </c>
      <c r="E143" s="62" t="s">
        <v>3912</v>
      </c>
      <c r="F143" s="21"/>
      <c r="G143" s="62" t="s">
        <v>3724</v>
      </c>
      <c r="H143" s="62" t="s">
        <v>3727</v>
      </c>
      <c r="I143" s="21"/>
      <c r="J143" s="62" t="s">
        <v>107</v>
      </c>
      <c r="K143" s="63" t="b">
        <v>0</v>
      </c>
      <c r="L143" s="21"/>
      <c r="M143" s="62" t="s">
        <v>3028</v>
      </c>
      <c r="N143" s="62" t="s">
        <v>33</v>
      </c>
      <c r="O143" s="62" t="s">
        <v>3028</v>
      </c>
      <c r="P143" s="62" t="s">
        <v>33</v>
      </c>
      <c r="Q143" s="63" t="s">
        <v>3033</v>
      </c>
      <c r="R143" s="63" t="s">
        <v>3033</v>
      </c>
      <c r="S143" s="21"/>
      <c r="T143" s="21"/>
      <c r="U143" s="21"/>
      <c r="V143" s="62" t="s">
        <v>3913</v>
      </c>
      <c r="W143" s="62" t="s">
        <v>3082</v>
      </c>
      <c r="X143" s="21"/>
      <c r="Y143" s="21"/>
      <c r="Z143" s="21"/>
      <c r="AA143" s="21"/>
      <c r="AB143" s="21"/>
      <c r="AC143" s="62" t="s">
        <v>3914</v>
      </c>
      <c r="AD143" s="62" t="s">
        <v>3530</v>
      </c>
      <c r="AE143" s="62" t="s">
        <v>3730</v>
      </c>
      <c r="AF143" s="62" t="s">
        <v>3731</v>
      </c>
      <c r="AG143" s="62" t="s">
        <v>3239</v>
      </c>
      <c r="AH143" s="62" t="s">
        <v>3525</v>
      </c>
      <c r="AI143" s="63" t="s">
        <v>3033</v>
      </c>
    </row>
    <row r="144" ht="21.75" customHeight="1">
      <c r="A144" s="62" t="s">
        <v>3915</v>
      </c>
      <c r="B144" s="62" t="s">
        <v>3028</v>
      </c>
      <c r="C144" s="62" t="s">
        <v>33</v>
      </c>
      <c r="D144" s="62" t="s">
        <v>3918</v>
      </c>
      <c r="E144" s="62" t="s">
        <v>3884</v>
      </c>
      <c r="F144" s="62" t="s">
        <v>3919</v>
      </c>
      <c r="G144" s="62" t="s">
        <v>3724</v>
      </c>
      <c r="H144" s="62" t="s">
        <v>3727</v>
      </c>
      <c r="I144" s="21"/>
      <c r="J144" s="62" t="s">
        <v>107</v>
      </c>
      <c r="K144" s="63" t="b">
        <v>0</v>
      </c>
      <c r="L144" s="21"/>
      <c r="M144" s="62" t="s">
        <v>3028</v>
      </c>
      <c r="N144" s="62" t="s">
        <v>33</v>
      </c>
      <c r="O144" s="62" t="s">
        <v>3028</v>
      </c>
      <c r="P144" s="62" t="s">
        <v>33</v>
      </c>
      <c r="Q144" s="63" t="s">
        <v>3033</v>
      </c>
      <c r="R144" s="63" t="s">
        <v>3033</v>
      </c>
      <c r="S144" s="21"/>
      <c r="T144" s="21"/>
      <c r="U144" s="21"/>
      <c r="V144" s="62" t="s">
        <v>3921</v>
      </c>
      <c r="W144" s="62" t="s">
        <v>3082</v>
      </c>
      <c r="X144" s="21"/>
      <c r="Y144" s="21"/>
      <c r="Z144" s="21"/>
      <c r="AA144" s="21"/>
      <c r="AB144" s="21"/>
      <c r="AC144" s="62" t="s">
        <v>3922</v>
      </c>
      <c r="AD144" s="62" t="s">
        <v>3530</v>
      </c>
      <c r="AE144" s="62" t="s">
        <v>3730</v>
      </c>
      <c r="AF144" s="62" t="s">
        <v>3731</v>
      </c>
      <c r="AG144" s="62" t="s">
        <v>3239</v>
      </c>
      <c r="AH144" s="62" t="s">
        <v>3525</v>
      </c>
      <c r="AI144" s="63" t="s">
        <v>3033</v>
      </c>
    </row>
    <row r="145" ht="21.75" customHeight="1">
      <c r="A145" s="62" t="s">
        <v>3923</v>
      </c>
      <c r="B145" s="62" t="s">
        <v>3028</v>
      </c>
      <c r="C145" s="62" t="s">
        <v>33</v>
      </c>
      <c r="D145" s="62" t="s">
        <v>3924</v>
      </c>
      <c r="E145" s="62" t="s">
        <v>3925</v>
      </c>
      <c r="F145" s="62" t="s">
        <v>3926</v>
      </c>
      <c r="G145" s="62" t="s">
        <v>3724</v>
      </c>
      <c r="H145" s="62" t="s">
        <v>3727</v>
      </c>
      <c r="I145" s="21"/>
      <c r="J145" s="62" t="s">
        <v>107</v>
      </c>
      <c r="K145" s="63" t="b">
        <v>0</v>
      </c>
      <c r="L145" s="21"/>
      <c r="M145" s="62" t="s">
        <v>3028</v>
      </c>
      <c r="N145" s="62" t="s">
        <v>33</v>
      </c>
      <c r="O145" s="62" t="s">
        <v>3028</v>
      </c>
      <c r="P145" s="62" t="s">
        <v>33</v>
      </c>
      <c r="Q145" s="63" t="s">
        <v>3033</v>
      </c>
      <c r="R145" s="63" t="s">
        <v>3033</v>
      </c>
      <c r="S145" s="21"/>
      <c r="T145" s="21"/>
      <c r="U145" s="21"/>
      <c r="V145" s="62" t="s">
        <v>3928</v>
      </c>
      <c r="W145" s="62" t="s">
        <v>3082</v>
      </c>
      <c r="X145" s="21"/>
      <c r="Y145" s="21"/>
      <c r="Z145" s="21"/>
      <c r="AA145" s="21"/>
      <c r="AB145" s="21"/>
      <c r="AC145" s="62" t="s">
        <v>3929</v>
      </c>
      <c r="AD145" s="62" t="s">
        <v>3530</v>
      </c>
      <c r="AE145" s="62" t="s">
        <v>3730</v>
      </c>
      <c r="AF145" s="62" t="s">
        <v>3731</v>
      </c>
      <c r="AG145" s="62" t="s">
        <v>3239</v>
      </c>
      <c r="AH145" s="62" t="s">
        <v>3525</v>
      </c>
      <c r="AI145" s="63" t="s">
        <v>3033</v>
      </c>
    </row>
    <row r="146" ht="21.75" customHeight="1">
      <c r="A146" s="62" t="s">
        <v>3933</v>
      </c>
      <c r="B146" s="62" t="s">
        <v>3028</v>
      </c>
      <c r="C146" s="62" t="s">
        <v>33</v>
      </c>
      <c r="D146" s="62" t="s">
        <v>3934</v>
      </c>
      <c r="E146" s="62" t="s">
        <v>3935</v>
      </c>
      <c r="F146" s="62" t="s">
        <v>3936</v>
      </c>
      <c r="G146" s="62" t="s">
        <v>3724</v>
      </c>
      <c r="H146" s="62" t="s">
        <v>3727</v>
      </c>
      <c r="I146" s="21"/>
      <c r="J146" s="62" t="s">
        <v>107</v>
      </c>
      <c r="K146" s="63" t="b">
        <v>0</v>
      </c>
      <c r="L146" s="21"/>
      <c r="M146" s="62" t="s">
        <v>3028</v>
      </c>
      <c r="N146" s="62" t="s">
        <v>33</v>
      </c>
      <c r="O146" s="62" t="s">
        <v>3028</v>
      </c>
      <c r="P146" s="62" t="s">
        <v>33</v>
      </c>
      <c r="Q146" s="63" t="s">
        <v>3033</v>
      </c>
      <c r="R146" s="63" t="s">
        <v>3033</v>
      </c>
      <c r="S146" s="21"/>
      <c r="T146" s="21"/>
      <c r="U146" s="21"/>
      <c r="V146" s="62" t="s">
        <v>3937</v>
      </c>
      <c r="W146" s="62" t="s">
        <v>3082</v>
      </c>
      <c r="X146" s="21"/>
      <c r="Y146" s="21"/>
      <c r="Z146" s="21"/>
      <c r="AA146" s="21"/>
      <c r="AB146" s="21"/>
      <c r="AC146" s="62" t="s">
        <v>197</v>
      </c>
      <c r="AD146" s="62" t="s">
        <v>3530</v>
      </c>
      <c r="AE146" s="62" t="s">
        <v>3730</v>
      </c>
      <c r="AF146" s="62" t="s">
        <v>3731</v>
      </c>
      <c r="AG146" s="62" t="s">
        <v>3239</v>
      </c>
      <c r="AH146" s="62" t="s">
        <v>3525</v>
      </c>
      <c r="AI146" s="63" t="s">
        <v>3033</v>
      </c>
    </row>
    <row r="147" ht="21.75" customHeight="1">
      <c r="A147" s="62" t="s">
        <v>3938</v>
      </c>
      <c r="B147" s="62" t="s">
        <v>3028</v>
      </c>
      <c r="C147" s="62" t="s">
        <v>33</v>
      </c>
      <c r="D147" s="62" t="s">
        <v>3939</v>
      </c>
      <c r="E147" s="62" t="s">
        <v>3941</v>
      </c>
      <c r="G147" s="62" t="s">
        <v>3724</v>
      </c>
      <c r="H147" s="62" t="s">
        <v>3727</v>
      </c>
      <c r="I147" s="21"/>
      <c r="J147" s="62" t="s">
        <v>107</v>
      </c>
      <c r="K147" s="63" t="b">
        <v>0</v>
      </c>
      <c r="L147" s="21"/>
      <c r="M147" s="62" t="s">
        <v>3028</v>
      </c>
      <c r="N147" s="62" t="s">
        <v>33</v>
      </c>
      <c r="O147" s="62" t="s">
        <v>3028</v>
      </c>
      <c r="P147" s="62" t="s">
        <v>33</v>
      </c>
      <c r="Q147" s="63" t="s">
        <v>3033</v>
      </c>
      <c r="R147" s="63" t="s">
        <v>3033</v>
      </c>
      <c r="S147" s="21"/>
      <c r="T147" s="21"/>
      <c r="U147" s="21"/>
      <c r="V147" s="62" t="s">
        <v>3943</v>
      </c>
      <c r="W147" s="62" t="s">
        <v>3082</v>
      </c>
      <c r="X147" s="21"/>
      <c r="Y147" s="21"/>
      <c r="Z147" s="21"/>
      <c r="AA147" s="21"/>
      <c r="AB147" s="21"/>
      <c r="AC147" s="62" t="s">
        <v>3944</v>
      </c>
      <c r="AD147" s="62" t="s">
        <v>3530</v>
      </c>
      <c r="AE147" s="62" t="s">
        <v>3730</v>
      </c>
      <c r="AF147" s="62" t="s">
        <v>3731</v>
      </c>
      <c r="AG147" s="62" t="s">
        <v>3239</v>
      </c>
      <c r="AH147" s="62" t="s">
        <v>3525</v>
      </c>
      <c r="AI147" s="63" t="s">
        <v>3033</v>
      </c>
    </row>
    <row r="148" ht="21.75" customHeight="1">
      <c r="A148" s="62" t="s">
        <v>3945</v>
      </c>
      <c r="B148" s="62" t="s">
        <v>3028</v>
      </c>
      <c r="C148" s="62" t="s">
        <v>33</v>
      </c>
      <c r="D148" s="62" t="s">
        <v>3947</v>
      </c>
      <c r="E148" s="62" t="s">
        <v>3948</v>
      </c>
      <c r="F148" s="62" t="s">
        <v>3949</v>
      </c>
      <c r="G148" s="62" t="s">
        <v>3724</v>
      </c>
      <c r="H148" s="62" t="s">
        <v>3727</v>
      </c>
      <c r="I148" s="21"/>
      <c r="J148" s="64">
        <v>9.94E9</v>
      </c>
      <c r="K148" s="63" t="b">
        <v>0</v>
      </c>
      <c r="L148" s="21"/>
      <c r="M148" s="62" t="s">
        <v>3028</v>
      </c>
      <c r="N148" s="62" t="s">
        <v>33</v>
      </c>
      <c r="O148" s="62" t="s">
        <v>3028</v>
      </c>
      <c r="P148" s="62" t="s">
        <v>33</v>
      </c>
      <c r="Q148" s="63" t="s">
        <v>3033</v>
      </c>
      <c r="R148" s="63" t="s">
        <v>3033</v>
      </c>
      <c r="S148" s="21"/>
      <c r="T148" s="21"/>
      <c r="U148" s="21"/>
      <c r="V148" s="62" t="s">
        <v>3950</v>
      </c>
      <c r="W148" s="62" t="s">
        <v>3082</v>
      </c>
      <c r="X148" s="21"/>
      <c r="Y148" s="21"/>
      <c r="Z148" s="21"/>
      <c r="AA148" s="21"/>
      <c r="AB148" s="21"/>
      <c r="AC148" s="62" t="s">
        <v>3951</v>
      </c>
      <c r="AD148" s="62" t="s">
        <v>3530</v>
      </c>
      <c r="AE148" s="62" t="s">
        <v>3730</v>
      </c>
      <c r="AF148" s="62" t="s">
        <v>3731</v>
      </c>
      <c r="AG148" s="62" t="s">
        <v>3239</v>
      </c>
      <c r="AH148" s="62" t="s">
        <v>3525</v>
      </c>
      <c r="AI148" s="63" t="s">
        <v>3033</v>
      </c>
    </row>
    <row r="149" ht="21.75" customHeight="1">
      <c r="A149" s="62" t="s">
        <v>3953</v>
      </c>
      <c r="B149" s="62" t="s">
        <v>3028</v>
      </c>
      <c r="C149" s="62" t="s">
        <v>33</v>
      </c>
      <c r="D149" s="62" t="s">
        <v>3954</v>
      </c>
      <c r="E149" s="62" t="s">
        <v>3955</v>
      </c>
      <c r="F149" s="21"/>
      <c r="G149" s="62" t="s">
        <v>3724</v>
      </c>
      <c r="H149" s="62" t="s">
        <v>3727</v>
      </c>
      <c r="I149" s="21"/>
      <c r="J149" s="62" t="s">
        <v>107</v>
      </c>
      <c r="K149" s="63" t="b">
        <v>0</v>
      </c>
      <c r="L149" s="21"/>
      <c r="M149" s="62" t="s">
        <v>3028</v>
      </c>
      <c r="N149" s="62" t="s">
        <v>33</v>
      </c>
      <c r="O149" s="62" t="s">
        <v>3028</v>
      </c>
      <c r="P149" s="62" t="s">
        <v>33</v>
      </c>
      <c r="Q149" s="63" t="s">
        <v>3033</v>
      </c>
      <c r="R149" s="63" t="s">
        <v>3033</v>
      </c>
      <c r="S149" s="21"/>
      <c r="T149" s="21"/>
      <c r="U149" s="21"/>
      <c r="V149" s="62" t="s">
        <v>3959</v>
      </c>
      <c r="W149" s="62" t="s">
        <v>3082</v>
      </c>
      <c r="X149" s="21"/>
      <c r="Y149" s="21"/>
      <c r="Z149" s="21"/>
      <c r="AA149" s="21"/>
      <c r="AB149" s="21"/>
      <c r="AC149" s="62" t="s">
        <v>3960</v>
      </c>
      <c r="AD149" s="62" t="s">
        <v>3530</v>
      </c>
      <c r="AE149" s="62" t="s">
        <v>3730</v>
      </c>
      <c r="AF149" s="62" t="s">
        <v>3731</v>
      </c>
      <c r="AG149" s="62" t="s">
        <v>3239</v>
      </c>
      <c r="AH149" s="62" t="s">
        <v>3525</v>
      </c>
      <c r="AI149" s="63" t="s">
        <v>3033</v>
      </c>
    </row>
    <row r="150" ht="21.75" customHeight="1">
      <c r="A150" s="62" t="s">
        <v>3961</v>
      </c>
      <c r="B150" s="62" t="s">
        <v>3028</v>
      </c>
      <c r="C150" s="62" t="s">
        <v>33</v>
      </c>
      <c r="D150" s="62" t="s">
        <v>3962</v>
      </c>
      <c r="E150" s="62" t="s">
        <v>3456</v>
      </c>
      <c r="F150" s="62" t="s">
        <v>3963</v>
      </c>
      <c r="G150" s="62" t="s">
        <v>3724</v>
      </c>
      <c r="H150" s="62" t="s">
        <v>3727</v>
      </c>
      <c r="I150" s="21"/>
      <c r="J150" s="64">
        <v>9.96E9</v>
      </c>
      <c r="K150" s="63" t="b">
        <v>0</v>
      </c>
      <c r="L150" s="21"/>
      <c r="M150" s="62" t="s">
        <v>3028</v>
      </c>
      <c r="N150" s="62" t="s">
        <v>33</v>
      </c>
      <c r="O150" s="62" t="s">
        <v>3028</v>
      </c>
      <c r="P150" s="62" t="s">
        <v>33</v>
      </c>
      <c r="Q150" s="63" t="s">
        <v>3033</v>
      </c>
      <c r="R150" s="63" t="s">
        <v>3033</v>
      </c>
      <c r="S150" s="21"/>
      <c r="T150" s="21"/>
      <c r="U150" s="21"/>
      <c r="V150" s="62" t="s">
        <v>3964</v>
      </c>
      <c r="W150" s="62" t="s">
        <v>3082</v>
      </c>
      <c r="X150" s="21"/>
      <c r="Y150" s="21"/>
      <c r="Z150" s="21"/>
      <c r="AA150" s="21"/>
      <c r="AB150" s="21"/>
      <c r="AC150" s="62" t="s">
        <v>197</v>
      </c>
      <c r="AD150" s="62" t="s">
        <v>3530</v>
      </c>
      <c r="AE150" s="62" t="s">
        <v>3730</v>
      </c>
      <c r="AF150" s="62" t="s">
        <v>3731</v>
      </c>
      <c r="AG150" s="62" t="s">
        <v>3239</v>
      </c>
      <c r="AH150" s="62" t="s">
        <v>3525</v>
      </c>
      <c r="AI150" s="63" t="s">
        <v>3033</v>
      </c>
    </row>
    <row r="151" ht="21.75" customHeight="1">
      <c r="A151" s="62" t="s">
        <v>3967</v>
      </c>
      <c r="B151" s="62" t="s">
        <v>3028</v>
      </c>
      <c r="C151" s="62" t="s">
        <v>33</v>
      </c>
      <c r="D151" s="62" t="s">
        <v>3969</v>
      </c>
      <c r="E151" s="62" t="s">
        <v>3970</v>
      </c>
      <c r="F151" s="62" t="s">
        <v>3971</v>
      </c>
      <c r="G151" s="62" t="s">
        <v>3724</v>
      </c>
      <c r="H151" s="62" t="s">
        <v>3727</v>
      </c>
      <c r="I151" s="21"/>
      <c r="J151" s="62" t="s">
        <v>107</v>
      </c>
      <c r="K151" s="63" t="b">
        <v>0</v>
      </c>
      <c r="L151" s="21"/>
      <c r="M151" s="62" t="s">
        <v>3028</v>
      </c>
      <c r="N151" s="62" t="s">
        <v>33</v>
      </c>
      <c r="O151" s="62" t="s">
        <v>3028</v>
      </c>
      <c r="P151" s="62" t="s">
        <v>33</v>
      </c>
      <c r="Q151" s="63" t="s">
        <v>3033</v>
      </c>
      <c r="R151" s="63" t="s">
        <v>3033</v>
      </c>
      <c r="S151" s="21"/>
      <c r="T151" s="21"/>
      <c r="U151" s="21"/>
      <c r="V151" s="62" t="s">
        <v>3972</v>
      </c>
      <c r="W151" s="62" t="s">
        <v>3082</v>
      </c>
      <c r="X151" s="21"/>
      <c r="Y151" s="21"/>
      <c r="Z151" s="21"/>
      <c r="AA151" s="21"/>
      <c r="AB151" s="21"/>
      <c r="AC151" s="62" t="s">
        <v>3960</v>
      </c>
      <c r="AD151" s="62" t="s">
        <v>3530</v>
      </c>
      <c r="AE151" s="62" t="s">
        <v>3730</v>
      </c>
      <c r="AF151" s="62" t="s">
        <v>3731</v>
      </c>
      <c r="AG151" s="62" t="s">
        <v>3239</v>
      </c>
      <c r="AH151" s="62" t="s">
        <v>3525</v>
      </c>
      <c r="AI151" s="63" t="s">
        <v>3033</v>
      </c>
    </row>
    <row r="152" ht="21.75" customHeight="1">
      <c r="A152" s="62" t="s">
        <v>3973</v>
      </c>
      <c r="B152" s="62" t="s">
        <v>3028</v>
      </c>
      <c r="C152" s="62" t="s">
        <v>33</v>
      </c>
      <c r="D152" s="62" t="s">
        <v>3741</v>
      </c>
      <c r="E152" s="62" t="s">
        <v>3974</v>
      </c>
      <c r="F152" s="62" t="s">
        <v>3975</v>
      </c>
      <c r="G152" s="62" t="s">
        <v>3724</v>
      </c>
      <c r="H152" s="62" t="s">
        <v>3727</v>
      </c>
      <c r="I152" s="21"/>
      <c r="J152" s="62" t="s">
        <v>107</v>
      </c>
      <c r="K152" s="63" t="b">
        <v>0</v>
      </c>
      <c r="L152" s="21"/>
      <c r="M152" s="62" t="s">
        <v>3028</v>
      </c>
      <c r="N152" s="62" t="s">
        <v>33</v>
      </c>
      <c r="O152" s="62" t="s">
        <v>3028</v>
      </c>
      <c r="P152" s="62" t="s">
        <v>33</v>
      </c>
      <c r="Q152" s="63" t="s">
        <v>3033</v>
      </c>
      <c r="R152" s="63" t="s">
        <v>3033</v>
      </c>
      <c r="S152" s="21"/>
      <c r="T152" s="21"/>
      <c r="U152" s="21"/>
      <c r="V152" s="62" t="s">
        <v>3979</v>
      </c>
      <c r="W152" s="62" t="s">
        <v>3082</v>
      </c>
      <c r="X152" s="21"/>
      <c r="Y152" s="21"/>
      <c r="Z152" s="21"/>
      <c r="AA152" s="21"/>
      <c r="AB152" s="21"/>
      <c r="AC152" s="62" t="s">
        <v>855</v>
      </c>
      <c r="AD152" s="62" t="s">
        <v>3530</v>
      </c>
      <c r="AE152" s="62" t="s">
        <v>3730</v>
      </c>
      <c r="AF152" s="62" t="s">
        <v>3731</v>
      </c>
      <c r="AG152" s="62" t="s">
        <v>3239</v>
      </c>
      <c r="AH152" s="62" t="s">
        <v>3525</v>
      </c>
      <c r="AI152" s="63" t="s">
        <v>3033</v>
      </c>
    </row>
    <row r="153" ht="21.75" customHeight="1">
      <c r="A153" s="62" t="s">
        <v>3980</v>
      </c>
      <c r="B153" s="62" t="s">
        <v>3028</v>
      </c>
      <c r="C153" s="62" t="s">
        <v>33</v>
      </c>
      <c r="D153" s="62" t="s">
        <v>3981</v>
      </c>
      <c r="E153" s="62" t="s">
        <v>3974</v>
      </c>
      <c r="F153" s="62" t="s">
        <v>3982</v>
      </c>
      <c r="G153" s="62" t="s">
        <v>3724</v>
      </c>
      <c r="H153" s="62" t="s">
        <v>3727</v>
      </c>
      <c r="I153" s="21"/>
      <c r="J153" s="62" t="s">
        <v>107</v>
      </c>
      <c r="K153" s="63" t="b">
        <v>0</v>
      </c>
      <c r="L153" s="21"/>
      <c r="M153" s="62" t="s">
        <v>3028</v>
      </c>
      <c r="N153" s="62" t="s">
        <v>33</v>
      </c>
      <c r="O153" s="62" t="s">
        <v>3028</v>
      </c>
      <c r="P153" s="62" t="s">
        <v>33</v>
      </c>
      <c r="Q153" s="63" t="s">
        <v>3033</v>
      </c>
      <c r="R153" s="63" t="s">
        <v>3033</v>
      </c>
      <c r="S153" s="21"/>
      <c r="T153" s="21"/>
      <c r="U153" s="21"/>
      <c r="V153" s="62" t="s">
        <v>3984</v>
      </c>
      <c r="W153" s="62" t="s">
        <v>3082</v>
      </c>
      <c r="X153" s="21"/>
      <c r="Y153" s="21"/>
      <c r="Z153" s="21"/>
      <c r="AA153" s="21"/>
      <c r="AB153" s="21"/>
      <c r="AC153" s="62" t="s">
        <v>197</v>
      </c>
      <c r="AD153" s="62" t="s">
        <v>3530</v>
      </c>
      <c r="AE153" s="62" t="s">
        <v>3730</v>
      </c>
      <c r="AF153" s="62" t="s">
        <v>3731</v>
      </c>
      <c r="AG153" s="62" t="s">
        <v>3239</v>
      </c>
      <c r="AH153" s="62" t="s">
        <v>3525</v>
      </c>
      <c r="AI153" s="63" t="s">
        <v>3033</v>
      </c>
    </row>
    <row r="154" ht="21.75" customHeight="1">
      <c r="A154" s="62" t="s">
        <v>3987</v>
      </c>
      <c r="B154" s="62" t="s">
        <v>3028</v>
      </c>
      <c r="C154" s="62" t="s">
        <v>33</v>
      </c>
      <c r="D154" s="62" t="s">
        <v>3988</v>
      </c>
      <c r="E154" s="62" t="s">
        <v>3989</v>
      </c>
      <c r="F154" s="62" t="s">
        <v>3990</v>
      </c>
      <c r="G154" s="62" t="s">
        <v>3724</v>
      </c>
      <c r="H154" s="62" t="s">
        <v>3727</v>
      </c>
      <c r="I154" s="21"/>
      <c r="J154" s="62" t="s">
        <v>107</v>
      </c>
      <c r="K154" s="63" t="b">
        <v>0</v>
      </c>
      <c r="L154" s="21"/>
      <c r="M154" s="62" t="s">
        <v>3028</v>
      </c>
      <c r="N154" s="62" t="s">
        <v>33</v>
      </c>
      <c r="O154" s="62" t="s">
        <v>3028</v>
      </c>
      <c r="P154" s="62" t="s">
        <v>33</v>
      </c>
      <c r="Q154" s="63" t="s">
        <v>3033</v>
      </c>
      <c r="R154" s="63" t="s">
        <v>3033</v>
      </c>
      <c r="S154" s="21"/>
      <c r="T154" s="21"/>
      <c r="U154" s="21"/>
      <c r="V154" s="62" t="s">
        <v>3991</v>
      </c>
      <c r="W154" s="62" t="s">
        <v>3082</v>
      </c>
      <c r="X154" s="21"/>
      <c r="Y154" s="21"/>
      <c r="Z154" s="21"/>
      <c r="AA154" s="21"/>
      <c r="AB154" s="21"/>
      <c r="AC154" s="62" t="s">
        <v>197</v>
      </c>
      <c r="AD154" s="62" t="s">
        <v>3530</v>
      </c>
      <c r="AE154" s="62" t="s">
        <v>3730</v>
      </c>
      <c r="AF154" s="62" t="s">
        <v>3731</v>
      </c>
      <c r="AG154" s="62" t="s">
        <v>3239</v>
      </c>
      <c r="AH154" s="62" t="s">
        <v>3525</v>
      </c>
      <c r="AI154" s="63" t="s">
        <v>3033</v>
      </c>
    </row>
    <row r="155" ht="21.75" customHeight="1">
      <c r="A155" s="62" t="s">
        <v>3992</v>
      </c>
      <c r="B155" s="62" t="s">
        <v>3028</v>
      </c>
      <c r="C155" s="62" t="s">
        <v>33</v>
      </c>
      <c r="D155" s="62" t="s">
        <v>3993</v>
      </c>
      <c r="E155" s="62" t="s">
        <v>3994</v>
      </c>
      <c r="F155" s="62" t="s">
        <v>3995</v>
      </c>
      <c r="G155" s="62" t="s">
        <v>3724</v>
      </c>
      <c r="H155" s="62" t="s">
        <v>3727</v>
      </c>
      <c r="I155" s="21"/>
      <c r="J155" s="62" t="s">
        <v>107</v>
      </c>
      <c r="K155" s="63" t="b">
        <v>0</v>
      </c>
      <c r="L155" s="21"/>
      <c r="M155" s="62" t="s">
        <v>3028</v>
      </c>
      <c r="N155" s="62" t="s">
        <v>33</v>
      </c>
      <c r="O155" s="62" t="s">
        <v>3028</v>
      </c>
      <c r="P155" s="62" t="s">
        <v>33</v>
      </c>
      <c r="Q155" s="63" t="s">
        <v>3033</v>
      </c>
      <c r="R155" s="63" t="s">
        <v>3033</v>
      </c>
      <c r="S155" s="21"/>
      <c r="T155" s="21"/>
      <c r="U155" s="21"/>
      <c r="V155" s="62" t="s">
        <v>3999</v>
      </c>
      <c r="W155" s="62" t="s">
        <v>3082</v>
      </c>
      <c r="X155" s="21"/>
      <c r="Y155" s="21"/>
      <c r="Z155" s="21"/>
      <c r="AA155" s="21"/>
      <c r="AB155" s="21"/>
      <c r="AC155" s="62" t="s">
        <v>197</v>
      </c>
      <c r="AD155" s="62" t="s">
        <v>3530</v>
      </c>
      <c r="AE155" s="62" t="s">
        <v>3730</v>
      </c>
      <c r="AF155" s="62" t="s">
        <v>3731</v>
      </c>
      <c r="AG155" s="62" t="s">
        <v>3239</v>
      </c>
      <c r="AH155" s="62" t="s">
        <v>3525</v>
      </c>
      <c r="AI155" s="63" t="s">
        <v>3033</v>
      </c>
    </row>
    <row r="156" ht="21.75" customHeight="1">
      <c r="A156" s="62" t="s">
        <v>4000</v>
      </c>
      <c r="B156" s="62" t="s">
        <v>3028</v>
      </c>
      <c r="C156" s="62" t="s">
        <v>33</v>
      </c>
      <c r="D156" s="62" t="s">
        <v>4001</v>
      </c>
      <c r="E156" s="62" t="s">
        <v>4002</v>
      </c>
      <c r="F156" s="21"/>
      <c r="G156" s="62" t="s">
        <v>3724</v>
      </c>
      <c r="H156" s="62" t="s">
        <v>3727</v>
      </c>
      <c r="I156" s="21"/>
      <c r="J156" s="62" t="s">
        <v>107</v>
      </c>
      <c r="K156" s="63" t="b">
        <v>0</v>
      </c>
      <c r="L156" s="21"/>
      <c r="M156" s="62" t="s">
        <v>3028</v>
      </c>
      <c r="N156" s="62" t="s">
        <v>33</v>
      </c>
      <c r="O156" s="62" t="s">
        <v>3028</v>
      </c>
      <c r="P156" s="62" t="s">
        <v>33</v>
      </c>
      <c r="Q156" s="63" t="s">
        <v>3033</v>
      </c>
      <c r="R156" s="63" t="s">
        <v>3033</v>
      </c>
      <c r="S156" s="21"/>
      <c r="T156" s="21"/>
      <c r="U156" s="21"/>
      <c r="V156" s="62" t="s">
        <v>4004</v>
      </c>
      <c r="W156" s="62" t="s">
        <v>3082</v>
      </c>
      <c r="X156" s="21"/>
      <c r="Y156" s="21"/>
      <c r="Z156" s="21"/>
      <c r="AA156" s="21"/>
      <c r="AB156" s="21"/>
      <c r="AC156" s="62" t="s">
        <v>4005</v>
      </c>
      <c r="AD156" s="62" t="s">
        <v>3530</v>
      </c>
      <c r="AE156" s="62" t="s">
        <v>3730</v>
      </c>
      <c r="AF156" s="62" t="s">
        <v>3731</v>
      </c>
      <c r="AG156" s="62" t="s">
        <v>3239</v>
      </c>
      <c r="AH156" s="62" t="s">
        <v>3525</v>
      </c>
      <c r="AI156" s="63" t="s">
        <v>3033</v>
      </c>
    </row>
    <row r="157" ht="21.75" customHeight="1">
      <c r="A157" s="62" t="s">
        <v>4009</v>
      </c>
      <c r="B157" s="62" t="s">
        <v>3028</v>
      </c>
      <c r="C157" s="62" t="s">
        <v>33</v>
      </c>
      <c r="D157" s="62" t="s">
        <v>4010</v>
      </c>
      <c r="E157" s="62" t="s">
        <v>3974</v>
      </c>
      <c r="F157" s="62" t="s">
        <v>4011</v>
      </c>
      <c r="G157" s="62" t="s">
        <v>3724</v>
      </c>
      <c r="H157" s="62" t="s">
        <v>3727</v>
      </c>
      <c r="I157" s="21"/>
      <c r="J157" s="62" t="s">
        <v>107</v>
      </c>
      <c r="K157" s="63" t="b">
        <v>0</v>
      </c>
      <c r="L157" s="21"/>
      <c r="M157" s="62" t="s">
        <v>3028</v>
      </c>
      <c r="N157" s="62" t="s">
        <v>33</v>
      </c>
      <c r="O157" s="62" t="s">
        <v>3028</v>
      </c>
      <c r="P157" s="62" t="s">
        <v>33</v>
      </c>
      <c r="Q157" s="63" t="s">
        <v>3033</v>
      </c>
      <c r="R157" s="63" t="s">
        <v>3033</v>
      </c>
      <c r="S157" s="21"/>
      <c r="T157" s="21"/>
      <c r="U157" s="21"/>
      <c r="V157" s="62" t="s">
        <v>4012</v>
      </c>
      <c r="W157" s="62" t="s">
        <v>3082</v>
      </c>
      <c r="X157" s="21"/>
      <c r="Y157" s="21"/>
      <c r="Z157" s="21"/>
      <c r="AA157" s="21"/>
      <c r="AB157" s="21"/>
      <c r="AC157" s="62" t="s">
        <v>4013</v>
      </c>
      <c r="AD157" s="62" t="s">
        <v>3530</v>
      </c>
      <c r="AE157" s="62" t="s">
        <v>3730</v>
      </c>
      <c r="AF157" s="62" t="s">
        <v>3731</v>
      </c>
      <c r="AG157" s="62" t="s">
        <v>3239</v>
      </c>
      <c r="AH157" s="62" t="s">
        <v>3525</v>
      </c>
      <c r="AI157" s="63" t="s">
        <v>3033</v>
      </c>
    </row>
    <row r="158" ht="21.75" customHeight="1">
      <c r="A158" s="62" t="s">
        <v>4014</v>
      </c>
      <c r="B158" s="62" t="s">
        <v>3028</v>
      </c>
      <c r="C158" s="62" t="s">
        <v>33</v>
      </c>
      <c r="D158" s="62" t="s">
        <v>4015</v>
      </c>
      <c r="E158" s="62" t="s">
        <v>4017</v>
      </c>
      <c r="F158" s="62" t="s">
        <v>4019</v>
      </c>
      <c r="G158" s="62" t="s">
        <v>3724</v>
      </c>
      <c r="H158" s="62" t="s">
        <v>3727</v>
      </c>
      <c r="I158" s="21"/>
      <c r="J158" s="62" t="s">
        <v>107</v>
      </c>
      <c r="K158" s="63" t="b">
        <v>0</v>
      </c>
      <c r="L158" s="21"/>
      <c r="M158" s="62" t="s">
        <v>3028</v>
      </c>
      <c r="N158" s="62" t="s">
        <v>33</v>
      </c>
      <c r="O158" s="62" t="s">
        <v>3028</v>
      </c>
      <c r="P158" s="62" t="s">
        <v>33</v>
      </c>
      <c r="Q158" s="63" t="s">
        <v>3033</v>
      </c>
      <c r="R158" s="63" t="s">
        <v>3033</v>
      </c>
      <c r="S158" s="21"/>
      <c r="T158" s="21"/>
      <c r="U158" s="21"/>
      <c r="V158" s="62" t="s">
        <v>4021</v>
      </c>
      <c r="W158" s="62" t="s">
        <v>3082</v>
      </c>
      <c r="X158" s="21"/>
      <c r="Y158" s="21"/>
      <c r="Z158" s="21"/>
      <c r="AA158" s="21"/>
      <c r="AB158" s="21"/>
      <c r="AC158" s="62" t="s">
        <v>4022</v>
      </c>
      <c r="AD158" s="62" t="s">
        <v>3530</v>
      </c>
      <c r="AE158" s="62" t="s">
        <v>3730</v>
      </c>
      <c r="AF158" s="62" t="s">
        <v>3731</v>
      </c>
      <c r="AG158" s="62" t="s">
        <v>3239</v>
      </c>
      <c r="AH158" s="62" t="s">
        <v>3525</v>
      </c>
      <c r="AI158" s="63" t="s">
        <v>3033</v>
      </c>
    </row>
    <row r="159" ht="21.75" customHeight="1">
      <c r="A159" s="62" t="s">
        <v>4023</v>
      </c>
      <c r="B159" s="62" t="s">
        <v>3028</v>
      </c>
      <c r="C159" s="62" t="s">
        <v>33</v>
      </c>
      <c r="D159" s="62" t="s">
        <v>4024</v>
      </c>
      <c r="E159" s="62" t="s">
        <v>4025</v>
      </c>
      <c r="F159" s="62" t="s">
        <v>4026</v>
      </c>
      <c r="G159" s="62" t="s">
        <v>3724</v>
      </c>
      <c r="H159" s="62" t="s">
        <v>3727</v>
      </c>
      <c r="I159" s="21"/>
      <c r="J159" s="62" t="s">
        <v>107</v>
      </c>
      <c r="K159" s="63" t="b">
        <v>0</v>
      </c>
      <c r="L159" s="21"/>
      <c r="M159" s="62" t="s">
        <v>3028</v>
      </c>
      <c r="N159" s="62" t="s">
        <v>33</v>
      </c>
      <c r="O159" s="62" t="s">
        <v>3028</v>
      </c>
      <c r="P159" s="62" t="s">
        <v>33</v>
      </c>
      <c r="Q159" s="63" t="s">
        <v>3033</v>
      </c>
      <c r="R159" s="63" t="s">
        <v>3033</v>
      </c>
      <c r="S159" s="21"/>
      <c r="T159" s="21"/>
      <c r="U159" s="21"/>
      <c r="V159" s="62" t="s">
        <v>4027</v>
      </c>
      <c r="W159" s="62" t="s">
        <v>3082</v>
      </c>
      <c r="X159" s="21"/>
      <c r="Y159" s="21"/>
      <c r="Z159" s="21"/>
      <c r="AA159" s="21"/>
      <c r="AB159" s="21"/>
      <c r="AC159" s="62" t="s">
        <v>4028</v>
      </c>
      <c r="AD159" s="62" t="s">
        <v>3530</v>
      </c>
      <c r="AE159" s="62" t="s">
        <v>3730</v>
      </c>
      <c r="AF159" s="62" t="s">
        <v>3731</v>
      </c>
      <c r="AG159" s="62" t="s">
        <v>3239</v>
      </c>
      <c r="AH159" s="62" t="s">
        <v>3525</v>
      </c>
      <c r="AI159" s="63" t="s">
        <v>3033</v>
      </c>
    </row>
    <row r="160" ht="21.75" customHeight="1">
      <c r="A160" s="62" t="s">
        <v>4032</v>
      </c>
      <c r="B160" s="62" t="s">
        <v>3028</v>
      </c>
      <c r="C160" s="62" t="s">
        <v>33</v>
      </c>
      <c r="D160" s="62" t="s">
        <v>4033</v>
      </c>
      <c r="E160" s="62" t="s">
        <v>4034</v>
      </c>
      <c r="F160" s="62" t="s">
        <v>4035</v>
      </c>
      <c r="G160" s="62" t="s">
        <v>3724</v>
      </c>
      <c r="H160" s="62" t="s">
        <v>3727</v>
      </c>
      <c r="I160" s="21"/>
      <c r="J160" s="62" t="s">
        <v>107</v>
      </c>
      <c r="K160" s="63" t="b">
        <v>0</v>
      </c>
      <c r="L160" s="21"/>
      <c r="M160" s="62" t="s">
        <v>3028</v>
      </c>
      <c r="N160" s="62" t="s">
        <v>33</v>
      </c>
      <c r="O160" s="62" t="s">
        <v>3028</v>
      </c>
      <c r="P160" s="62" t="s">
        <v>33</v>
      </c>
      <c r="Q160" s="63" t="s">
        <v>3033</v>
      </c>
      <c r="R160" s="63" t="s">
        <v>3033</v>
      </c>
      <c r="S160" s="21"/>
      <c r="T160" s="21"/>
      <c r="U160" s="21"/>
      <c r="V160" s="62" t="s">
        <v>4036</v>
      </c>
      <c r="W160" s="62" t="s">
        <v>3082</v>
      </c>
      <c r="X160" s="21"/>
      <c r="Y160" s="21"/>
      <c r="Z160" s="21"/>
      <c r="AA160" s="21"/>
      <c r="AB160" s="21"/>
      <c r="AC160" s="62" t="s">
        <v>4037</v>
      </c>
      <c r="AD160" s="62" t="s">
        <v>3530</v>
      </c>
      <c r="AE160" s="62" t="s">
        <v>3730</v>
      </c>
      <c r="AF160" s="62" t="s">
        <v>3731</v>
      </c>
      <c r="AG160" s="62" t="s">
        <v>3239</v>
      </c>
      <c r="AH160" s="62" t="s">
        <v>3525</v>
      </c>
      <c r="AI160" s="63" t="s">
        <v>3033</v>
      </c>
    </row>
    <row r="161" ht="21.75" customHeight="1">
      <c r="A161" s="62" t="s">
        <v>4038</v>
      </c>
      <c r="B161" s="62" t="s">
        <v>3028</v>
      </c>
      <c r="C161" s="62" t="s">
        <v>33</v>
      </c>
      <c r="D161" s="62" t="s">
        <v>4039</v>
      </c>
      <c r="E161" s="62" t="s">
        <v>4040</v>
      </c>
      <c r="F161" s="62" t="s">
        <v>4041</v>
      </c>
      <c r="G161" s="62" t="s">
        <v>3724</v>
      </c>
      <c r="H161" s="62" t="s">
        <v>3727</v>
      </c>
      <c r="I161" s="21"/>
      <c r="J161" s="62" t="s">
        <v>107</v>
      </c>
      <c r="K161" s="63" t="b">
        <v>0</v>
      </c>
      <c r="L161" s="21"/>
      <c r="M161" s="62" t="s">
        <v>3028</v>
      </c>
      <c r="N161" s="62" t="s">
        <v>33</v>
      </c>
      <c r="O161" s="62" t="s">
        <v>3028</v>
      </c>
      <c r="P161" s="62" t="s">
        <v>33</v>
      </c>
      <c r="Q161" s="63" t="s">
        <v>3033</v>
      </c>
      <c r="R161" s="63" t="s">
        <v>3033</v>
      </c>
      <c r="S161" s="21"/>
      <c r="T161" s="21"/>
      <c r="U161" s="21"/>
      <c r="V161" s="62" t="s">
        <v>4045</v>
      </c>
      <c r="W161" s="62" t="s">
        <v>3082</v>
      </c>
      <c r="X161" s="21"/>
      <c r="Y161" s="21"/>
      <c r="Z161" s="21"/>
      <c r="AA161" s="21"/>
      <c r="AB161" s="21"/>
      <c r="AC161" s="62" t="s">
        <v>4037</v>
      </c>
      <c r="AD161" s="62" t="s">
        <v>3530</v>
      </c>
      <c r="AE161" s="62" t="s">
        <v>3730</v>
      </c>
      <c r="AF161" s="62" t="s">
        <v>3731</v>
      </c>
      <c r="AG161" s="62" t="s">
        <v>3239</v>
      </c>
      <c r="AH161" s="62" t="s">
        <v>3525</v>
      </c>
      <c r="AI161" s="63" t="s">
        <v>3033</v>
      </c>
    </row>
    <row r="162" ht="21.75" customHeight="1">
      <c r="A162" s="62" t="s">
        <v>4046</v>
      </c>
      <c r="B162" s="62" t="s">
        <v>3028</v>
      </c>
      <c r="C162" s="62" t="s">
        <v>33</v>
      </c>
      <c r="D162" s="62" t="s">
        <v>4047</v>
      </c>
      <c r="E162" s="62" t="s">
        <v>4048</v>
      </c>
      <c r="F162" s="62" t="s">
        <v>4049</v>
      </c>
      <c r="G162" s="62" t="s">
        <v>3724</v>
      </c>
      <c r="H162" s="62" t="s">
        <v>3727</v>
      </c>
      <c r="I162" s="21"/>
      <c r="J162" s="64">
        <v>9.0E9</v>
      </c>
      <c r="K162" s="63" t="b">
        <v>0</v>
      </c>
      <c r="L162" s="21"/>
      <c r="M162" s="62" t="s">
        <v>3028</v>
      </c>
      <c r="N162" s="62" t="s">
        <v>33</v>
      </c>
      <c r="O162" s="62" t="s">
        <v>3028</v>
      </c>
      <c r="P162" s="62" t="s">
        <v>33</v>
      </c>
      <c r="Q162" s="63" t="s">
        <v>3033</v>
      </c>
      <c r="R162" s="63" t="s">
        <v>3033</v>
      </c>
      <c r="S162" s="21"/>
      <c r="T162" s="21"/>
      <c r="U162" s="21"/>
      <c r="V162" s="62" t="s">
        <v>4050</v>
      </c>
      <c r="W162" s="62" t="s">
        <v>3082</v>
      </c>
      <c r="X162" s="21"/>
      <c r="Y162" s="21"/>
      <c r="Z162" s="21"/>
      <c r="AA162" s="21"/>
      <c r="AB162" s="21"/>
      <c r="AC162" s="62" t="s">
        <v>4051</v>
      </c>
      <c r="AD162" s="62" t="s">
        <v>3530</v>
      </c>
      <c r="AE162" s="62" t="s">
        <v>3730</v>
      </c>
      <c r="AF162" s="62" t="s">
        <v>3731</v>
      </c>
      <c r="AG162" s="62" t="s">
        <v>3239</v>
      </c>
      <c r="AH162" s="62" t="s">
        <v>3525</v>
      </c>
      <c r="AI162" s="63" t="s">
        <v>3033</v>
      </c>
    </row>
    <row r="163" ht="21.75" customHeight="1">
      <c r="A163" s="62" t="s">
        <v>4054</v>
      </c>
      <c r="B163" s="62" t="s">
        <v>3028</v>
      </c>
      <c r="C163" s="62" t="s">
        <v>33</v>
      </c>
      <c r="D163" s="62" t="s">
        <v>4056</v>
      </c>
      <c r="E163" s="62" t="s">
        <v>4057</v>
      </c>
      <c r="F163" s="62" t="s">
        <v>4058</v>
      </c>
      <c r="G163" s="62" t="s">
        <v>3724</v>
      </c>
      <c r="H163" s="62" t="s">
        <v>3727</v>
      </c>
      <c r="I163" s="21"/>
      <c r="J163" s="21"/>
      <c r="K163" s="63" t="b">
        <v>0</v>
      </c>
      <c r="L163" s="21"/>
      <c r="M163" s="62" t="s">
        <v>3028</v>
      </c>
      <c r="N163" s="62" t="s">
        <v>33</v>
      </c>
      <c r="O163" s="62" t="s">
        <v>3028</v>
      </c>
      <c r="P163" s="62" t="s">
        <v>33</v>
      </c>
      <c r="Q163" s="63" t="s">
        <v>3033</v>
      </c>
      <c r="R163" s="63" t="s">
        <v>3033</v>
      </c>
      <c r="S163" s="21"/>
      <c r="T163" s="21"/>
      <c r="U163" s="21"/>
      <c r="V163" s="62" t="s">
        <v>4059</v>
      </c>
      <c r="W163" s="62" t="s">
        <v>3082</v>
      </c>
      <c r="X163" s="21"/>
      <c r="Y163" s="21"/>
      <c r="Z163" s="21"/>
      <c r="AA163" s="21"/>
      <c r="AB163" s="21"/>
      <c r="AC163" s="62" t="s">
        <v>4051</v>
      </c>
      <c r="AD163" s="62" t="s">
        <v>3530</v>
      </c>
      <c r="AE163" s="62" t="s">
        <v>3730</v>
      </c>
      <c r="AF163" s="62" t="s">
        <v>3731</v>
      </c>
      <c r="AG163" s="62" t="s">
        <v>3239</v>
      </c>
      <c r="AH163" s="62" t="s">
        <v>3525</v>
      </c>
      <c r="AI163" s="63" t="s">
        <v>3033</v>
      </c>
    </row>
    <row r="164" ht="21.75" customHeight="1">
      <c r="A164" s="62" t="s">
        <v>4060</v>
      </c>
      <c r="B164" s="62" t="s">
        <v>3028</v>
      </c>
      <c r="C164" s="62" t="s">
        <v>33</v>
      </c>
      <c r="D164" s="62" t="s">
        <v>4061</v>
      </c>
      <c r="E164" s="62" t="s">
        <v>4062</v>
      </c>
      <c r="F164" s="62" t="s">
        <v>4063</v>
      </c>
      <c r="G164" s="62" t="s">
        <v>3724</v>
      </c>
      <c r="H164" s="62" t="s">
        <v>3727</v>
      </c>
      <c r="I164" s="21"/>
      <c r="J164" s="62" t="s">
        <v>107</v>
      </c>
      <c r="K164" s="63" t="b">
        <v>0</v>
      </c>
      <c r="L164" s="21"/>
      <c r="M164" s="62" t="s">
        <v>3028</v>
      </c>
      <c r="N164" s="62" t="s">
        <v>33</v>
      </c>
      <c r="O164" s="62" t="s">
        <v>3028</v>
      </c>
      <c r="P164" s="62" t="s">
        <v>33</v>
      </c>
      <c r="Q164" s="63" t="s">
        <v>3033</v>
      </c>
      <c r="R164" s="63" t="s">
        <v>3033</v>
      </c>
      <c r="S164" s="21"/>
      <c r="T164" s="21"/>
      <c r="U164" s="21"/>
      <c r="V164" s="62" t="s">
        <v>4067</v>
      </c>
      <c r="W164" s="62" t="s">
        <v>3082</v>
      </c>
      <c r="X164" s="21"/>
      <c r="Y164" s="21"/>
      <c r="Z164" s="21"/>
      <c r="AA164" s="21"/>
      <c r="AB164" s="21"/>
      <c r="AC164" s="62" t="s">
        <v>4051</v>
      </c>
      <c r="AD164" s="62" t="s">
        <v>3530</v>
      </c>
      <c r="AE164" s="62" t="s">
        <v>3730</v>
      </c>
      <c r="AF164" s="62" t="s">
        <v>3731</v>
      </c>
      <c r="AG164" s="62" t="s">
        <v>3239</v>
      </c>
      <c r="AH164" s="62" t="s">
        <v>3525</v>
      </c>
      <c r="AI164" s="63" t="s">
        <v>3033</v>
      </c>
    </row>
    <row r="165" ht="21.75" customHeight="1">
      <c r="A165" s="62" t="s">
        <v>4068</v>
      </c>
      <c r="B165" s="62" t="s">
        <v>3028</v>
      </c>
      <c r="C165" s="62" t="s">
        <v>33</v>
      </c>
      <c r="D165" s="62" t="s">
        <v>4001</v>
      </c>
      <c r="E165" s="62" t="s">
        <v>3254</v>
      </c>
      <c r="F165" s="62" t="s">
        <v>4069</v>
      </c>
      <c r="G165" s="62" t="s">
        <v>3724</v>
      </c>
      <c r="H165" s="62" t="s">
        <v>3727</v>
      </c>
      <c r="I165" s="21"/>
      <c r="J165" s="62" t="s">
        <v>107</v>
      </c>
      <c r="K165" s="63" t="b">
        <v>0</v>
      </c>
      <c r="L165" s="21"/>
      <c r="M165" s="62" t="s">
        <v>3028</v>
      </c>
      <c r="N165" s="62" t="s">
        <v>33</v>
      </c>
      <c r="O165" s="62" t="s">
        <v>3028</v>
      </c>
      <c r="P165" s="62" t="s">
        <v>33</v>
      </c>
      <c r="Q165" s="63" t="s">
        <v>3033</v>
      </c>
      <c r="R165" s="63" t="s">
        <v>3033</v>
      </c>
      <c r="S165" s="21"/>
      <c r="T165" s="21"/>
      <c r="U165" s="21"/>
      <c r="V165" s="62" t="s">
        <v>4070</v>
      </c>
      <c r="W165" s="62" t="s">
        <v>3082</v>
      </c>
      <c r="X165" s="21"/>
      <c r="Y165" s="21"/>
      <c r="Z165" s="21"/>
      <c r="AA165" s="21"/>
      <c r="AB165" s="21"/>
      <c r="AC165" s="62" t="s">
        <v>4071</v>
      </c>
      <c r="AD165" s="62" t="s">
        <v>3530</v>
      </c>
      <c r="AE165" s="62" t="s">
        <v>3730</v>
      </c>
      <c r="AF165" s="62" t="s">
        <v>3731</v>
      </c>
      <c r="AG165" s="62" t="s">
        <v>3239</v>
      </c>
      <c r="AH165" s="62" t="s">
        <v>3525</v>
      </c>
      <c r="AI165" s="63" t="s">
        <v>3033</v>
      </c>
    </row>
    <row r="166" ht="21.75" customHeight="1">
      <c r="A166" s="62" t="s">
        <v>4075</v>
      </c>
      <c r="B166" s="62" t="s">
        <v>3028</v>
      </c>
      <c r="C166" s="62" t="s">
        <v>33</v>
      </c>
      <c r="D166" s="62" t="s">
        <v>4076</v>
      </c>
      <c r="E166" s="62" t="s">
        <v>4077</v>
      </c>
      <c r="F166" s="62" t="s">
        <v>4078</v>
      </c>
      <c r="G166" s="62" t="s">
        <v>3724</v>
      </c>
      <c r="H166" s="62" t="s">
        <v>3727</v>
      </c>
      <c r="I166" s="21"/>
      <c r="J166" s="62" t="s">
        <v>107</v>
      </c>
      <c r="K166" s="63" t="b">
        <v>0</v>
      </c>
      <c r="L166" s="21"/>
      <c r="M166" s="62" t="s">
        <v>3028</v>
      </c>
      <c r="N166" s="62" t="s">
        <v>33</v>
      </c>
      <c r="O166" s="62" t="s">
        <v>3028</v>
      </c>
      <c r="P166" s="62" t="s">
        <v>33</v>
      </c>
      <c r="Q166" s="63" t="s">
        <v>3033</v>
      </c>
      <c r="R166" s="63" t="s">
        <v>3033</v>
      </c>
      <c r="S166" s="21"/>
      <c r="T166" s="21"/>
      <c r="U166" s="21"/>
      <c r="V166" s="62" t="s">
        <v>4079</v>
      </c>
      <c r="W166" s="62" t="s">
        <v>3082</v>
      </c>
      <c r="X166" s="21"/>
      <c r="Y166" s="21"/>
      <c r="Z166" s="21"/>
      <c r="AA166" s="21"/>
      <c r="AB166" s="21"/>
      <c r="AC166" s="62" t="s">
        <v>4051</v>
      </c>
      <c r="AD166" s="62" t="s">
        <v>3530</v>
      </c>
      <c r="AE166" s="62" t="s">
        <v>3730</v>
      </c>
      <c r="AF166" s="62" t="s">
        <v>3731</v>
      </c>
      <c r="AG166" s="62" t="s">
        <v>3239</v>
      </c>
      <c r="AH166" s="62" t="s">
        <v>3525</v>
      </c>
      <c r="AI166" s="63" t="s">
        <v>3033</v>
      </c>
    </row>
    <row r="167" ht="21.75" customHeight="1">
      <c r="A167" s="62" t="s">
        <v>4080</v>
      </c>
      <c r="B167" s="62" t="s">
        <v>3028</v>
      </c>
      <c r="C167" s="62" t="s">
        <v>33</v>
      </c>
      <c r="D167" s="62" t="s">
        <v>3645</v>
      </c>
      <c r="E167" s="62" t="s">
        <v>4081</v>
      </c>
      <c r="F167" s="21"/>
      <c r="G167" s="62" t="s">
        <v>3724</v>
      </c>
      <c r="H167" s="62" t="s">
        <v>3727</v>
      </c>
      <c r="I167" s="21"/>
      <c r="J167" s="64">
        <v>9.84E9</v>
      </c>
      <c r="K167" s="63" t="b">
        <v>0</v>
      </c>
      <c r="L167" s="21"/>
      <c r="M167" s="62" t="s">
        <v>3028</v>
      </c>
      <c r="N167" s="62" t="s">
        <v>33</v>
      </c>
      <c r="O167" s="62" t="s">
        <v>3028</v>
      </c>
      <c r="P167" s="62" t="s">
        <v>33</v>
      </c>
      <c r="Q167" s="63" t="s">
        <v>3033</v>
      </c>
      <c r="R167" s="63" t="s">
        <v>3033</v>
      </c>
      <c r="S167" s="21"/>
      <c r="T167" s="21"/>
      <c r="U167" s="21"/>
      <c r="V167" s="62" t="s">
        <v>4085</v>
      </c>
      <c r="W167" s="62" t="s">
        <v>3082</v>
      </c>
      <c r="X167" s="21"/>
      <c r="Y167" s="21"/>
      <c r="Z167" s="21"/>
      <c r="AA167" s="21"/>
      <c r="AB167" s="21"/>
      <c r="AC167" s="62" t="s">
        <v>4051</v>
      </c>
      <c r="AD167" s="62" t="s">
        <v>3530</v>
      </c>
      <c r="AE167" s="62" t="s">
        <v>3730</v>
      </c>
      <c r="AF167" s="62" t="s">
        <v>3731</v>
      </c>
      <c r="AG167" s="62" t="s">
        <v>3239</v>
      </c>
      <c r="AH167" s="62" t="s">
        <v>3525</v>
      </c>
      <c r="AI167" s="63" t="s">
        <v>3033</v>
      </c>
    </row>
    <row r="168" ht="21.75" customHeight="1">
      <c r="A168" s="62" t="s">
        <v>4086</v>
      </c>
      <c r="B168" s="62" t="s">
        <v>3028</v>
      </c>
      <c r="C168" s="62" t="s">
        <v>33</v>
      </c>
      <c r="D168" s="62" t="s">
        <v>4087</v>
      </c>
      <c r="E168" s="62" t="s">
        <v>4088</v>
      </c>
      <c r="F168" s="21"/>
      <c r="G168" s="62" t="s">
        <v>3724</v>
      </c>
      <c r="H168" s="62" t="s">
        <v>3727</v>
      </c>
      <c r="I168" s="21"/>
      <c r="J168" s="62" t="s">
        <v>107</v>
      </c>
      <c r="K168" s="63" t="b">
        <v>0</v>
      </c>
      <c r="L168" s="21"/>
      <c r="M168" s="62" t="s">
        <v>3028</v>
      </c>
      <c r="N168" s="62" t="s">
        <v>33</v>
      </c>
      <c r="O168" s="62" t="s">
        <v>3028</v>
      </c>
      <c r="P168" s="62" t="s">
        <v>33</v>
      </c>
      <c r="Q168" s="63" t="s">
        <v>3033</v>
      </c>
      <c r="R168" s="63" t="s">
        <v>3033</v>
      </c>
      <c r="S168" s="21"/>
      <c r="T168" s="21"/>
      <c r="U168" s="21"/>
      <c r="V168" s="62" t="s">
        <v>4089</v>
      </c>
      <c r="W168" s="62" t="s">
        <v>3082</v>
      </c>
      <c r="X168" s="21"/>
      <c r="Y168" s="21"/>
      <c r="Z168" s="21"/>
      <c r="AA168" s="21"/>
      <c r="AB168" s="21"/>
      <c r="AC168" s="62" t="s">
        <v>4051</v>
      </c>
      <c r="AD168" s="62" t="s">
        <v>3530</v>
      </c>
      <c r="AE168" s="62" t="s">
        <v>3730</v>
      </c>
      <c r="AF168" s="62" t="s">
        <v>3731</v>
      </c>
      <c r="AG168" s="62" t="s">
        <v>3239</v>
      </c>
      <c r="AH168" s="62" t="s">
        <v>3525</v>
      </c>
      <c r="AI168" s="63" t="s">
        <v>3033</v>
      </c>
    </row>
    <row r="169" ht="21.75" customHeight="1">
      <c r="A169" s="62" t="s">
        <v>4093</v>
      </c>
      <c r="B169" s="62" t="s">
        <v>3028</v>
      </c>
      <c r="C169" s="62" t="s">
        <v>33</v>
      </c>
      <c r="D169" s="62" t="s">
        <v>4094</v>
      </c>
      <c r="E169" s="62" t="s">
        <v>3974</v>
      </c>
      <c r="F169" s="62" t="s">
        <v>4095</v>
      </c>
      <c r="G169" s="62" t="s">
        <v>3724</v>
      </c>
      <c r="H169" s="62" t="s">
        <v>3727</v>
      </c>
      <c r="I169" s="21"/>
      <c r="J169" s="62" t="s">
        <v>107</v>
      </c>
      <c r="K169" s="63" t="b">
        <v>0</v>
      </c>
      <c r="L169" s="21"/>
      <c r="M169" s="62" t="s">
        <v>3028</v>
      </c>
      <c r="N169" s="62" t="s">
        <v>33</v>
      </c>
      <c r="O169" s="62" t="s">
        <v>3028</v>
      </c>
      <c r="P169" s="62" t="s">
        <v>33</v>
      </c>
      <c r="Q169" s="63" t="s">
        <v>3033</v>
      </c>
      <c r="R169" s="63" t="s">
        <v>3033</v>
      </c>
      <c r="S169" s="21"/>
      <c r="T169" s="21"/>
      <c r="U169" s="21"/>
      <c r="V169" s="62" t="s">
        <v>4096</v>
      </c>
      <c r="W169" s="62" t="s">
        <v>3082</v>
      </c>
      <c r="X169" s="21"/>
      <c r="Y169" s="21"/>
      <c r="Z169" s="21"/>
      <c r="AA169" s="21"/>
      <c r="AB169" s="21"/>
      <c r="AC169" s="62" t="s">
        <v>4051</v>
      </c>
      <c r="AD169" s="62" t="s">
        <v>3530</v>
      </c>
      <c r="AE169" s="62" t="s">
        <v>3730</v>
      </c>
      <c r="AF169" s="62" t="s">
        <v>3731</v>
      </c>
      <c r="AG169" s="62" t="s">
        <v>3239</v>
      </c>
      <c r="AH169" s="62" t="s">
        <v>3525</v>
      </c>
      <c r="AI169" s="63" t="s">
        <v>3033</v>
      </c>
    </row>
    <row r="170" ht="21.75" customHeight="1">
      <c r="A170" s="62" t="s">
        <v>4097</v>
      </c>
      <c r="B170" s="62" t="s">
        <v>3028</v>
      </c>
      <c r="C170" s="62" t="s">
        <v>33</v>
      </c>
      <c r="D170" s="62" t="s">
        <v>3456</v>
      </c>
      <c r="E170" s="62" t="s">
        <v>3989</v>
      </c>
      <c r="F170" s="62" t="s">
        <v>4100</v>
      </c>
      <c r="G170" s="62" t="s">
        <v>3724</v>
      </c>
      <c r="H170" s="62" t="s">
        <v>3727</v>
      </c>
      <c r="I170" s="21"/>
      <c r="J170" s="62" t="s">
        <v>107</v>
      </c>
      <c r="K170" s="63" t="b">
        <v>0</v>
      </c>
      <c r="L170" s="21"/>
      <c r="M170" s="62" t="s">
        <v>3028</v>
      </c>
      <c r="N170" s="62" t="s">
        <v>33</v>
      </c>
      <c r="O170" s="62" t="s">
        <v>3028</v>
      </c>
      <c r="P170" s="62" t="s">
        <v>33</v>
      </c>
      <c r="Q170" s="63" t="s">
        <v>3033</v>
      </c>
      <c r="R170" s="63" t="s">
        <v>3033</v>
      </c>
      <c r="S170" s="21"/>
      <c r="T170" s="21"/>
      <c r="U170" s="21"/>
      <c r="V170" s="62" t="s">
        <v>4102</v>
      </c>
      <c r="W170" s="62" t="s">
        <v>3082</v>
      </c>
      <c r="X170" s="21"/>
      <c r="Y170" s="21"/>
      <c r="Z170" s="21"/>
      <c r="AA170" s="21"/>
      <c r="AB170" s="21"/>
      <c r="AC170" s="62" t="s">
        <v>4051</v>
      </c>
      <c r="AD170" s="62" t="s">
        <v>3530</v>
      </c>
      <c r="AE170" s="62" t="s">
        <v>3730</v>
      </c>
      <c r="AF170" s="62" t="s">
        <v>3731</v>
      </c>
      <c r="AG170" s="62" t="s">
        <v>3239</v>
      </c>
      <c r="AH170" s="62" t="s">
        <v>3525</v>
      </c>
      <c r="AI170" s="63" t="s">
        <v>3033</v>
      </c>
    </row>
    <row r="171" ht="21.75" customHeight="1">
      <c r="A171" s="62" t="s">
        <v>4103</v>
      </c>
      <c r="B171" s="62" t="s">
        <v>3028</v>
      </c>
      <c r="C171" s="62" t="s">
        <v>33</v>
      </c>
      <c r="D171" s="62" t="s">
        <v>4104</v>
      </c>
      <c r="E171" s="62" t="s">
        <v>4048</v>
      </c>
      <c r="F171" s="62" t="s">
        <v>4105</v>
      </c>
      <c r="G171" s="62" t="s">
        <v>3724</v>
      </c>
      <c r="H171" s="62" t="s">
        <v>3727</v>
      </c>
      <c r="I171" s="21"/>
      <c r="J171" s="62" t="s">
        <v>107</v>
      </c>
      <c r="K171" s="63" t="b">
        <v>0</v>
      </c>
      <c r="L171" s="21"/>
      <c r="M171" s="62" t="s">
        <v>3028</v>
      </c>
      <c r="N171" s="62" t="s">
        <v>33</v>
      </c>
      <c r="O171" s="62" t="s">
        <v>3028</v>
      </c>
      <c r="P171" s="62" t="s">
        <v>33</v>
      </c>
      <c r="Q171" s="63" t="s">
        <v>3033</v>
      </c>
      <c r="R171" s="63" t="s">
        <v>3033</v>
      </c>
      <c r="S171" s="21"/>
      <c r="T171" s="21"/>
      <c r="U171" s="21"/>
      <c r="V171" s="62" t="s">
        <v>4106</v>
      </c>
      <c r="W171" s="62" t="s">
        <v>3082</v>
      </c>
      <c r="X171" s="21"/>
      <c r="Y171" s="21"/>
      <c r="Z171" s="21"/>
      <c r="AA171" s="21"/>
      <c r="AB171" s="21"/>
      <c r="AC171" s="62" t="s">
        <v>4051</v>
      </c>
      <c r="AD171" s="62" t="s">
        <v>3530</v>
      </c>
      <c r="AE171" s="62" t="s">
        <v>3730</v>
      </c>
      <c r="AF171" s="62" t="s">
        <v>3731</v>
      </c>
      <c r="AG171" s="62" t="s">
        <v>3239</v>
      </c>
      <c r="AH171" s="62" t="s">
        <v>3525</v>
      </c>
      <c r="AI171" s="63" t="s">
        <v>3033</v>
      </c>
    </row>
    <row r="172" ht="21.75" customHeight="1">
      <c r="A172" s="62" t="s">
        <v>4110</v>
      </c>
      <c r="B172" s="62" t="s">
        <v>3028</v>
      </c>
      <c r="C172" s="62" t="s">
        <v>33</v>
      </c>
      <c r="D172" s="62" t="s">
        <v>4111</v>
      </c>
      <c r="E172" s="62" t="s">
        <v>4112</v>
      </c>
      <c r="F172" s="62" t="s">
        <v>4113</v>
      </c>
      <c r="G172" s="62" t="s">
        <v>3724</v>
      </c>
      <c r="H172" s="62" t="s">
        <v>3727</v>
      </c>
      <c r="I172" s="21"/>
      <c r="J172" s="62" t="s">
        <v>107</v>
      </c>
      <c r="K172" s="63" t="b">
        <v>0</v>
      </c>
      <c r="L172" s="21"/>
      <c r="M172" s="62" t="s">
        <v>3028</v>
      </c>
      <c r="N172" s="62" t="s">
        <v>33</v>
      </c>
      <c r="O172" s="62" t="s">
        <v>3028</v>
      </c>
      <c r="P172" s="62" t="s">
        <v>33</v>
      </c>
      <c r="Q172" s="63" t="s">
        <v>3033</v>
      </c>
      <c r="R172" s="63" t="s">
        <v>3033</v>
      </c>
      <c r="S172" s="21"/>
      <c r="T172" s="21"/>
      <c r="U172" s="21"/>
      <c r="V172" s="62" t="s">
        <v>4115</v>
      </c>
      <c r="W172" s="62" t="s">
        <v>3082</v>
      </c>
      <c r="X172" s="21"/>
      <c r="Y172" s="21"/>
      <c r="Z172" s="21"/>
      <c r="AA172" s="21"/>
      <c r="AB172" s="21"/>
      <c r="AC172" s="62" t="s">
        <v>4051</v>
      </c>
      <c r="AD172" s="62" t="s">
        <v>3530</v>
      </c>
      <c r="AE172" s="62" t="s">
        <v>3730</v>
      </c>
      <c r="AF172" s="62" t="s">
        <v>3731</v>
      </c>
      <c r="AG172" s="62" t="s">
        <v>3239</v>
      </c>
      <c r="AH172" s="62" t="s">
        <v>3525</v>
      </c>
      <c r="AI172" s="63" t="s">
        <v>3033</v>
      </c>
    </row>
    <row r="173" ht="21.75" customHeight="1">
      <c r="A173" s="62" t="s">
        <v>4119</v>
      </c>
      <c r="B173" s="62" t="s">
        <v>3028</v>
      </c>
      <c r="C173" s="62" t="s">
        <v>33</v>
      </c>
      <c r="D173" s="62" t="s">
        <v>4120</v>
      </c>
      <c r="E173" s="62" t="s">
        <v>4121</v>
      </c>
      <c r="F173" s="62" t="s">
        <v>4122</v>
      </c>
      <c r="G173" s="62" t="s">
        <v>3724</v>
      </c>
      <c r="H173" s="62" t="s">
        <v>3727</v>
      </c>
      <c r="I173" s="21"/>
      <c r="J173" s="62" t="s">
        <v>107</v>
      </c>
      <c r="K173" s="63" t="b">
        <v>0</v>
      </c>
      <c r="L173" s="21"/>
      <c r="M173" s="62" t="s">
        <v>3028</v>
      </c>
      <c r="N173" s="62" t="s">
        <v>33</v>
      </c>
      <c r="O173" s="62" t="s">
        <v>3028</v>
      </c>
      <c r="P173" s="62" t="s">
        <v>33</v>
      </c>
      <c r="Q173" s="63" t="s">
        <v>3033</v>
      </c>
      <c r="R173" s="63" t="s">
        <v>3033</v>
      </c>
      <c r="S173" s="21"/>
      <c r="T173" s="21"/>
      <c r="U173" s="21"/>
      <c r="V173" s="62" t="s">
        <v>4123</v>
      </c>
      <c r="W173" s="62" t="s">
        <v>3082</v>
      </c>
      <c r="X173" s="21"/>
      <c r="Y173" s="21"/>
      <c r="Z173" s="21"/>
      <c r="AA173" s="21"/>
      <c r="AB173" s="21"/>
      <c r="AC173" s="62" t="s">
        <v>4051</v>
      </c>
      <c r="AD173" s="62" t="s">
        <v>3530</v>
      </c>
      <c r="AE173" s="62" t="s">
        <v>3730</v>
      </c>
      <c r="AF173" s="62" t="s">
        <v>3731</v>
      </c>
      <c r="AG173" s="62" t="s">
        <v>3239</v>
      </c>
      <c r="AH173" s="62" t="s">
        <v>3525</v>
      </c>
      <c r="AI173" s="63" t="s">
        <v>3033</v>
      </c>
    </row>
    <row r="174" ht="21.75" customHeight="1">
      <c r="A174" s="62" t="s">
        <v>4124</v>
      </c>
      <c r="B174" s="62" t="s">
        <v>3028</v>
      </c>
      <c r="C174" s="62" t="s">
        <v>33</v>
      </c>
      <c r="D174" s="62" t="s">
        <v>4125</v>
      </c>
      <c r="E174" s="62" t="s">
        <v>4017</v>
      </c>
      <c r="F174" s="62" t="s">
        <v>4126</v>
      </c>
      <c r="G174" s="62" t="s">
        <v>3724</v>
      </c>
      <c r="H174" s="62" t="s">
        <v>3727</v>
      </c>
      <c r="I174" s="21"/>
      <c r="J174" s="62" t="s">
        <v>107</v>
      </c>
      <c r="K174" s="63" t="b">
        <v>0</v>
      </c>
      <c r="L174" s="21"/>
      <c r="M174" s="62" t="s">
        <v>3028</v>
      </c>
      <c r="N174" s="62" t="s">
        <v>33</v>
      </c>
      <c r="O174" s="62" t="s">
        <v>3028</v>
      </c>
      <c r="P174" s="62" t="s">
        <v>33</v>
      </c>
      <c r="Q174" s="63" t="s">
        <v>3033</v>
      </c>
      <c r="R174" s="63" t="s">
        <v>3033</v>
      </c>
      <c r="S174" s="21"/>
      <c r="T174" s="21"/>
      <c r="U174" s="21"/>
      <c r="V174" s="62" t="s">
        <v>4127</v>
      </c>
      <c r="W174" s="62" t="s">
        <v>3082</v>
      </c>
      <c r="X174" s="21"/>
      <c r="Y174" s="21"/>
      <c r="Z174" s="21"/>
      <c r="AA174" s="21"/>
      <c r="AB174" s="21"/>
      <c r="AC174" s="62" t="s">
        <v>4051</v>
      </c>
      <c r="AD174" s="62" t="s">
        <v>3530</v>
      </c>
      <c r="AE174" s="62" t="s">
        <v>3730</v>
      </c>
      <c r="AF174" s="62" t="s">
        <v>3731</v>
      </c>
      <c r="AG174" s="62" t="s">
        <v>3239</v>
      </c>
      <c r="AH174" s="62" t="s">
        <v>3525</v>
      </c>
      <c r="AI174" s="63" t="s">
        <v>3033</v>
      </c>
    </row>
    <row r="175" ht="21.75" customHeight="1">
      <c r="A175" s="62" t="s">
        <v>4131</v>
      </c>
      <c r="B175" s="62" t="s">
        <v>3028</v>
      </c>
      <c r="C175" s="62" t="s">
        <v>33</v>
      </c>
      <c r="D175" s="62" t="s">
        <v>4132</v>
      </c>
      <c r="E175" s="62" t="s">
        <v>4133</v>
      </c>
      <c r="F175" s="62" t="s">
        <v>4134</v>
      </c>
      <c r="G175" s="62" t="s">
        <v>3724</v>
      </c>
      <c r="H175" s="62" t="s">
        <v>3727</v>
      </c>
      <c r="I175" s="21"/>
      <c r="J175" s="62" t="s">
        <v>107</v>
      </c>
      <c r="K175" s="63" t="b">
        <v>0</v>
      </c>
      <c r="L175" s="21"/>
      <c r="M175" s="62" t="s">
        <v>3028</v>
      </c>
      <c r="N175" s="62" t="s">
        <v>33</v>
      </c>
      <c r="O175" s="62" t="s">
        <v>3028</v>
      </c>
      <c r="P175" s="62" t="s">
        <v>33</v>
      </c>
      <c r="Q175" s="63" t="s">
        <v>3033</v>
      </c>
      <c r="R175" s="63" t="s">
        <v>3033</v>
      </c>
      <c r="S175" s="21"/>
      <c r="T175" s="21"/>
      <c r="U175" s="21"/>
      <c r="V175" s="62" t="s">
        <v>4135</v>
      </c>
      <c r="W175" s="62" t="s">
        <v>3082</v>
      </c>
      <c r="X175" s="21"/>
      <c r="Y175" s="21"/>
      <c r="Z175" s="21"/>
      <c r="AA175" s="21"/>
      <c r="AB175" s="21"/>
      <c r="AC175" s="62" t="s">
        <v>4136</v>
      </c>
      <c r="AD175" s="62" t="s">
        <v>3530</v>
      </c>
      <c r="AE175" s="62" t="s">
        <v>3730</v>
      </c>
      <c r="AF175" s="62" t="s">
        <v>3731</v>
      </c>
      <c r="AG175" s="62" t="s">
        <v>3239</v>
      </c>
      <c r="AH175" s="62" t="s">
        <v>3525</v>
      </c>
      <c r="AI175" s="63" t="s">
        <v>3033</v>
      </c>
    </row>
    <row r="176" ht="21.75" customHeight="1">
      <c r="A176" s="62" t="s">
        <v>4137</v>
      </c>
      <c r="B176" s="62" t="s">
        <v>3028</v>
      </c>
      <c r="C176" s="62" t="s">
        <v>33</v>
      </c>
      <c r="D176" s="62" t="s">
        <v>4140</v>
      </c>
      <c r="E176" s="62" t="s">
        <v>4141</v>
      </c>
      <c r="F176" s="62" t="s">
        <v>4142</v>
      </c>
      <c r="G176" s="62" t="s">
        <v>3724</v>
      </c>
      <c r="H176" s="62" t="s">
        <v>3727</v>
      </c>
      <c r="I176" s="21"/>
      <c r="J176" s="62" t="s">
        <v>107</v>
      </c>
      <c r="K176" s="63" t="b">
        <v>0</v>
      </c>
      <c r="L176" s="21"/>
      <c r="M176" s="62" t="s">
        <v>3028</v>
      </c>
      <c r="N176" s="62" t="s">
        <v>33</v>
      </c>
      <c r="O176" s="62" t="s">
        <v>3028</v>
      </c>
      <c r="P176" s="62" t="s">
        <v>33</v>
      </c>
      <c r="Q176" s="63" t="s">
        <v>3033</v>
      </c>
      <c r="R176" s="63" t="s">
        <v>3033</v>
      </c>
      <c r="S176" s="21"/>
      <c r="T176" s="21"/>
      <c r="U176" s="21"/>
      <c r="V176" s="62" t="s">
        <v>4144</v>
      </c>
      <c r="W176" s="62" t="s">
        <v>3082</v>
      </c>
      <c r="X176" s="21"/>
      <c r="Y176" s="21"/>
      <c r="Z176" s="21"/>
      <c r="AA176" s="21"/>
      <c r="AB176" s="21"/>
      <c r="AC176" s="62" t="s">
        <v>4145</v>
      </c>
      <c r="AD176" s="62" t="s">
        <v>3530</v>
      </c>
      <c r="AE176" s="62" t="s">
        <v>3730</v>
      </c>
      <c r="AF176" s="62" t="s">
        <v>3731</v>
      </c>
      <c r="AG176" s="62" t="s">
        <v>3239</v>
      </c>
      <c r="AH176" s="62" t="s">
        <v>3525</v>
      </c>
      <c r="AI176" s="63" t="s">
        <v>3033</v>
      </c>
    </row>
    <row r="177" ht="21.75" customHeight="1">
      <c r="A177" s="62" t="s">
        <v>4146</v>
      </c>
      <c r="B177" s="62" t="s">
        <v>3028</v>
      </c>
      <c r="C177" s="62" t="s">
        <v>33</v>
      </c>
      <c r="D177" s="62" t="s">
        <v>4147</v>
      </c>
      <c r="E177" s="62" t="s">
        <v>3652</v>
      </c>
      <c r="F177" s="62" t="s">
        <v>4148</v>
      </c>
      <c r="G177" s="62" t="s">
        <v>3724</v>
      </c>
      <c r="H177" s="62" t="s">
        <v>3727</v>
      </c>
      <c r="I177" s="21"/>
      <c r="J177" s="62" t="s">
        <v>107</v>
      </c>
      <c r="K177" s="63" t="b">
        <v>0</v>
      </c>
      <c r="L177" s="21"/>
      <c r="M177" s="62" t="s">
        <v>3028</v>
      </c>
      <c r="N177" s="62" t="s">
        <v>33</v>
      </c>
      <c r="O177" s="62" t="s">
        <v>3028</v>
      </c>
      <c r="P177" s="62" t="s">
        <v>33</v>
      </c>
      <c r="Q177" s="63" t="s">
        <v>3033</v>
      </c>
      <c r="R177" s="63" t="s">
        <v>3033</v>
      </c>
      <c r="S177" s="21"/>
      <c r="T177" s="21"/>
      <c r="U177" s="21"/>
      <c r="V177" s="62" t="s">
        <v>4151</v>
      </c>
      <c r="W177" s="62" t="s">
        <v>3082</v>
      </c>
      <c r="X177" s="21"/>
      <c r="Y177" s="21"/>
      <c r="Z177" s="21"/>
      <c r="AA177" s="21"/>
      <c r="AB177" s="21"/>
      <c r="AC177" s="62" t="s">
        <v>4153</v>
      </c>
      <c r="AD177" s="62" t="s">
        <v>3530</v>
      </c>
      <c r="AE177" s="62" t="s">
        <v>3730</v>
      </c>
      <c r="AF177" s="62" t="s">
        <v>3731</v>
      </c>
      <c r="AG177" s="62" t="s">
        <v>3239</v>
      </c>
      <c r="AH177" s="62" t="s">
        <v>3525</v>
      </c>
      <c r="AI177" s="63" t="s">
        <v>3033</v>
      </c>
    </row>
    <row r="178" ht="21.75" customHeight="1">
      <c r="A178" s="62" t="s">
        <v>4154</v>
      </c>
      <c r="B178" s="62" t="s">
        <v>3028</v>
      </c>
      <c r="C178" s="62" t="s">
        <v>33</v>
      </c>
      <c r="D178" s="62" t="s">
        <v>3884</v>
      </c>
      <c r="E178" s="62" t="s">
        <v>4155</v>
      </c>
      <c r="F178" s="62" t="s">
        <v>4156</v>
      </c>
      <c r="G178" s="62" t="s">
        <v>3724</v>
      </c>
      <c r="H178" s="62" t="s">
        <v>3727</v>
      </c>
      <c r="I178" s="21"/>
      <c r="J178" s="62" t="s">
        <v>107</v>
      </c>
      <c r="K178" s="63" t="b">
        <v>0</v>
      </c>
      <c r="L178" s="21"/>
      <c r="M178" s="62" t="s">
        <v>3028</v>
      </c>
      <c r="N178" s="62" t="s">
        <v>33</v>
      </c>
      <c r="O178" s="62" t="s">
        <v>3028</v>
      </c>
      <c r="P178" s="62" t="s">
        <v>33</v>
      </c>
      <c r="Q178" s="63" t="s">
        <v>3033</v>
      </c>
      <c r="R178" s="63" t="s">
        <v>3033</v>
      </c>
      <c r="S178" s="21"/>
      <c r="T178" s="21"/>
      <c r="U178" s="21"/>
      <c r="V178" s="62" t="s">
        <v>4157</v>
      </c>
      <c r="W178" s="62" t="s">
        <v>3082</v>
      </c>
      <c r="X178" s="21"/>
      <c r="Y178" s="21"/>
      <c r="Z178" s="21"/>
      <c r="AA178" s="21"/>
      <c r="AB178" s="21"/>
      <c r="AC178" s="62" t="s">
        <v>4158</v>
      </c>
      <c r="AD178" s="62" t="s">
        <v>3530</v>
      </c>
      <c r="AE178" s="62" t="s">
        <v>3730</v>
      </c>
      <c r="AF178" s="62" t="s">
        <v>3731</v>
      </c>
      <c r="AG178" s="62" t="s">
        <v>3239</v>
      </c>
      <c r="AH178" s="62" t="s">
        <v>3525</v>
      </c>
      <c r="AI178" s="63" t="s">
        <v>3033</v>
      </c>
    </row>
    <row r="179" ht="21.75" customHeight="1">
      <c r="A179" s="62" t="s">
        <v>4161</v>
      </c>
      <c r="B179" s="62" t="s">
        <v>3028</v>
      </c>
      <c r="C179" s="62" t="s">
        <v>33</v>
      </c>
      <c r="D179" s="62" t="s">
        <v>4163</v>
      </c>
      <c r="E179" s="62" t="s">
        <v>4164</v>
      </c>
      <c r="F179" s="62" t="s">
        <v>4165</v>
      </c>
      <c r="G179" s="62" t="s">
        <v>3724</v>
      </c>
      <c r="H179" s="62" t="s">
        <v>3727</v>
      </c>
      <c r="I179" s="21"/>
      <c r="J179" s="62" t="s">
        <v>107</v>
      </c>
      <c r="K179" s="63" t="b">
        <v>0</v>
      </c>
      <c r="L179" s="21"/>
      <c r="M179" s="62" t="s">
        <v>3028</v>
      </c>
      <c r="N179" s="62" t="s">
        <v>33</v>
      </c>
      <c r="O179" s="62" t="s">
        <v>3028</v>
      </c>
      <c r="P179" s="62" t="s">
        <v>33</v>
      </c>
      <c r="Q179" s="63" t="s">
        <v>3033</v>
      </c>
      <c r="R179" s="63" t="s">
        <v>3033</v>
      </c>
      <c r="S179" s="21"/>
      <c r="T179" s="21"/>
      <c r="U179" s="21"/>
      <c r="V179" s="62" t="s">
        <v>4166</v>
      </c>
      <c r="W179" s="62" t="s">
        <v>3082</v>
      </c>
      <c r="X179" s="21"/>
      <c r="Y179" s="21"/>
      <c r="Z179" s="21"/>
      <c r="AA179" s="21"/>
      <c r="AB179" s="21"/>
      <c r="AC179" s="62" t="s">
        <v>4136</v>
      </c>
      <c r="AD179" s="62" t="s">
        <v>3530</v>
      </c>
      <c r="AE179" s="62" t="s">
        <v>3730</v>
      </c>
      <c r="AF179" s="62" t="s">
        <v>3731</v>
      </c>
      <c r="AG179" s="62" t="s">
        <v>3239</v>
      </c>
      <c r="AH179" s="62" t="s">
        <v>3525</v>
      </c>
      <c r="AI179" s="63" t="s">
        <v>3033</v>
      </c>
    </row>
    <row r="180" ht="21.75" customHeight="1">
      <c r="A180" s="62" t="s">
        <v>4168</v>
      </c>
      <c r="B180" s="62" t="s">
        <v>3028</v>
      </c>
      <c r="C180" s="62" t="s">
        <v>33</v>
      </c>
      <c r="D180" s="62" t="s">
        <v>4169</v>
      </c>
      <c r="E180" s="62" t="s">
        <v>4169</v>
      </c>
      <c r="F180" s="62" t="s">
        <v>4170</v>
      </c>
      <c r="G180" s="62" t="s">
        <v>3724</v>
      </c>
      <c r="H180" s="62" t="s">
        <v>3727</v>
      </c>
      <c r="I180" s="21"/>
      <c r="J180" s="62" t="s">
        <v>107</v>
      </c>
      <c r="K180" s="63" t="b">
        <v>0</v>
      </c>
      <c r="L180" s="21"/>
      <c r="M180" s="62" t="s">
        <v>3028</v>
      </c>
      <c r="N180" s="62" t="s">
        <v>33</v>
      </c>
      <c r="O180" s="62" t="s">
        <v>3028</v>
      </c>
      <c r="P180" s="62" t="s">
        <v>33</v>
      </c>
      <c r="Q180" s="63" t="s">
        <v>3033</v>
      </c>
      <c r="R180" s="63" t="s">
        <v>3033</v>
      </c>
      <c r="S180" s="21"/>
      <c r="T180" s="21"/>
      <c r="U180" s="21"/>
      <c r="V180" s="62" t="s">
        <v>4174</v>
      </c>
      <c r="W180" s="62" t="s">
        <v>3082</v>
      </c>
      <c r="X180" s="21"/>
      <c r="Y180" s="21"/>
      <c r="Z180" s="21"/>
      <c r="AA180" s="21"/>
      <c r="AB180" s="21"/>
      <c r="AC180" s="62" t="s">
        <v>4175</v>
      </c>
      <c r="AD180" s="62" t="s">
        <v>3530</v>
      </c>
      <c r="AE180" s="62" t="s">
        <v>3730</v>
      </c>
      <c r="AF180" s="62" t="s">
        <v>3731</v>
      </c>
      <c r="AG180" s="62" t="s">
        <v>3239</v>
      </c>
      <c r="AH180" s="62" t="s">
        <v>3525</v>
      </c>
      <c r="AI180" s="63" t="s">
        <v>3033</v>
      </c>
    </row>
    <row r="181" ht="21.75" customHeight="1">
      <c r="A181" s="62" t="s">
        <v>4176</v>
      </c>
      <c r="B181" s="62" t="s">
        <v>3028</v>
      </c>
      <c r="C181" s="62" t="s">
        <v>33</v>
      </c>
      <c r="D181" s="62" t="s">
        <v>4177</v>
      </c>
      <c r="E181" s="62" t="s">
        <v>4178</v>
      </c>
      <c r="F181" s="62" t="s">
        <v>4179</v>
      </c>
      <c r="G181" s="62" t="s">
        <v>3724</v>
      </c>
      <c r="H181" s="62" t="s">
        <v>3727</v>
      </c>
      <c r="I181" s="21"/>
      <c r="J181" s="62" t="s">
        <v>107</v>
      </c>
      <c r="K181" s="63" t="b">
        <v>0</v>
      </c>
      <c r="L181" s="21"/>
      <c r="M181" s="62" t="s">
        <v>3028</v>
      </c>
      <c r="N181" s="62" t="s">
        <v>33</v>
      </c>
      <c r="O181" s="62" t="s">
        <v>3028</v>
      </c>
      <c r="P181" s="62" t="s">
        <v>33</v>
      </c>
      <c r="Q181" s="63" t="s">
        <v>3033</v>
      </c>
      <c r="R181" s="63" t="s">
        <v>3033</v>
      </c>
      <c r="S181" s="21"/>
      <c r="T181" s="21"/>
      <c r="U181" s="21"/>
      <c r="V181" s="62" t="s">
        <v>4180</v>
      </c>
      <c r="W181" s="62" t="s">
        <v>3082</v>
      </c>
      <c r="X181" s="21"/>
      <c r="Y181" s="21"/>
      <c r="Z181" s="21"/>
      <c r="AA181" s="21"/>
      <c r="AB181" s="21"/>
      <c r="AC181" s="62" t="s">
        <v>4182</v>
      </c>
      <c r="AD181" s="62" t="s">
        <v>3530</v>
      </c>
      <c r="AE181" s="62" t="s">
        <v>3730</v>
      </c>
      <c r="AF181" s="62" t="s">
        <v>3731</v>
      </c>
      <c r="AG181" s="62" t="s">
        <v>3239</v>
      </c>
      <c r="AH181" s="62" t="s">
        <v>3525</v>
      </c>
      <c r="AI181" s="63" t="s">
        <v>3033</v>
      </c>
    </row>
    <row r="182" ht="21.75" customHeight="1">
      <c r="A182" s="62" t="s">
        <v>4185</v>
      </c>
      <c r="B182" s="62" t="s">
        <v>3028</v>
      </c>
      <c r="C182" s="62" t="s">
        <v>33</v>
      </c>
      <c r="D182" s="62" t="s">
        <v>4186</v>
      </c>
      <c r="E182" s="62" t="s">
        <v>4187</v>
      </c>
      <c r="F182" s="62" t="s">
        <v>4188</v>
      </c>
      <c r="G182" s="62" t="s">
        <v>3724</v>
      </c>
      <c r="H182" s="62" t="s">
        <v>3727</v>
      </c>
      <c r="I182" s="21"/>
      <c r="J182" s="62" t="s">
        <v>107</v>
      </c>
      <c r="K182" s="63" t="b">
        <v>0</v>
      </c>
      <c r="L182" s="21"/>
      <c r="M182" s="62" t="s">
        <v>3028</v>
      </c>
      <c r="N182" s="62" t="s">
        <v>33</v>
      </c>
      <c r="O182" s="62" t="s">
        <v>3028</v>
      </c>
      <c r="P182" s="62" t="s">
        <v>33</v>
      </c>
      <c r="Q182" s="63" t="s">
        <v>3033</v>
      </c>
      <c r="R182" s="63" t="s">
        <v>3033</v>
      </c>
      <c r="S182" s="21"/>
      <c r="T182" s="21"/>
      <c r="U182" s="21"/>
      <c r="V182" s="62" t="s">
        <v>4189</v>
      </c>
      <c r="W182" s="62" t="s">
        <v>3082</v>
      </c>
      <c r="X182" s="21"/>
      <c r="Y182" s="21"/>
      <c r="Z182" s="21"/>
      <c r="AA182" s="21"/>
      <c r="AB182" s="21"/>
      <c r="AC182" s="62" t="s">
        <v>4190</v>
      </c>
      <c r="AD182" s="62" t="s">
        <v>3530</v>
      </c>
      <c r="AE182" s="62" t="s">
        <v>3730</v>
      </c>
      <c r="AF182" s="62" t="s">
        <v>3731</v>
      </c>
      <c r="AG182" s="62" t="s">
        <v>3239</v>
      </c>
      <c r="AH182" s="62" t="s">
        <v>3525</v>
      </c>
      <c r="AI182" s="63" t="s">
        <v>3033</v>
      </c>
    </row>
    <row r="183" ht="21.75" customHeight="1">
      <c r="A183" s="62" t="s">
        <v>4194</v>
      </c>
      <c r="B183" s="62" t="s">
        <v>3028</v>
      </c>
      <c r="C183" s="62" t="s">
        <v>33</v>
      </c>
      <c r="D183" s="62" t="s">
        <v>4195</v>
      </c>
      <c r="E183" s="62" t="s">
        <v>3974</v>
      </c>
      <c r="F183" s="62" t="s">
        <v>4196</v>
      </c>
      <c r="G183" s="62" t="s">
        <v>3724</v>
      </c>
      <c r="H183" s="62" t="s">
        <v>3727</v>
      </c>
      <c r="I183" s="21"/>
      <c r="J183" s="62" t="s">
        <v>107</v>
      </c>
      <c r="K183" s="63" t="b">
        <v>0</v>
      </c>
      <c r="L183" s="21"/>
      <c r="M183" s="62" t="s">
        <v>3028</v>
      </c>
      <c r="N183" s="62" t="s">
        <v>33</v>
      </c>
      <c r="O183" s="62" t="s">
        <v>3028</v>
      </c>
      <c r="P183" s="62" t="s">
        <v>33</v>
      </c>
      <c r="Q183" s="63" t="s">
        <v>3033</v>
      </c>
      <c r="R183" s="63" t="s">
        <v>3033</v>
      </c>
      <c r="S183" s="21"/>
      <c r="T183" s="21"/>
      <c r="U183" s="21"/>
      <c r="V183" s="62" t="s">
        <v>4197</v>
      </c>
      <c r="W183" s="62" t="s">
        <v>3082</v>
      </c>
      <c r="X183" s="21"/>
      <c r="Y183" s="21"/>
      <c r="Z183" s="21"/>
      <c r="AA183" s="21"/>
      <c r="AB183" s="21"/>
      <c r="AC183" s="62" t="s">
        <v>4158</v>
      </c>
      <c r="AD183" s="62" t="s">
        <v>3530</v>
      </c>
      <c r="AE183" s="62" t="s">
        <v>3730</v>
      </c>
      <c r="AF183" s="62" t="s">
        <v>3731</v>
      </c>
      <c r="AG183" s="62" t="s">
        <v>3239</v>
      </c>
      <c r="AH183" s="62" t="s">
        <v>3525</v>
      </c>
      <c r="AI183" s="63" t="s">
        <v>3033</v>
      </c>
    </row>
    <row r="184" ht="21.75" customHeight="1">
      <c r="A184" s="62" t="s">
        <v>4198</v>
      </c>
      <c r="B184" s="62" t="s">
        <v>3028</v>
      </c>
      <c r="C184" s="62" t="s">
        <v>33</v>
      </c>
      <c r="D184" s="62" t="s">
        <v>3904</v>
      </c>
      <c r="E184" s="62" t="s">
        <v>4199</v>
      </c>
      <c r="F184" s="62" t="s">
        <v>4200</v>
      </c>
      <c r="G184" s="62" t="s">
        <v>3724</v>
      </c>
      <c r="H184" s="62" t="s">
        <v>3727</v>
      </c>
      <c r="I184" s="21"/>
      <c r="J184" s="62" t="s">
        <v>107</v>
      </c>
      <c r="K184" s="63" t="b">
        <v>0</v>
      </c>
      <c r="L184" s="21"/>
      <c r="M184" s="62" t="s">
        <v>3028</v>
      </c>
      <c r="N184" s="62" t="s">
        <v>33</v>
      </c>
      <c r="O184" s="62" t="s">
        <v>3028</v>
      </c>
      <c r="P184" s="62" t="s">
        <v>33</v>
      </c>
      <c r="Q184" s="63" t="s">
        <v>3033</v>
      </c>
      <c r="R184" s="63" t="s">
        <v>3033</v>
      </c>
      <c r="S184" s="21"/>
      <c r="T184" s="21"/>
      <c r="U184" s="21"/>
      <c r="V184" s="62" t="s">
        <v>4203</v>
      </c>
      <c r="W184" s="62" t="s">
        <v>3082</v>
      </c>
      <c r="X184" s="21"/>
      <c r="Y184" s="21"/>
      <c r="Z184" s="21"/>
      <c r="AA184" s="21"/>
      <c r="AB184" s="21"/>
      <c r="AC184" s="62" t="s">
        <v>513</v>
      </c>
      <c r="AD184" s="62" t="s">
        <v>3530</v>
      </c>
      <c r="AE184" s="62" t="s">
        <v>3730</v>
      </c>
      <c r="AF184" s="62" t="s">
        <v>3731</v>
      </c>
      <c r="AG184" s="62" t="s">
        <v>3239</v>
      </c>
      <c r="AH184" s="62" t="s">
        <v>3525</v>
      </c>
      <c r="AI184" s="63" t="s">
        <v>3033</v>
      </c>
    </row>
    <row r="185" ht="21.75" customHeight="1">
      <c r="A185" s="62" t="s">
        <v>4205</v>
      </c>
      <c r="B185" s="62" t="s">
        <v>3028</v>
      </c>
      <c r="C185" s="62" t="s">
        <v>33</v>
      </c>
      <c r="D185" s="62" t="s">
        <v>4206</v>
      </c>
      <c r="E185" s="62" t="s">
        <v>4207</v>
      </c>
      <c r="F185" s="62" t="s">
        <v>4208</v>
      </c>
      <c r="G185" s="62" t="s">
        <v>3724</v>
      </c>
      <c r="H185" s="62" t="s">
        <v>3727</v>
      </c>
      <c r="I185" s="21"/>
      <c r="J185" s="62" t="s">
        <v>107</v>
      </c>
      <c r="K185" s="63" t="b">
        <v>0</v>
      </c>
      <c r="L185" s="21"/>
      <c r="M185" s="62" t="s">
        <v>3028</v>
      </c>
      <c r="N185" s="62" t="s">
        <v>33</v>
      </c>
      <c r="O185" s="62" t="s">
        <v>3028</v>
      </c>
      <c r="P185" s="62" t="s">
        <v>33</v>
      </c>
      <c r="Q185" s="63" t="s">
        <v>3033</v>
      </c>
      <c r="R185" s="63" t="s">
        <v>3033</v>
      </c>
      <c r="S185" s="21"/>
      <c r="T185" s="21"/>
      <c r="U185" s="21"/>
      <c r="V185" s="62" t="s">
        <v>4209</v>
      </c>
      <c r="W185" s="62" t="s">
        <v>3082</v>
      </c>
      <c r="X185" s="21"/>
      <c r="Y185" s="21"/>
      <c r="Z185" s="21"/>
      <c r="AA185" s="21"/>
      <c r="AB185" s="21"/>
      <c r="AC185" s="62" t="s">
        <v>395</v>
      </c>
      <c r="AD185" s="62" t="s">
        <v>3530</v>
      </c>
      <c r="AE185" s="62" t="s">
        <v>3730</v>
      </c>
      <c r="AF185" s="62" t="s">
        <v>3731</v>
      </c>
      <c r="AG185" s="62" t="s">
        <v>3239</v>
      </c>
      <c r="AH185" s="62" t="s">
        <v>3525</v>
      </c>
      <c r="AI185" s="63" t="s">
        <v>3033</v>
      </c>
    </row>
    <row r="186" ht="21.75" customHeight="1">
      <c r="A186" s="62" t="s">
        <v>4212</v>
      </c>
      <c r="B186" s="62" t="s">
        <v>3028</v>
      </c>
      <c r="C186" s="62" t="s">
        <v>33</v>
      </c>
      <c r="D186" s="62" t="s">
        <v>4214</v>
      </c>
      <c r="E186" s="62" t="s">
        <v>3875</v>
      </c>
      <c r="F186" s="62" t="s">
        <v>4215</v>
      </c>
      <c r="G186" s="62" t="s">
        <v>3724</v>
      </c>
      <c r="H186" s="62" t="s">
        <v>3727</v>
      </c>
      <c r="I186" s="21"/>
      <c r="J186" s="62" t="s">
        <v>107</v>
      </c>
      <c r="K186" s="63" t="b">
        <v>0</v>
      </c>
      <c r="L186" s="21"/>
      <c r="M186" s="62" t="s">
        <v>3028</v>
      </c>
      <c r="N186" s="62" t="s">
        <v>33</v>
      </c>
      <c r="O186" s="62" t="s">
        <v>3028</v>
      </c>
      <c r="P186" s="62" t="s">
        <v>33</v>
      </c>
      <c r="Q186" s="63" t="s">
        <v>3033</v>
      </c>
      <c r="R186" s="63" t="s">
        <v>3033</v>
      </c>
      <c r="S186" s="21"/>
      <c r="T186" s="21"/>
      <c r="U186" s="21"/>
      <c r="V186" s="62" t="s">
        <v>4216</v>
      </c>
      <c r="W186" s="62" t="s">
        <v>3082</v>
      </c>
      <c r="X186" s="21"/>
      <c r="Y186" s="21"/>
      <c r="Z186" s="21"/>
      <c r="AA186" s="21"/>
      <c r="AB186" s="21"/>
      <c r="AC186" s="62" t="s">
        <v>395</v>
      </c>
      <c r="AD186" s="62" t="s">
        <v>3530</v>
      </c>
      <c r="AE186" s="62" t="s">
        <v>3730</v>
      </c>
      <c r="AF186" s="62" t="s">
        <v>3731</v>
      </c>
      <c r="AG186" s="62" t="s">
        <v>3239</v>
      </c>
      <c r="AH186" s="62" t="s">
        <v>3525</v>
      </c>
      <c r="AI186" s="63" t="s">
        <v>3033</v>
      </c>
    </row>
    <row r="187" ht="21.75" customHeight="1">
      <c r="A187" s="62" t="s">
        <v>4217</v>
      </c>
      <c r="B187" s="62" t="s">
        <v>3028</v>
      </c>
      <c r="C187" s="62" t="s">
        <v>33</v>
      </c>
      <c r="D187" s="62" t="s">
        <v>4218</v>
      </c>
      <c r="E187" s="62" t="s">
        <v>4219</v>
      </c>
      <c r="F187" s="62" t="s">
        <v>4220</v>
      </c>
      <c r="G187" s="62" t="s">
        <v>3724</v>
      </c>
      <c r="H187" s="62" t="s">
        <v>3727</v>
      </c>
      <c r="I187" s="21"/>
      <c r="J187" s="64">
        <v>8.13E9</v>
      </c>
      <c r="K187" s="63" t="b">
        <v>0</v>
      </c>
      <c r="L187" s="21"/>
      <c r="M187" s="62" t="s">
        <v>3028</v>
      </c>
      <c r="N187" s="62" t="s">
        <v>33</v>
      </c>
      <c r="O187" s="62" t="s">
        <v>3028</v>
      </c>
      <c r="P187" s="62" t="s">
        <v>33</v>
      </c>
      <c r="Q187" s="63" t="s">
        <v>3033</v>
      </c>
      <c r="R187" s="63" t="s">
        <v>3033</v>
      </c>
      <c r="S187" s="21"/>
      <c r="T187" s="21"/>
      <c r="U187" s="21"/>
      <c r="V187" s="62" t="s">
        <v>4224</v>
      </c>
      <c r="W187" s="62" t="s">
        <v>3082</v>
      </c>
      <c r="X187" s="21"/>
      <c r="Y187" s="21"/>
      <c r="Z187" s="21"/>
      <c r="AA187" s="21"/>
      <c r="AB187" s="21"/>
      <c r="AC187" s="62" t="s">
        <v>513</v>
      </c>
      <c r="AD187" s="62" t="s">
        <v>3530</v>
      </c>
      <c r="AE187" s="62" t="s">
        <v>3730</v>
      </c>
      <c r="AF187" s="62" t="s">
        <v>3731</v>
      </c>
      <c r="AG187" s="62" t="s">
        <v>3239</v>
      </c>
      <c r="AH187" s="62" t="s">
        <v>3525</v>
      </c>
      <c r="AI187" s="63" t="s">
        <v>3033</v>
      </c>
    </row>
    <row r="188" ht="21.75" customHeight="1">
      <c r="A188" s="62" t="s">
        <v>4225</v>
      </c>
      <c r="B188" s="62" t="s">
        <v>3028</v>
      </c>
      <c r="C188" s="62" t="s">
        <v>33</v>
      </c>
      <c r="D188" s="62" t="s">
        <v>4226</v>
      </c>
      <c r="E188" s="62" t="s">
        <v>4227</v>
      </c>
      <c r="F188" s="21"/>
      <c r="G188" s="62" t="s">
        <v>3724</v>
      </c>
      <c r="H188" s="62" t="s">
        <v>3727</v>
      </c>
      <c r="I188" s="21"/>
      <c r="J188" s="62" t="s">
        <v>107</v>
      </c>
      <c r="K188" s="63" t="b">
        <v>0</v>
      </c>
      <c r="L188" s="21"/>
      <c r="M188" s="62" t="s">
        <v>3028</v>
      </c>
      <c r="N188" s="62" t="s">
        <v>33</v>
      </c>
      <c r="O188" s="62" t="s">
        <v>3028</v>
      </c>
      <c r="P188" s="62" t="s">
        <v>33</v>
      </c>
      <c r="Q188" s="63" t="s">
        <v>3033</v>
      </c>
      <c r="R188" s="63" t="s">
        <v>3033</v>
      </c>
      <c r="S188" s="21"/>
      <c r="T188" s="21"/>
      <c r="U188" s="21"/>
      <c r="V188" s="62" t="s">
        <v>4229</v>
      </c>
      <c r="W188" s="62" t="s">
        <v>3082</v>
      </c>
      <c r="X188" s="21"/>
      <c r="Y188" s="21"/>
      <c r="Z188" s="21"/>
      <c r="AA188" s="21"/>
      <c r="AB188" s="21"/>
      <c r="AC188" s="62" t="s">
        <v>395</v>
      </c>
      <c r="AD188" s="62" t="s">
        <v>3530</v>
      </c>
      <c r="AE188" s="62" t="s">
        <v>3730</v>
      </c>
      <c r="AF188" s="62" t="s">
        <v>3731</v>
      </c>
      <c r="AG188" s="62" t="s">
        <v>3239</v>
      </c>
      <c r="AH188" s="62" t="s">
        <v>3525</v>
      </c>
      <c r="AI188" s="63" t="s">
        <v>3033</v>
      </c>
    </row>
    <row r="189" ht="21.75" customHeight="1">
      <c r="A189" s="62" t="s">
        <v>4232</v>
      </c>
      <c r="B189" s="62" t="s">
        <v>3028</v>
      </c>
      <c r="C189" s="62" t="s">
        <v>33</v>
      </c>
      <c r="D189" s="62" t="s">
        <v>4233</v>
      </c>
      <c r="E189" s="62" t="s">
        <v>4234</v>
      </c>
      <c r="F189" s="62" t="s">
        <v>4235</v>
      </c>
      <c r="G189" s="62" t="s">
        <v>3724</v>
      </c>
      <c r="H189" s="62" t="s">
        <v>3727</v>
      </c>
      <c r="I189" s="21"/>
      <c r="J189" s="62" t="s">
        <v>107</v>
      </c>
      <c r="K189" s="63" t="b">
        <v>0</v>
      </c>
      <c r="L189" s="21"/>
      <c r="M189" s="62" t="s">
        <v>3028</v>
      </c>
      <c r="N189" s="62" t="s">
        <v>33</v>
      </c>
      <c r="O189" s="62" t="s">
        <v>3028</v>
      </c>
      <c r="P189" s="62" t="s">
        <v>33</v>
      </c>
      <c r="Q189" s="63" t="s">
        <v>3033</v>
      </c>
      <c r="R189" s="63" t="s">
        <v>3033</v>
      </c>
      <c r="S189" s="21"/>
      <c r="T189" s="21"/>
      <c r="U189" s="21"/>
      <c r="V189" s="62" t="s">
        <v>4236</v>
      </c>
      <c r="W189" s="62" t="s">
        <v>3082</v>
      </c>
      <c r="X189" s="21"/>
      <c r="Y189" s="21"/>
      <c r="Z189" s="21"/>
      <c r="AA189" s="21"/>
      <c r="AB189" s="21"/>
      <c r="AC189" s="62" t="s">
        <v>395</v>
      </c>
      <c r="AD189" s="62" t="s">
        <v>3530</v>
      </c>
      <c r="AE189" s="62" t="s">
        <v>3730</v>
      </c>
      <c r="AF189" s="62" t="s">
        <v>3731</v>
      </c>
      <c r="AG189" s="62" t="s">
        <v>3239</v>
      </c>
      <c r="AH189" s="62" t="s">
        <v>3525</v>
      </c>
      <c r="AI189" s="63" t="s">
        <v>3033</v>
      </c>
    </row>
    <row r="190" ht="21.75" customHeight="1">
      <c r="A190" s="62" t="s">
        <v>4239</v>
      </c>
      <c r="B190" s="62" t="s">
        <v>3028</v>
      </c>
      <c r="C190" s="62" t="s">
        <v>33</v>
      </c>
      <c r="D190" s="62" t="s">
        <v>4241</v>
      </c>
      <c r="E190" s="62" t="s">
        <v>4242</v>
      </c>
      <c r="F190" s="62" t="s">
        <v>4243</v>
      </c>
      <c r="G190" s="62" t="s">
        <v>3724</v>
      </c>
      <c r="H190" s="62" t="s">
        <v>3727</v>
      </c>
      <c r="I190" s="21"/>
      <c r="J190" s="62" t="s">
        <v>107</v>
      </c>
      <c r="K190" s="63" t="b">
        <v>0</v>
      </c>
      <c r="L190" s="21"/>
      <c r="M190" s="62" t="s">
        <v>3028</v>
      </c>
      <c r="N190" s="62" t="s">
        <v>33</v>
      </c>
      <c r="O190" s="62" t="s">
        <v>3028</v>
      </c>
      <c r="P190" s="62" t="s">
        <v>33</v>
      </c>
      <c r="Q190" s="63" t="s">
        <v>3033</v>
      </c>
      <c r="R190" s="63" t="s">
        <v>3033</v>
      </c>
      <c r="S190" s="21"/>
      <c r="T190" s="21"/>
      <c r="U190" s="21"/>
      <c r="V190" s="62" t="s">
        <v>4244</v>
      </c>
      <c r="W190" s="62" t="s">
        <v>3082</v>
      </c>
      <c r="X190" s="21"/>
      <c r="Y190" s="21"/>
      <c r="Z190" s="21"/>
      <c r="AA190" s="21"/>
      <c r="AB190" s="21"/>
      <c r="AC190" s="62" t="s">
        <v>395</v>
      </c>
      <c r="AD190" s="62" t="s">
        <v>3530</v>
      </c>
      <c r="AE190" s="62" t="s">
        <v>3730</v>
      </c>
      <c r="AF190" s="62" t="s">
        <v>3731</v>
      </c>
      <c r="AG190" s="62" t="s">
        <v>3239</v>
      </c>
      <c r="AH190" s="62" t="s">
        <v>3525</v>
      </c>
      <c r="AI190" s="63" t="s">
        <v>3033</v>
      </c>
    </row>
    <row r="191" ht="21.75" customHeight="1">
      <c r="A191" s="62" t="s">
        <v>4245</v>
      </c>
      <c r="B191" s="62" t="s">
        <v>3028</v>
      </c>
      <c r="C191" s="62" t="s">
        <v>33</v>
      </c>
      <c r="D191" s="62" t="s">
        <v>4246</v>
      </c>
      <c r="E191" s="62" t="s">
        <v>4247</v>
      </c>
      <c r="F191" s="62" t="s">
        <v>4248</v>
      </c>
      <c r="G191" s="62" t="s">
        <v>3724</v>
      </c>
      <c r="H191" s="62" t="s">
        <v>3727</v>
      </c>
      <c r="I191" s="21"/>
      <c r="J191" s="62" t="s">
        <v>107</v>
      </c>
      <c r="K191" s="63" t="b">
        <v>0</v>
      </c>
      <c r="L191" s="21"/>
      <c r="M191" s="62" t="s">
        <v>3028</v>
      </c>
      <c r="N191" s="62" t="s">
        <v>33</v>
      </c>
      <c r="O191" s="62" t="s">
        <v>3028</v>
      </c>
      <c r="P191" s="62" t="s">
        <v>33</v>
      </c>
      <c r="Q191" s="63" t="s">
        <v>3033</v>
      </c>
      <c r="R191" s="63" t="s">
        <v>3033</v>
      </c>
      <c r="S191" s="21"/>
      <c r="T191" s="21"/>
      <c r="U191" s="21"/>
      <c r="V191" s="62" t="s">
        <v>4252</v>
      </c>
      <c r="W191" s="62" t="s">
        <v>3082</v>
      </c>
      <c r="X191" s="21"/>
      <c r="Y191" s="21"/>
      <c r="Z191" s="21"/>
      <c r="AA191" s="21"/>
      <c r="AB191" s="21"/>
      <c r="AC191" s="62" t="s">
        <v>395</v>
      </c>
      <c r="AD191" s="62" t="s">
        <v>3530</v>
      </c>
      <c r="AE191" s="62" t="s">
        <v>3730</v>
      </c>
      <c r="AF191" s="62" t="s">
        <v>3731</v>
      </c>
      <c r="AG191" s="62" t="s">
        <v>3239</v>
      </c>
      <c r="AH191" s="62" t="s">
        <v>3525</v>
      </c>
      <c r="AI191" s="63" t="s">
        <v>3033</v>
      </c>
    </row>
    <row r="192" ht="21.75" customHeight="1">
      <c r="A192" s="62" t="s">
        <v>4253</v>
      </c>
      <c r="B192" s="62" t="s">
        <v>3028</v>
      </c>
      <c r="C192" s="62" t="s">
        <v>33</v>
      </c>
      <c r="D192" s="62" t="s">
        <v>4254</v>
      </c>
      <c r="E192" s="62" t="s">
        <v>4255</v>
      </c>
      <c r="F192" s="62" t="s">
        <v>4256</v>
      </c>
      <c r="G192" s="62" t="s">
        <v>3724</v>
      </c>
      <c r="H192" s="62" t="s">
        <v>3727</v>
      </c>
      <c r="I192" s="21"/>
      <c r="J192" s="64">
        <v>9.84E9</v>
      </c>
      <c r="K192" s="63" t="b">
        <v>0</v>
      </c>
      <c r="L192" s="21"/>
      <c r="M192" s="62" t="s">
        <v>3028</v>
      </c>
      <c r="N192" s="62" t="s">
        <v>33</v>
      </c>
      <c r="O192" s="62" t="s">
        <v>3028</v>
      </c>
      <c r="P192" s="62" t="s">
        <v>33</v>
      </c>
      <c r="Q192" s="63" t="s">
        <v>3033</v>
      </c>
      <c r="R192" s="63" t="s">
        <v>3033</v>
      </c>
      <c r="S192" s="21"/>
      <c r="T192" s="21"/>
      <c r="U192" s="21"/>
      <c r="V192" s="62" t="s">
        <v>4257</v>
      </c>
      <c r="W192" s="62" t="s">
        <v>3082</v>
      </c>
      <c r="X192" s="21"/>
      <c r="Y192" s="21"/>
      <c r="Z192" s="21"/>
      <c r="AA192" s="21"/>
      <c r="AB192" s="21"/>
      <c r="AC192" s="62" t="s">
        <v>395</v>
      </c>
      <c r="AD192" s="62" t="s">
        <v>3530</v>
      </c>
      <c r="AE192" s="62" t="s">
        <v>3730</v>
      </c>
      <c r="AF192" s="62" t="s">
        <v>3731</v>
      </c>
      <c r="AG192" s="62" t="s">
        <v>3239</v>
      </c>
      <c r="AH192" s="62" t="s">
        <v>3525</v>
      </c>
      <c r="AI192" s="63" t="s">
        <v>3033</v>
      </c>
    </row>
    <row r="193" ht="21.75" customHeight="1">
      <c r="A193" s="62" t="s">
        <v>4258</v>
      </c>
      <c r="B193" s="62" t="s">
        <v>3028</v>
      </c>
      <c r="C193" s="62" t="s">
        <v>33</v>
      </c>
      <c r="D193" s="62" t="s">
        <v>4259</v>
      </c>
      <c r="E193" s="62" t="s">
        <v>4260</v>
      </c>
      <c r="F193" s="62" t="s">
        <v>4261</v>
      </c>
      <c r="G193" s="62" t="s">
        <v>3724</v>
      </c>
      <c r="H193" s="62" t="s">
        <v>3727</v>
      </c>
      <c r="I193" s="21"/>
      <c r="J193" s="62" t="s">
        <v>107</v>
      </c>
      <c r="K193" s="63" t="b">
        <v>0</v>
      </c>
      <c r="L193" s="21"/>
      <c r="M193" s="62" t="s">
        <v>3028</v>
      </c>
      <c r="N193" s="62" t="s">
        <v>33</v>
      </c>
      <c r="O193" s="62" t="s">
        <v>3028</v>
      </c>
      <c r="P193" s="62" t="s">
        <v>33</v>
      </c>
      <c r="Q193" s="63" t="s">
        <v>3033</v>
      </c>
      <c r="R193" s="63" t="s">
        <v>3033</v>
      </c>
      <c r="S193" s="21"/>
      <c r="T193" s="21"/>
      <c r="U193" s="21"/>
      <c r="V193" s="62" t="s">
        <v>4265</v>
      </c>
      <c r="W193" s="62" t="s">
        <v>3082</v>
      </c>
      <c r="X193" s="21"/>
      <c r="Y193" s="21"/>
      <c r="Z193" s="21"/>
      <c r="AA193" s="21"/>
      <c r="AB193" s="21"/>
      <c r="AC193" s="62" t="s">
        <v>395</v>
      </c>
      <c r="AD193" s="62" t="s">
        <v>3530</v>
      </c>
      <c r="AE193" s="62" t="s">
        <v>3730</v>
      </c>
      <c r="AF193" s="62" t="s">
        <v>3731</v>
      </c>
      <c r="AG193" s="62" t="s">
        <v>3239</v>
      </c>
      <c r="AH193" s="62" t="s">
        <v>3525</v>
      </c>
      <c r="AI193" s="63" t="s">
        <v>3033</v>
      </c>
    </row>
    <row r="194" ht="21.75" customHeight="1">
      <c r="A194" s="62" t="s">
        <v>4266</v>
      </c>
      <c r="B194" s="62" t="s">
        <v>3028</v>
      </c>
      <c r="C194" s="62" t="s">
        <v>33</v>
      </c>
      <c r="D194" s="62" t="s">
        <v>4267</v>
      </c>
      <c r="E194" s="62" t="s">
        <v>4268</v>
      </c>
      <c r="F194" s="62" t="s">
        <v>4269</v>
      </c>
      <c r="G194" s="62" t="s">
        <v>3724</v>
      </c>
      <c r="H194" s="62" t="s">
        <v>3727</v>
      </c>
      <c r="I194" s="21"/>
      <c r="J194" s="62" t="s">
        <v>107</v>
      </c>
      <c r="K194" s="63" t="b">
        <v>0</v>
      </c>
      <c r="L194" s="21"/>
      <c r="M194" s="62" t="s">
        <v>3028</v>
      </c>
      <c r="N194" s="62" t="s">
        <v>33</v>
      </c>
      <c r="O194" s="62" t="s">
        <v>3028</v>
      </c>
      <c r="P194" s="62" t="s">
        <v>33</v>
      </c>
      <c r="Q194" s="63" t="s">
        <v>3033</v>
      </c>
      <c r="R194" s="63" t="s">
        <v>3033</v>
      </c>
      <c r="S194" s="21"/>
      <c r="T194" s="21"/>
      <c r="U194" s="21"/>
      <c r="V194" s="62" t="s">
        <v>4273</v>
      </c>
      <c r="W194" s="62" t="s">
        <v>3082</v>
      </c>
      <c r="X194" s="21"/>
      <c r="Y194" s="21"/>
      <c r="Z194" s="21"/>
      <c r="AA194" s="21"/>
      <c r="AB194" s="21"/>
      <c r="AC194" s="62" t="s">
        <v>395</v>
      </c>
      <c r="AD194" s="62" t="s">
        <v>3530</v>
      </c>
      <c r="AE194" s="62" t="s">
        <v>3730</v>
      </c>
      <c r="AF194" s="62" t="s">
        <v>3731</v>
      </c>
      <c r="AG194" s="62" t="s">
        <v>3239</v>
      </c>
      <c r="AH194" s="62" t="s">
        <v>3525</v>
      </c>
      <c r="AI194" s="63" t="s">
        <v>3033</v>
      </c>
    </row>
    <row r="195" ht="21.75" customHeight="1">
      <c r="A195" s="62" t="s">
        <v>4274</v>
      </c>
      <c r="B195" s="62" t="s">
        <v>3028</v>
      </c>
      <c r="C195" s="62" t="s">
        <v>33</v>
      </c>
      <c r="D195" s="62" t="s">
        <v>4275</v>
      </c>
      <c r="E195" s="62" t="s">
        <v>3884</v>
      </c>
      <c r="F195" s="21"/>
      <c r="G195" s="62" t="s">
        <v>3724</v>
      </c>
      <c r="H195" s="62" t="s">
        <v>3727</v>
      </c>
      <c r="I195" s="21"/>
      <c r="J195" s="62" t="s">
        <v>107</v>
      </c>
      <c r="K195" s="63" t="b">
        <v>0</v>
      </c>
      <c r="L195" s="21"/>
      <c r="M195" s="62" t="s">
        <v>3028</v>
      </c>
      <c r="N195" s="62" t="s">
        <v>33</v>
      </c>
      <c r="O195" s="62" t="s">
        <v>3028</v>
      </c>
      <c r="P195" s="62" t="s">
        <v>33</v>
      </c>
      <c r="Q195" s="63" t="s">
        <v>3033</v>
      </c>
      <c r="R195" s="63" t="s">
        <v>3033</v>
      </c>
      <c r="S195" s="21"/>
      <c r="T195" s="21"/>
      <c r="U195" s="21"/>
      <c r="V195" s="62" t="s">
        <v>4276</v>
      </c>
      <c r="W195" s="62" t="s">
        <v>3082</v>
      </c>
      <c r="X195" s="21"/>
      <c r="Y195" s="21"/>
      <c r="Z195" s="21"/>
      <c r="AA195" s="21"/>
      <c r="AB195" s="21"/>
      <c r="AC195" s="62" t="s">
        <v>4277</v>
      </c>
      <c r="AD195" s="62" t="s">
        <v>3530</v>
      </c>
      <c r="AE195" s="62" t="s">
        <v>3730</v>
      </c>
      <c r="AF195" s="62" t="s">
        <v>3731</v>
      </c>
      <c r="AG195" s="62" t="s">
        <v>3239</v>
      </c>
      <c r="AH195" s="62" t="s">
        <v>3525</v>
      </c>
      <c r="AI195" s="63" t="s">
        <v>3033</v>
      </c>
    </row>
    <row r="196" ht="21.75" customHeight="1">
      <c r="A196" s="62" t="s">
        <v>4281</v>
      </c>
      <c r="B196" s="62" t="s">
        <v>3028</v>
      </c>
      <c r="C196" s="62" t="s">
        <v>33</v>
      </c>
      <c r="D196" s="62" t="s">
        <v>4282</v>
      </c>
      <c r="E196" s="62" t="s">
        <v>4283</v>
      </c>
      <c r="F196" s="62" t="s">
        <v>4284</v>
      </c>
      <c r="G196" s="62" t="s">
        <v>3724</v>
      </c>
      <c r="H196" s="62" t="s">
        <v>3727</v>
      </c>
      <c r="I196" s="21"/>
      <c r="J196" s="62" t="s">
        <v>107</v>
      </c>
      <c r="K196" s="63" t="b">
        <v>0</v>
      </c>
      <c r="L196" s="21"/>
      <c r="M196" s="62" t="s">
        <v>3028</v>
      </c>
      <c r="N196" s="62" t="s">
        <v>33</v>
      </c>
      <c r="O196" s="62" t="s">
        <v>3028</v>
      </c>
      <c r="P196" s="62" t="s">
        <v>33</v>
      </c>
      <c r="Q196" s="63" t="s">
        <v>3033</v>
      </c>
      <c r="R196" s="63" t="s">
        <v>3033</v>
      </c>
      <c r="S196" s="21"/>
      <c r="T196" s="21"/>
      <c r="U196" s="21"/>
      <c r="V196" s="62" t="s">
        <v>4285</v>
      </c>
      <c r="W196" s="62" t="s">
        <v>3082</v>
      </c>
      <c r="X196" s="21"/>
      <c r="Y196" s="21"/>
      <c r="Z196" s="21"/>
      <c r="AA196" s="21"/>
      <c r="AB196" s="21"/>
      <c r="AC196" s="62" t="s">
        <v>395</v>
      </c>
      <c r="AD196" s="62" t="s">
        <v>3530</v>
      </c>
      <c r="AE196" s="62" t="s">
        <v>3730</v>
      </c>
      <c r="AF196" s="62" t="s">
        <v>3731</v>
      </c>
      <c r="AG196" s="62" t="s">
        <v>3239</v>
      </c>
      <c r="AH196" s="62" t="s">
        <v>3525</v>
      </c>
      <c r="AI196" s="63" t="s">
        <v>3033</v>
      </c>
    </row>
    <row r="197" ht="21.75" customHeight="1">
      <c r="A197" s="62" t="s">
        <v>4289</v>
      </c>
      <c r="B197" s="62" t="s">
        <v>3028</v>
      </c>
      <c r="C197" s="62" t="s">
        <v>33</v>
      </c>
      <c r="D197" s="62" t="s">
        <v>4290</v>
      </c>
      <c r="E197" s="62" t="s">
        <v>4291</v>
      </c>
      <c r="F197" s="62" t="s">
        <v>4292</v>
      </c>
      <c r="G197" s="62" t="s">
        <v>3724</v>
      </c>
      <c r="H197" s="62" t="s">
        <v>3727</v>
      </c>
      <c r="I197" s="21"/>
      <c r="J197" s="62" t="s">
        <v>107</v>
      </c>
      <c r="K197" s="63" t="b">
        <v>0</v>
      </c>
      <c r="L197" s="21"/>
      <c r="M197" s="62" t="s">
        <v>3028</v>
      </c>
      <c r="N197" s="62" t="s">
        <v>33</v>
      </c>
      <c r="O197" s="62" t="s">
        <v>3028</v>
      </c>
      <c r="P197" s="62" t="s">
        <v>33</v>
      </c>
      <c r="Q197" s="63" t="s">
        <v>3033</v>
      </c>
      <c r="R197" s="63" t="s">
        <v>3033</v>
      </c>
      <c r="S197" s="21"/>
      <c r="T197" s="21"/>
      <c r="U197" s="21"/>
      <c r="V197" s="62" t="s">
        <v>4293</v>
      </c>
      <c r="W197" s="62" t="s">
        <v>3082</v>
      </c>
      <c r="X197" s="21"/>
      <c r="Y197" s="21"/>
      <c r="Z197" s="21"/>
      <c r="AA197" s="21"/>
      <c r="AB197" s="21"/>
      <c r="AC197" s="62" t="s">
        <v>4294</v>
      </c>
      <c r="AD197" s="62" t="s">
        <v>3530</v>
      </c>
      <c r="AE197" s="62" t="s">
        <v>3730</v>
      </c>
      <c r="AF197" s="62" t="s">
        <v>3731</v>
      </c>
      <c r="AG197" s="62" t="s">
        <v>3239</v>
      </c>
      <c r="AH197" s="62" t="s">
        <v>3525</v>
      </c>
      <c r="AI197" s="63" t="s">
        <v>3033</v>
      </c>
    </row>
    <row r="198" ht="21.75" customHeight="1">
      <c r="A198" s="62" t="s">
        <v>4296</v>
      </c>
      <c r="B198" s="62" t="s">
        <v>3028</v>
      </c>
      <c r="C198" s="62" t="s">
        <v>33</v>
      </c>
      <c r="D198" s="62" t="s">
        <v>4297</v>
      </c>
      <c r="E198" s="62" t="s">
        <v>3974</v>
      </c>
      <c r="F198" s="62" t="s">
        <v>4298</v>
      </c>
      <c r="G198" s="62" t="s">
        <v>3724</v>
      </c>
      <c r="H198" s="62" t="s">
        <v>3727</v>
      </c>
      <c r="I198" s="21"/>
      <c r="J198" s="62" t="s">
        <v>107</v>
      </c>
      <c r="K198" s="63" t="b">
        <v>0</v>
      </c>
      <c r="L198" s="21"/>
      <c r="M198" s="62" t="s">
        <v>3028</v>
      </c>
      <c r="N198" s="62" t="s">
        <v>33</v>
      </c>
      <c r="O198" s="62" t="s">
        <v>3028</v>
      </c>
      <c r="P198" s="62" t="s">
        <v>33</v>
      </c>
      <c r="Q198" s="63" t="s">
        <v>3033</v>
      </c>
      <c r="R198" s="63" t="s">
        <v>3033</v>
      </c>
      <c r="S198" s="21"/>
      <c r="T198" s="21"/>
      <c r="U198" s="21"/>
      <c r="V198" s="62" t="s">
        <v>4302</v>
      </c>
      <c r="W198" s="62" t="s">
        <v>3082</v>
      </c>
      <c r="X198" s="21"/>
      <c r="Y198" s="21"/>
      <c r="Z198" s="21"/>
      <c r="AA198" s="21"/>
      <c r="AB198" s="21"/>
      <c r="AC198" s="62" t="s">
        <v>513</v>
      </c>
      <c r="AD198" s="62" t="s">
        <v>3530</v>
      </c>
      <c r="AE198" s="62" t="s">
        <v>3730</v>
      </c>
      <c r="AF198" s="62" t="s">
        <v>3731</v>
      </c>
      <c r="AG198" s="62" t="s">
        <v>3239</v>
      </c>
      <c r="AH198" s="62" t="s">
        <v>3525</v>
      </c>
      <c r="AI198" s="63" t="s">
        <v>3033</v>
      </c>
    </row>
    <row r="199" ht="21.75" customHeight="1">
      <c r="A199" s="62" t="s">
        <v>4303</v>
      </c>
      <c r="B199" s="62" t="s">
        <v>3028</v>
      </c>
      <c r="C199" s="62" t="s">
        <v>33</v>
      </c>
      <c r="D199" s="62" t="s">
        <v>4304</v>
      </c>
      <c r="E199" s="62" t="s">
        <v>4305</v>
      </c>
      <c r="F199" s="62" t="s">
        <v>4306</v>
      </c>
      <c r="G199" s="62" t="s">
        <v>3724</v>
      </c>
      <c r="H199" s="62" t="s">
        <v>3727</v>
      </c>
      <c r="I199" s="21"/>
      <c r="J199" s="62" t="s">
        <v>107</v>
      </c>
      <c r="K199" s="63" t="b">
        <v>0</v>
      </c>
      <c r="L199" s="21"/>
      <c r="M199" s="62" t="s">
        <v>3028</v>
      </c>
      <c r="N199" s="62" t="s">
        <v>33</v>
      </c>
      <c r="O199" s="62" t="s">
        <v>3028</v>
      </c>
      <c r="P199" s="62" t="s">
        <v>33</v>
      </c>
      <c r="Q199" s="63" t="s">
        <v>3033</v>
      </c>
      <c r="R199" s="63" t="s">
        <v>3033</v>
      </c>
      <c r="S199" s="21"/>
      <c r="T199" s="21"/>
      <c r="U199" s="21"/>
      <c r="V199" s="62" t="s">
        <v>4307</v>
      </c>
      <c r="W199" s="62" t="s">
        <v>3082</v>
      </c>
      <c r="X199" s="21"/>
      <c r="Y199" s="21"/>
      <c r="Z199" s="21"/>
      <c r="AA199" s="21"/>
      <c r="AB199" s="21"/>
      <c r="AC199" s="62" t="s">
        <v>395</v>
      </c>
      <c r="AD199" s="62" t="s">
        <v>3530</v>
      </c>
      <c r="AE199" s="62" t="s">
        <v>3730</v>
      </c>
      <c r="AF199" s="62" t="s">
        <v>3731</v>
      </c>
      <c r="AG199" s="62" t="s">
        <v>3239</v>
      </c>
      <c r="AH199" s="62" t="s">
        <v>3525</v>
      </c>
      <c r="AI199" s="63" t="s">
        <v>3033</v>
      </c>
    </row>
    <row r="200" ht="21.75" customHeight="1">
      <c r="A200" s="62" t="s">
        <v>4311</v>
      </c>
      <c r="B200" s="62" t="s">
        <v>3028</v>
      </c>
      <c r="C200" s="62" t="s">
        <v>33</v>
      </c>
      <c r="D200" s="62" t="s">
        <v>4312</v>
      </c>
      <c r="E200" s="62" t="s">
        <v>4313</v>
      </c>
      <c r="F200" s="62" t="s">
        <v>4314</v>
      </c>
      <c r="G200" s="62" t="s">
        <v>3724</v>
      </c>
      <c r="H200" s="62" t="s">
        <v>3727</v>
      </c>
      <c r="I200" s="21"/>
      <c r="J200" s="62" t="s">
        <v>107</v>
      </c>
      <c r="K200" s="63" t="b">
        <v>0</v>
      </c>
      <c r="L200" s="21"/>
      <c r="M200" s="62" t="s">
        <v>3028</v>
      </c>
      <c r="N200" s="62" t="s">
        <v>33</v>
      </c>
      <c r="O200" s="62" t="s">
        <v>3028</v>
      </c>
      <c r="P200" s="62" t="s">
        <v>33</v>
      </c>
      <c r="Q200" s="63" t="s">
        <v>3033</v>
      </c>
      <c r="R200" s="63" t="s">
        <v>3033</v>
      </c>
      <c r="S200" s="21"/>
      <c r="T200" s="21"/>
      <c r="U200" s="21"/>
      <c r="V200" s="62" t="s">
        <v>4315</v>
      </c>
      <c r="W200" s="62" t="s">
        <v>3082</v>
      </c>
      <c r="X200" s="21"/>
      <c r="Y200" s="21"/>
      <c r="Z200" s="21"/>
      <c r="AA200" s="21"/>
      <c r="AB200" s="21"/>
      <c r="AC200" s="62" t="s">
        <v>513</v>
      </c>
      <c r="AD200" s="62" t="s">
        <v>3530</v>
      </c>
      <c r="AE200" s="62" t="s">
        <v>3730</v>
      </c>
      <c r="AF200" s="62" t="s">
        <v>3731</v>
      </c>
      <c r="AG200" s="62" t="s">
        <v>3239</v>
      </c>
      <c r="AH200" s="62" t="s">
        <v>3525</v>
      </c>
      <c r="AI200" s="63" t="s">
        <v>3033</v>
      </c>
    </row>
    <row r="201" ht="21.75" customHeight="1">
      <c r="A201" s="62" t="s">
        <v>4316</v>
      </c>
      <c r="B201" s="62" t="s">
        <v>3028</v>
      </c>
      <c r="C201" s="62" t="s">
        <v>33</v>
      </c>
      <c r="D201" s="62" t="s">
        <v>4317</v>
      </c>
      <c r="E201" s="62" t="s">
        <v>3981</v>
      </c>
      <c r="F201" s="62" t="s">
        <v>4320</v>
      </c>
      <c r="G201" s="62" t="s">
        <v>3724</v>
      </c>
      <c r="H201" s="62" t="s">
        <v>3727</v>
      </c>
      <c r="I201" s="21"/>
      <c r="J201" s="62" t="s">
        <v>107</v>
      </c>
      <c r="K201" s="63" t="b">
        <v>0</v>
      </c>
      <c r="L201" s="21"/>
      <c r="M201" s="62" t="s">
        <v>3028</v>
      </c>
      <c r="N201" s="62" t="s">
        <v>33</v>
      </c>
      <c r="O201" s="62" t="s">
        <v>3028</v>
      </c>
      <c r="P201" s="62" t="s">
        <v>33</v>
      </c>
      <c r="Q201" s="63" t="s">
        <v>3033</v>
      </c>
      <c r="R201" s="63" t="s">
        <v>3033</v>
      </c>
      <c r="S201" s="21"/>
      <c r="T201" s="21"/>
      <c r="U201" s="21"/>
      <c r="V201" s="62" t="s">
        <v>4322</v>
      </c>
      <c r="W201" s="62" t="s">
        <v>3082</v>
      </c>
      <c r="X201" s="21"/>
      <c r="Y201" s="21"/>
      <c r="Z201" s="21"/>
      <c r="AA201" s="21"/>
      <c r="AB201" s="21"/>
      <c r="AC201" s="62" t="s">
        <v>513</v>
      </c>
      <c r="AD201" s="62" t="s">
        <v>3530</v>
      </c>
      <c r="AE201" s="62" t="s">
        <v>3730</v>
      </c>
      <c r="AF201" s="62" t="s">
        <v>3731</v>
      </c>
      <c r="AG201" s="62" t="s">
        <v>3239</v>
      </c>
      <c r="AH201" s="62" t="s">
        <v>3525</v>
      </c>
      <c r="AI201" s="63" t="s">
        <v>3033</v>
      </c>
    </row>
    <row r="202" ht="21.75" customHeight="1">
      <c r="A202" s="62" t="s">
        <v>4323</v>
      </c>
      <c r="B202" s="62" t="s">
        <v>3028</v>
      </c>
      <c r="C202" s="62" t="s">
        <v>33</v>
      </c>
      <c r="D202" s="62" t="s">
        <v>4324</v>
      </c>
      <c r="E202" s="62" t="s">
        <v>4325</v>
      </c>
      <c r="F202" s="62" t="s">
        <v>4326</v>
      </c>
      <c r="G202" s="62" t="s">
        <v>3724</v>
      </c>
      <c r="H202" s="62" t="s">
        <v>3727</v>
      </c>
      <c r="I202" s="21"/>
      <c r="J202" s="64">
        <v>8.0E9</v>
      </c>
      <c r="K202" s="63" t="b">
        <v>0</v>
      </c>
      <c r="L202" s="21"/>
      <c r="M202" s="62" t="s">
        <v>3028</v>
      </c>
      <c r="N202" s="62" t="s">
        <v>33</v>
      </c>
      <c r="O202" s="62" t="s">
        <v>3028</v>
      </c>
      <c r="P202" s="62" t="s">
        <v>33</v>
      </c>
      <c r="Q202" s="63" t="s">
        <v>3033</v>
      </c>
      <c r="R202" s="63" t="s">
        <v>3033</v>
      </c>
      <c r="S202" s="63" t="s">
        <v>3033</v>
      </c>
      <c r="T202" s="21"/>
      <c r="U202" s="21"/>
      <c r="V202" s="62" t="s">
        <v>4328</v>
      </c>
      <c r="W202" s="62" t="s">
        <v>3082</v>
      </c>
      <c r="X202" s="21"/>
      <c r="Y202" s="21"/>
      <c r="Z202" s="21"/>
      <c r="AA202" s="21"/>
      <c r="AB202" s="21"/>
      <c r="AC202" s="62" t="s">
        <v>4331</v>
      </c>
      <c r="AD202" s="62" t="s">
        <v>3530</v>
      </c>
      <c r="AE202" s="62" t="s">
        <v>3730</v>
      </c>
      <c r="AF202" s="62" t="s">
        <v>3731</v>
      </c>
      <c r="AG202" s="62" t="s">
        <v>3239</v>
      </c>
      <c r="AH202" s="62" t="s">
        <v>3525</v>
      </c>
      <c r="AI202" s="63" t="s">
        <v>3033</v>
      </c>
    </row>
    <row r="203" ht="21.75" customHeight="1">
      <c r="A203" s="62" t="s">
        <v>4332</v>
      </c>
      <c r="B203" s="62" t="s">
        <v>3028</v>
      </c>
      <c r="C203" s="62" t="s">
        <v>33</v>
      </c>
      <c r="D203" s="62" t="s">
        <v>4333</v>
      </c>
      <c r="E203" s="62" t="s">
        <v>4334</v>
      </c>
      <c r="F203" s="62" t="s">
        <v>4335</v>
      </c>
      <c r="G203" s="62" t="s">
        <v>3724</v>
      </c>
      <c r="H203" s="62" t="s">
        <v>3727</v>
      </c>
      <c r="I203" s="21"/>
      <c r="J203" s="62" t="s">
        <v>107</v>
      </c>
      <c r="K203" s="63" t="b">
        <v>0</v>
      </c>
      <c r="L203" s="21"/>
      <c r="M203" s="62" t="s">
        <v>3028</v>
      </c>
      <c r="N203" s="62" t="s">
        <v>33</v>
      </c>
      <c r="O203" s="62" t="s">
        <v>3028</v>
      </c>
      <c r="P203" s="62" t="s">
        <v>33</v>
      </c>
      <c r="Q203" s="63" t="s">
        <v>3033</v>
      </c>
      <c r="R203" s="63" t="s">
        <v>3033</v>
      </c>
      <c r="S203" s="21"/>
      <c r="T203" s="21"/>
      <c r="U203" s="21"/>
      <c r="V203" s="62" t="s">
        <v>4337</v>
      </c>
      <c r="W203" s="62" t="s">
        <v>3082</v>
      </c>
      <c r="X203" s="21"/>
      <c r="Y203" s="21"/>
      <c r="Z203" s="21"/>
      <c r="AA203" s="21"/>
      <c r="AB203" s="21"/>
      <c r="AC203" s="62" t="s">
        <v>403</v>
      </c>
      <c r="AD203" s="62" t="s">
        <v>3530</v>
      </c>
      <c r="AE203" s="62" t="s">
        <v>3730</v>
      </c>
      <c r="AF203" s="62" t="s">
        <v>3731</v>
      </c>
      <c r="AG203" s="62" t="s">
        <v>3239</v>
      </c>
      <c r="AH203" s="62" t="s">
        <v>3525</v>
      </c>
      <c r="AI203" s="63" t="s">
        <v>3033</v>
      </c>
    </row>
    <row r="204" ht="21.75" customHeight="1">
      <c r="A204" s="62" t="s">
        <v>4341</v>
      </c>
      <c r="B204" s="62" t="s">
        <v>3028</v>
      </c>
      <c r="C204" s="62" t="s">
        <v>33</v>
      </c>
      <c r="D204" s="62" t="s">
        <v>4342</v>
      </c>
      <c r="E204" s="62" t="s">
        <v>4343</v>
      </c>
      <c r="G204" s="62" t="s">
        <v>3724</v>
      </c>
      <c r="H204" s="62" t="s">
        <v>3727</v>
      </c>
      <c r="I204" s="21"/>
      <c r="J204" s="62" t="s">
        <v>107</v>
      </c>
      <c r="K204" s="63" t="b">
        <v>0</v>
      </c>
      <c r="L204" s="21"/>
      <c r="M204" s="62" t="s">
        <v>3028</v>
      </c>
      <c r="N204" s="62" t="s">
        <v>33</v>
      </c>
      <c r="O204" s="62" t="s">
        <v>3028</v>
      </c>
      <c r="P204" s="62" t="s">
        <v>33</v>
      </c>
      <c r="Q204" s="63" t="s">
        <v>3033</v>
      </c>
      <c r="R204" s="63" t="s">
        <v>3033</v>
      </c>
      <c r="S204" s="21"/>
      <c r="T204" s="21"/>
      <c r="U204" s="21"/>
      <c r="V204" s="62" t="s">
        <v>4344</v>
      </c>
      <c r="W204" s="62" t="s">
        <v>3082</v>
      </c>
      <c r="X204" s="21"/>
      <c r="Y204" s="21"/>
      <c r="Z204" s="21"/>
      <c r="AA204" s="21"/>
      <c r="AB204" s="21"/>
      <c r="AC204" s="62" t="s">
        <v>403</v>
      </c>
      <c r="AD204" s="62" t="s">
        <v>3530</v>
      </c>
      <c r="AE204" s="62" t="s">
        <v>3730</v>
      </c>
      <c r="AF204" s="62" t="s">
        <v>3731</v>
      </c>
      <c r="AG204" s="62" t="s">
        <v>3239</v>
      </c>
      <c r="AH204" s="62" t="s">
        <v>3525</v>
      </c>
      <c r="AI204" s="63" t="s">
        <v>3033</v>
      </c>
    </row>
    <row r="205" ht="21.75" customHeight="1">
      <c r="A205" s="62" t="s">
        <v>4345</v>
      </c>
      <c r="B205" s="62" t="s">
        <v>3028</v>
      </c>
      <c r="C205" s="62" t="s">
        <v>33</v>
      </c>
      <c r="D205" s="62" t="s">
        <v>4346</v>
      </c>
      <c r="E205" s="62" t="s">
        <v>4348</v>
      </c>
      <c r="F205" s="62" t="s">
        <v>4350</v>
      </c>
      <c r="G205" s="62" t="s">
        <v>3724</v>
      </c>
      <c r="H205" s="62" t="s">
        <v>3727</v>
      </c>
      <c r="I205" s="21"/>
      <c r="J205" s="62" t="s">
        <v>107</v>
      </c>
      <c r="K205" s="63" t="b">
        <v>0</v>
      </c>
      <c r="L205" s="21"/>
      <c r="M205" s="62" t="s">
        <v>3028</v>
      </c>
      <c r="N205" s="62" t="s">
        <v>33</v>
      </c>
      <c r="O205" s="62" t="s">
        <v>3028</v>
      </c>
      <c r="P205" s="62" t="s">
        <v>33</v>
      </c>
      <c r="Q205" s="63" t="s">
        <v>3033</v>
      </c>
      <c r="R205" s="63" t="s">
        <v>3033</v>
      </c>
      <c r="S205" s="21"/>
      <c r="T205" s="21"/>
      <c r="U205" s="21"/>
      <c r="V205" s="62" t="s">
        <v>4352</v>
      </c>
      <c r="W205" s="62" t="s">
        <v>3082</v>
      </c>
      <c r="X205" s="21"/>
      <c r="Y205" s="21"/>
      <c r="Z205" s="21"/>
      <c r="AA205" s="21"/>
      <c r="AB205" s="21"/>
      <c r="AC205" s="62" t="s">
        <v>403</v>
      </c>
      <c r="AD205" s="62" t="s">
        <v>3530</v>
      </c>
      <c r="AE205" s="62" t="s">
        <v>3730</v>
      </c>
      <c r="AF205" s="62" t="s">
        <v>3731</v>
      </c>
      <c r="AG205" s="62" t="s">
        <v>3239</v>
      </c>
      <c r="AH205" s="62" t="s">
        <v>3525</v>
      </c>
      <c r="AI205" s="63" t="s">
        <v>3033</v>
      </c>
    </row>
    <row r="206" ht="21.75" customHeight="1">
      <c r="A206" s="62" t="s">
        <v>4353</v>
      </c>
      <c r="B206" s="62" t="s">
        <v>3028</v>
      </c>
      <c r="C206" s="62" t="s">
        <v>33</v>
      </c>
      <c r="D206" s="62" t="s">
        <v>4354</v>
      </c>
      <c r="E206" s="62" t="s">
        <v>4355</v>
      </c>
      <c r="F206" s="21"/>
      <c r="G206" s="62" t="s">
        <v>3724</v>
      </c>
      <c r="H206" s="62" t="s">
        <v>3727</v>
      </c>
      <c r="I206" s="21"/>
      <c r="J206" s="62" t="s">
        <v>107</v>
      </c>
      <c r="K206" s="63" t="b">
        <v>0</v>
      </c>
      <c r="L206" s="21"/>
      <c r="M206" s="62" t="s">
        <v>3028</v>
      </c>
      <c r="N206" s="62" t="s">
        <v>33</v>
      </c>
      <c r="O206" s="62" t="s">
        <v>3028</v>
      </c>
      <c r="P206" s="62" t="s">
        <v>33</v>
      </c>
      <c r="Q206" s="63" t="s">
        <v>3033</v>
      </c>
      <c r="R206" s="63" t="s">
        <v>3033</v>
      </c>
      <c r="S206" s="21"/>
      <c r="T206" s="21"/>
      <c r="U206" s="21"/>
      <c r="V206" s="62" t="s">
        <v>4358</v>
      </c>
      <c r="W206" s="62" t="s">
        <v>3082</v>
      </c>
      <c r="X206" s="21"/>
      <c r="Y206" s="21"/>
      <c r="Z206" s="21"/>
      <c r="AA206" s="21"/>
      <c r="AB206" s="21"/>
      <c r="AC206" s="62" t="s">
        <v>4360</v>
      </c>
      <c r="AD206" s="62" t="s">
        <v>3530</v>
      </c>
      <c r="AE206" s="62" t="s">
        <v>3730</v>
      </c>
      <c r="AF206" s="62" t="s">
        <v>3731</v>
      </c>
      <c r="AG206" s="62" t="s">
        <v>3239</v>
      </c>
      <c r="AH206" s="62" t="s">
        <v>3525</v>
      </c>
      <c r="AI206" s="63" t="s">
        <v>3033</v>
      </c>
    </row>
    <row r="207" ht="21.75" customHeight="1">
      <c r="A207" s="62" t="s">
        <v>4361</v>
      </c>
      <c r="B207" s="62" t="s">
        <v>3028</v>
      </c>
      <c r="C207" s="62" t="s">
        <v>33</v>
      </c>
      <c r="D207" s="62" t="s">
        <v>4362</v>
      </c>
      <c r="E207" s="62" t="s">
        <v>3742</v>
      </c>
      <c r="F207" s="62" t="s">
        <v>4363</v>
      </c>
      <c r="G207" s="62" t="s">
        <v>3724</v>
      </c>
      <c r="H207" s="62" t="s">
        <v>3727</v>
      </c>
      <c r="I207" s="21"/>
      <c r="J207" s="62" t="s">
        <v>107</v>
      </c>
      <c r="K207" s="63" t="b">
        <v>0</v>
      </c>
      <c r="L207" s="21"/>
      <c r="M207" s="62" t="s">
        <v>3028</v>
      </c>
      <c r="N207" s="62" t="s">
        <v>33</v>
      </c>
      <c r="O207" s="62" t="s">
        <v>3028</v>
      </c>
      <c r="P207" s="62" t="s">
        <v>33</v>
      </c>
      <c r="Q207" s="63" t="s">
        <v>3033</v>
      </c>
      <c r="R207" s="63" t="s">
        <v>3033</v>
      </c>
      <c r="S207" s="21"/>
      <c r="T207" s="21"/>
      <c r="U207" s="21"/>
      <c r="V207" s="62" t="s">
        <v>4364</v>
      </c>
      <c r="W207" s="62" t="s">
        <v>3082</v>
      </c>
      <c r="X207" s="21"/>
      <c r="Y207" s="21"/>
      <c r="Z207" s="21"/>
      <c r="AA207" s="21"/>
      <c r="AB207" s="21"/>
      <c r="AC207" s="62" t="s">
        <v>403</v>
      </c>
      <c r="AD207" s="62" t="s">
        <v>3530</v>
      </c>
      <c r="AE207" s="62" t="s">
        <v>3730</v>
      </c>
      <c r="AF207" s="62" t="s">
        <v>3731</v>
      </c>
      <c r="AG207" s="62" t="s">
        <v>3239</v>
      </c>
      <c r="AH207" s="62" t="s">
        <v>3525</v>
      </c>
      <c r="AI207" s="63" t="s">
        <v>3033</v>
      </c>
    </row>
    <row r="208" ht="21.75" customHeight="1">
      <c r="A208" s="62" t="s">
        <v>4367</v>
      </c>
      <c r="B208" s="62" t="s">
        <v>3028</v>
      </c>
      <c r="C208" s="62" t="s">
        <v>33</v>
      </c>
      <c r="D208" s="62" t="s">
        <v>4369</v>
      </c>
      <c r="E208" s="62" t="s">
        <v>4370</v>
      </c>
      <c r="F208" s="62" t="s">
        <v>4371</v>
      </c>
      <c r="G208" s="62" t="s">
        <v>3724</v>
      </c>
      <c r="H208" s="62" t="s">
        <v>3727</v>
      </c>
      <c r="I208" s="21"/>
      <c r="J208" s="62" t="s">
        <v>107</v>
      </c>
      <c r="K208" s="63" t="b">
        <v>0</v>
      </c>
      <c r="L208" s="21"/>
      <c r="M208" s="62" t="s">
        <v>3028</v>
      </c>
      <c r="N208" s="62" t="s">
        <v>33</v>
      </c>
      <c r="O208" s="62" t="s">
        <v>3028</v>
      </c>
      <c r="P208" s="62" t="s">
        <v>33</v>
      </c>
      <c r="Q208" s="63" t="s">
        <v>3033</v>
      </c>
      <c r="R208" s="63" t="s">
        <v>3033</v>
      </c>
      <c r="S208" s="21"/>
      <c r="T208" s="21"/>
      <c r="U208" s="21"/>
      <c r="V208" s="62" t="s">
        <v>4372</v>
      </c>
      <c r="W208" s="62" t="s">
        <v>3082</v>
      </c>
      <c r="X208" s="21"/>
      <c r="Y208" s="21"/>
      <c r="Z208" s="21"/>
      <c r="AA208" s="21"/>
      <c r="AB208" s="21"/>
      <c r="AC208" s="62" t="s">
        <v>403</v>
      </c>
      <c r="AD208" s="62" t="s">
        <v>3530</v>
      </c>
      <c r="AE208" s="62" t="s">
        <v>3730</v>
      </c>
      <c r="AF208" s="62" t="s">
        <v>3731</v>
      </c>
      <c r="AG208" s="62" t="s">
        <v>3239</v>
      </c>
      <c r="AH208" s="62" t="s">
        <v>3525</v>
      </c>
      <c r="AI208" s="63" t="s">
        <v>3033</v>
      </c>
    </row>
    <row r="209" ht="21.75" customHeight="1">
      <c r="A209" s="62" t="s">
        <v>4373</v>
      </c>
      <c r="B209" s="62" t="s">
        <v>3028</v>
      </c>
      <c r="C209" s="62" t="s">
        <v>33</v>
      </c>
      <c r="D209" s="62" t="s">
        <v>4374</v>
      </c>
      <c r="E209" s="62" t="s">
        <v>4334</v>
      </c>
      <c r="F209" s="62" t="s">
        <v>4375</v>
      </c>
      <c r="G209" s="62" t="s">
        <v>3724</v>
      </c>
      <c r="H209" s="62" t="s">
        <v>3727</v>
      </c>
      <c r="I209" s="21"/>
      <c r="J209" s="62" t="s">
        <v>107</v>
      </c>
      <c r="K209" s="63" t="b">
        <v>0</v>
      </c>
      <c r="L209" s="21"/>
      <c r="M209" s="62" t="s">
        <v>3028</v>
      </c>
      <c r="N209" s="62" t="s">
        <v>33</v>
      </c>
      <c r="O209" s="62" t="s">
        <v>3028</v>
      </c>
      <c r="P209" s="62" t="s">
        <v>33</v>
      </c>
      <c r="Q209" s="63" t="s">
        <v>3033</v>
      </c>
      <c r="R209" s="63" t="s">
        <v>3033</v>
      </c>
      <c r="S209" s="21"/>
      <c r="T209" s="21"/>
      <c r="U209" s="21"/>
      <c r="V209" s="62" t="s">
        <v>4378</v>
      </c>
      <c r="W209" s="62" t="s">
        <v>3082</v>
      </c>
      <c r="X209" s="21"/>
      <c r="Y209" s="21"/>
      <c r="Z209" s="21"/>
      <c r="AA209" s="21"/>
      <c r="AB209" s="21"/>
      <c r="AC209" s="62" t="s">
        <v>403</v>
      </c>
      <c r="AD209" s="62" t="s">
        <v>3530</v>
      </c>
      <c r="AE209" s="62" t="s">
        <v>3730</v>
      </c>
      <c r="AF209" s="62" t="s">
        <v>3731</v>
      </c>
      <c r="AG209" s="62" t="s">
        <v>3239</v>
      </c>
      <c r="AH209" s="62" t="s">
        <v>3525</v>
      </c>
      <c r="AI209" s="63" t="s">
        <v>3033</v>
      </c>
    </row>
    <row r="210" ht="21.75" customHeight="1">
      <c r="A210" s="62" t="s">
        <v>4380</v>
      </c>
      <c r="B210" s="62" t="s">
        <v>3028</v>
      </c>
      <c r="C210" s="62" t="s">
        <v>33</v>
      </c>
      <c r="D210" s="62" t="s">
        <v>4381</v>
      </c>
      <c r="E210" s="62" t="s">
        <v>4382</v>
      </c>
      <c r="F210" s="62" t="s">
        <v>4383</v>
      </c>
      <c r="G210" s="62" t="s">
        <v>3724</v>
      </c>
      <c r="H210" s="62" t="s">
        <v>3727</v>
      </c>
      <c r="I210" s="21"/>
      <c r="J210" s="62" t="s">
        <v>107</v>
      </c>
      <c r="K210" s="63" t="b">
        <v>0</v>
      </c>
      <c r="L210" s="21"/>
      <c r="M210" s="62" t="s">
        <v>3028</v>
      </c>
      <c r="N210" s="62" t="s">
        <v>33</v>
      </c>
      <c r="O210" s="62" t="s">
        <v>3028</v>
      </c>
      <c r="P210" s="62" t="s">
        <v>33</v>
      </c>
      <c r="Q210" s="63" t="s">
        <v>3033</v>
      </c>
      <c r="R210" s="63" t="s">
        <v>3033</v>
      </c>
      <c r="S210" s="21"/>
      <c r="T210" s="21"/>
      <c r="U210" s="21"/>
      <c r="V210" s="62" t="s">
        <v>4385</v>
      </c>
      <c r="W210" s="62" t="s">
        <v>3082</v>
      </c>
      <c r="X210" s="21"/>
      <c r="Y210" s="21"/>
      <c r="Z210" s="21"/>
      <c r="AA210" s="21"/>
      <c r="AB210" s="21"/>
      <c r="AC210" s="62" t="s">
        <v>403</v>
      </c>
      <c r="AD210" s="62" t="s">
        <v>3530</v>
      </c>
      <c r="AE210" s="62" t="s">
        <v>3730</v>
      </c>
      <c r="AF210" s="62" t="s">
        <v>3731</v>
      </c>
      <c r="AG210" s="62" t="s">
        <v>3239</v>
      </c>
      <c r="AH210" s="62" t="s">
        <v>3525</v>
      </c>
      <c r="AI210" s="63" t="s">
        <v>3033</v>
      </c>
    </row>
    <row r="211" ht="21.75" customHeight="1">
      <c r="A211" s="62" t="s">
        <v>4389</v>
      </c>
      <c r="B211" s="62" t="s">
        <v>3028</v>
      </c>
      <c r="C211" s="62" t="s">
        <v>33</v>
      </c>
      <c r="D211" s="62" t="s">
        <v>4390</v>
      </c>
      <c r="E211" s="62" t="s">
        <v>3884</v>
      </c>
      <c r="F211" s="62" t="s">
        <v>4391</v>
      </c>
      <c r="G211" s="62" t="s">
        <v>3724</v>
      </c>
      <c r="H211" s="62" t="s">
        <v>3727</v>
      </c>
      <c r="I211" s="21"/>
      <c r="J211" s="62" t="s">
        <v>107</v>
      </c>
      <c r="K211" s="63" t="b">
        <v>0</v>
      </c>
      <c r="L211" s="21"/>
      <c r="M211" s="62" t="s">
        <v>3028</v>
      </c>
      <c r="N211" s="62" t="s">
        <v>33</v>
      </c>
      <c r="O211" s="62" t="s">
        <v>3028</v>
      </c>
      <c r="P211" s="62" t="s">
        <v>33</v>
      </c>
      <c r="Q211" s="63" t="s">
        <v>3033</v>
      </c>
      <c r="R211" s="63" t="s">
        <v>3033</v>
      </c>
      <c r="S211" s="21"/>
      <c r="T211" s="21"/>
      <c r="U211" s="21"/>
      <c r="V211" s="62" t="s">
        <v>4392</v>
      </c>
      <c r="W211" s="62" t="s">
        <v>3082</v>
      </c>
      <c r="X211" s="21"/>
      <c r="Y211" s="21"/>
      <c r="Z211" s="21"/>
      <c r="AA211" s="21"/>
      <c r="AB211" s="21"/>
      <c r="AC211" s="62" t="s">
        <v>403</v>
      </c>
      <c r="AD211" s="62" t="s">
        <v>3530</v>
      </c>
      <c r="AE211" s="62" t="s">
        <v>3730</v>
      </c>
      <c r="AF211" s="62" t="s">
        <v>3731</v>
      </c>
      <c r="AG211" s="62" t="s">
        <v>3239</v>
      </c>
      <c r="AH211" s="62" t="s">
        <v>3525</v>
      </c>
      <c r="AI211" s="63" t="s">
        <v>3033</v>
      </c>
    </row>
    <row r="212" ht="21.75" customHeight="1">
      <c r="A212" s="62" t="s">
        <v>4393</v>
      </c>
      <c r="B212" s="62" t="s">
        <v>3028</v>
      </c>
      <c r="C212" s="62" t="s">
        <v>33</v>
      </c>
      <c r="D212" s="62" t="s">
        <v>4394</v>
      </c>
      <c r="E212" s="62" t="s">
        <v>4395</v>
      </c>
      <c r="G212" s="62" t="s">
        <v>3724</v>
      </c>
      <c r="H212" s="62" t="s">
        <v>3727</v>
      </c>
      <c r="I212" s="21"/>
      <c r="J212" s="62" t="s">
        <v>107</v>
      </c>
      <c r="K212" s="63" t="b">
        <v>0</v>
      </c>
      <c r="L212" s="21"/>
      <c r="M212" s="62" t="s">
        <v>3028</v>
      </c>
      <c r="N212" s="62" t="s">
        <v>33</v>
      </c>
      <c r="O212" s="62" t="s">
        <v>3028</v>
      </c>
      <c r="P212" s="62" t="s">
        <v>33</v>
      </c>
      <c r="Q212" s="63" t="s">
        <v>3033</v>
      </c>
      <c r="R212" s="63" t="s">
        <v>3033</v>
      </c>
      <c r="S212" s="21"/>
      <c r="T212" s="21"/>
      <c r="U212" s="21"/>
      <c r="V212" s="62" t="s">
        <v>4399</v>
      </c>
      <c r="W212" s="62" t="s">
        <v>3082</v>
      </c>
      <c r="X212" s="21"/>
      <c r="Y212" s="21"/>
      <c r="Z212" s="21"/>
      <c r="AA212" s="21"/>
      <c r="AB212" s="21"/>
      <c r="AC212" s="62" t="s">
        <v>403</v>
      </c>
      <c r="AD212" s="62" t="s">
        <v>3530</v>
      </c>
      <c r="AE212" s="62" t="s">
        <v>3730</v>
      </c>
      <c r="AF212" s="62" t="s">
        <v>3731</v>
      </c>
      <c r="AG212" s="62" t="s">
        <v>3239</v>
      </c>
      <c r="AH212" s="62" t="s">
        <v>3525</v>
      </c>
      <c r="AI212" s="63" t="s">
        <v>3033</v>
      </c>
    </row>
    <row r="213" ht="21.75" customHeight="1">
      <c r="A213" s="62" t="s">
        <v>4401</v>
      </c>
      <c r="B213" s="62" t="s">
        <v>3028</v>
      </c>
      <c r="C213" s="62" t="s">
        <v>33</v>
      </c>
      <c r="D213" s="62" t="s">
        <v>4402</v>
      </c>
      <c r="E213" s="62" t="s">
        <v>4403</v>
      </c>
      <c r="F213" s="62" t="s">
        <v>4404</v>
      </c>
      <c r="G213" s="62" t="s">
        <v>3724</v>
      </c>
      <c r="H213" s="62" t="s">
        <v>3727</v>
      </c>
      <c r="I213" s="21"/>
      <c r="J213" s="64">
        <v>6.38E9</v>
      </c>
      <c r="K213" s="63" t="b">
        <v>0</v>
      </c>
      <c r="L213" s="21"/>
      <c r="M213" s="62" t="s">
        <v>3028</v>
      </c>
      <c r="N213" s="62" t="s">
        <v>33</v>
      </c>
      <c r="O213" s="62" t="s">
        <v>3028</v>
      </c>
      <c r="P213" s="62" t="s">
        <v>33</v>
      </c>
      <c r="Q213" s="63" t="s">
        <v>3033</v>
      </c>
      <c r="R213" s="63" t="s">
        <v>3033</v>
      </c>
      <c r="S213" s="63" t="s">
        <v>3033</v>
      </c>
      <c r="T213" s="21"/>
      <c r="U213" s="21"/>
      <c r="V213" s="62" t="s">
        <v>4408</v>
      </c>
      <c r="W213" s="62" t="s">
        <v>3082</v>
      </c>
      <c r="X213" s="21"/>
      <c r="Y213" s="21"/>
      <c r="Z213" s="21"/>
      <c r="AA213" s="21"/>
      <c r="AB213" s="21"/>
      <c r="AC213" s="62" t="s">
        <v>403</v>
      </c>
      <c r="AD213" s="62" t="s">
        <v>3530</v>
      </c>
      <c r="AE213" s="62" t="s">
        <v>3730</v>
      </c>
      <c r="AF213" s="62" t="s">
        <v>3731</v>
      </c>
      <c r="AG213" s="62" t="s">
        <v>3239</v>
      </c>
      <c r="AH213" s="62" t="s">
        <v>3525</v>
      </c>
      <c r="AI213" s="63" t="s">
        <v>3033</v>
      </c>
    </row>
    <row r="214" ht="21.75" customHeight="1">
      <c r="A214" s="62" t="s">
        <v>4409</v>
      </c>
      <c r="B214" s="62" t="s">
        <v>3028</v>
      </c>
      <c r="C214" s="62" t="s">
        <v>33</v>
      </c>
      <c r="D214" s="62" t="s">
        <v>4410</v>
      </c>
      <c r="E214" s="62" t="s">
        <v>4411</v>
      </c>
      <c r="F214" s="62" t="s">
        <v>4412</v>
      </c>
      <c r="G214" s="62" t="s">
        <v>3724</v>
      </c>
      <c r="H214" s="62" t="s">
        <v>3727</v>
      </c>
      <c r="I214" s="21"/>
      <c r="J214" s="62" t="s">
        <v>107</v>
      </c>
      <c r="K214" s="63" t="b">
        <v>0</v>
      </c>
      <c r="L214" s="21"/>
      <c r="M214" s="62" t="s">
        <v>3028</v>
      </c>
      <c r="N214" s="62" t="s">
        <v>33</v>
      </c>
      <c r="O214" s="62" t="s">
        <v>3028</v>
      </c>
      <c r="P214" s="62" t="s">
        <v>33</v>
      </c>
      <c r="Q214" s="63" t="s">
        <v>3033</v>
      </c>
      <c r="R214" s="63" t="s">
        <v>3033</v>
      </c>
      <c r="S214" s="21"/>
      <c r="T214" s="21"/>
      <c r="U214" s="21"/>
      <c r="V214" s="62" t="s">
        <v>4413</v>
      </c>
      <c r="W214" s="62" t="s">
        <v>3082</v>
      </c>
      <c r="X214" s="21"/>
      <c r="Y214" s="21"/>
      <c r="Z214" s="21"/>
      <c r="AA214" s="21"/>
      <c r="AB214" s="21"/>
      <c r="AC214" s="62" t="s">
        <v>403</v>
      </c>
      <c r="AD214" s="62" t="s">
        <v>3530</v>
      </c>
      <c r="AE214" s="62" t="s">
        <v>3730</v>
      </c>
      <c r="AF214" s="62" t="s">
        <v>3731</v>
      </c>
      <c r="AG214" s="62" t="s">
        <v>3239</v>
      </c>
      <c r="AH214" s="62" t="s">
        <v>3525</v>
      </c>
      <c r="AI214" s="63" t="s">
        <v>3033</v>
      </c>
    </row>
    <row r="215" ht="21.75" customHeight="1">
      <c r="A215" s="62" t="s">
        <v>4417</v>
      </c>
      <c r="B215" s="62" t="s">
        <v>3028</v>
      </c>
      <c r="C215" s="62" t="s">
        <v>33</v>
      </c>
      <c r="D215" s="62" t="s">
        <v>4418</v>
      </c>
      <c r="E215" s="62" t="s">
        <v>4419</v>
      </c>
      <c r="F215" s="62" t="s">
        <v>4420</v>
      </c>
      <c r="G215" s="62" t="s">
        <v>3724</v>
      </c>
      <c r="H215" s="62" t="s">
        <v>3727</v>
      </c>
      <c r="I215" s="21"/>
      <c r="J215" s="62" t="s">
        <v>107</v>
      </c>
      <c r="K215" s="63" t="b">
        <v>0</v>
      </c>
      <c r="L215" s="21"/>
      <c r="M215" s="62" t="s">
        <v>3028</v>
      </c>
      <c r="N215" s="62" t="s">
        <v>33</v>
      </c>
      <c r="O215" s="62" t="s">
        <v>3028</v>
      </c>
      <c r="P215" s="62" t="s">
        <v>33</v>
      </c>
      <c r="Q215" s="63" t="s">
        <v>3033</v>
      </c>
      <c r="R215" s="63" t="s">
        <v>3033</v>
      </c>
      <c r="S215" s="21"/>
      <c r="T215" s="21"/>
      <c r="U215" s="21"/>
      <c r="V215" s="62" t="s">
        <v>4422</v>
      </c>
      <c r="W215" s="62" t="s">
        <v>3082</v>
      </c>
      <c r="X215" s="21"/>
      <c r="Y215" s="21"/>
      <c r="Z215" s="21"/>
      <c r="AA215" s="21"/>
      <c r="AB215" s="21"/>
      <c r="AC215" s="62" t="s">
        <v>403</v>
      </c>
      <c r="AD215" s="62" t="s">
        <v>3530</v>
      </c>
      <c r="AE215" s="62" t="s">
        <v>3730</v>
      </c>
      <c r="AF215" s="62" t="s">
        <v>3731</v>
      </c>
      <c r="AG215" s="62" t="s">
        <v>3239</v>
      </c>
      <c r="AH215" s="62" t="s">
        <v>3525</v>
      </c>
      <c r="AI215" s="63" t="s">
        <v>3033</v>
      </c>
    </row>
    <row r="216" ht="21.75" customHeight="1">
      <c r="A216" s="62" t="s">
        <v>4425</v>
      </c>
      <c r="B216" s="62" t="s">
        <v>3028</v>
      </c>
      <c r="C216" s="62" t="s">
        <v>33</v>
      </c>
      <c r="D216" s="62" t="s">
        <v>4427</v>
      </c>
      <c r="E216" s="62" t="s">
        <v>4178</v>
      </c>
      <c r="F216" s="21"/>
      <c r="G216" s="62" t="s">
        <v>3724</v>
      </c>
      <c r="H216" s="62" t="s">
        <v>3727</v>
      </c>
      <c r="I216" s="21"/>
      <c r="J216" s="62" t="s">
        <v>107</v>
      </c>
      <c r="K216" s="63" t="b">
        <v>0</v>
      </c>
      <c r="L216" s="21"/>
      <c r="M216" s="62" t="s">
        <v>3028</v>
      </c>
      <c r="N216" s="62" t="s">
        <v>33</v>
      </c>
      <c r="O216" s="62" t="s">
        <v>3028</v>
      </c>
      <c r="P216" s="62" t="s">
        <v>33</v>
      </c>
      <c r="Q216" s="63" t="s">
        <v>3033</v>
      </c>
      <c r="R216" s="63" t="s">
        <v>3033</v>
      </c>
      <c r="S216" s="21"/>
      <c r="T216" s="21"/>
      <c r="U216" s="21"/>
      <c r="V216" s="62" t="s">
        <v>4428</v>
      </c>
      <c r="W216" s="62" t="s">
        <v>3082</v>
      </c>
      <c r="X216" s="21"/>
      <c r="Y216" s="21"/>
      <c r="Z216" s="21"/>
      <c r="AA216" s="21"/>
      <c r="AB216" s="21"/>
      <c r="AC216" s="62" t="s">
        <v>403</v>
      </c>
      <c r="AD216" s="62" t="s">
        <v>3530</v>
      </c>
      <c r="AE216" s="62" t="s">
        <v>3730</v>
      </c>
      <c r="AF216" s="62" t="s">
        <v>3731</v>
      </c>
      <c r="AG216" s="62" t="s">
        <v>3239</v>
      </c>
      <c r="AH216" s="62" t="s">
        <v>3525</v>
      </c>
      <c r="AI216" s="63" t="s">
        <v>3033</v>
      </c>
    </row>
    <row r="217" ht="21.75" customHeight="1">
      <c r="A217" s="62" t="s">
        <v>4429</v>
      </c>
      <c r="B217" s="62" t="s">
        <v>3028</v>
      </c>
      <c r="C217" s="62" t="s">
        <v>33</v>
      </c>
      <c r="D217" s="62" t="s">
        <v>4430</v>
      </c>
      <c r="E217" s="62" t="s">
        <v>4431</v>
      </c>
      <c r="F217" s="62" t="s">
        <v>4432</v>
      </c>
      <c r="G217" s="62" t="s">
        <v>3724</v>
      </c>
      <c r="H217" s="62" t="s">
        <v>3727</v>
      </c>
      <c r="I217" s="21"/>
      <c r="J217" s="62" t="s">
        <v>107</v>
      </c>
      <c r="K217" s="63" t="b">
        <v>0</v>
      </c>
      <c r="L217" s="21"/>
      <c r="M217" s="62" t="s">
        <v>3028</v>
      </c>
      <c r="N217" s="62" t="s">
        <v>33</v>
      </c>
      <c r="O217" s="62" t="s">
        <v>3028</v>
      </c>
      <c r="P217" s="62" t="s">
        <v>33</v>
      </c>
      <c r="Q217" s="63" t="s">
        <v>3033</v>
      </c>
      <c r="R217" s="63" t="s">
        <v>3033</v>
      </c>
      <c r="S217" s="21"/>
      <c r="T217" s="21"/>
      <c r="U217" s="21"/>
      <c r="V217" s="62" t="s">
        <v>4436</v>
      </c>
      <c r="W217" s="62" t="s">
        <v>3082</v>
      </c>
      <c r="X217" s="21"/>
      <c r="Y217" s="21"/>
      <c r="Z217" s="21"/>
      <c r="AA217" s="21"/>
      <c r="AB217" s="21"/>
      <c r="AC217" s="62" t="s">
        <v>403</v>
      </c>
      <c r="AD217" s="62" t="s">
        <v>3530</v>
      </c>
      <c r="AE217" s="62" t="s">
        <v>3730</v>
      </c>
      <c r="AF217" s="62" t="s">
        <v>3731</v>
      </c>
      <c r="AG217" s="62" t="s">
        <v>3239</v>
      </c>
      <c r="AH217" s="62" t="s">
        <v>3525</v>
      </c>
      <c r="AI217" s="63" t="s">
        <v>3033</v>
      </c>
    </row>
    <row r="218" ht="21.75" customHeight="1">
      <c r="A218" s="62" t="s">
        <v>4437</v>
      </c>
      <c r="B218" s="62" t="s">
        <v>3028</v>
      </c>
      <c r="C218" s="62" t="s">
        <v>33</v>
      </c>
      <c r="D218" s="62" t="s">
        <v>4438</v>
      </c>
      <c r="E218" s="62" t="s">
        <v>4334</v>
      </c>
      <c r="F218" s="62" t="s">
        <v>4439</v>
      </c>
      <c r="G218" s="62" t="s">
        <v>3724</v>
      </c>
      <c r="H218" s="62" t="s">
        <v>3727</v>
      </c>
      <c r="I218" s="21"/>
      <c r="J218" s="64">
        <v>7.67E9</v>
      </c>
      <c r="K218" s="63" t="b">
        <v>0</v>
      </c>
      <c r="L218" s="21"/>
      <c r="M218" s="62" t="s">
        <v>3028</v>
      </c>
      <c r="N218" s="62" t="s">
        <v>33</v>
      </c>
      <c r="O218" s="62" t="s">
        <v>3028</v>
      </c>
      <c r="P218" s="62" t="s">
        <v>33</v>
      </c>
      <c r="Q218" s="63" t="s">
        <v>3033</v>
      </c>
      <c r="R218" s="63" t="s">
        <v>3033</v>
      </c>
      <c r="S218" s="21"/>
      <c r="T218" s="21"/>
      <c r="U218" s="21"/>
      <c r="V218" s="62" t="s">
        <v>4440</v>
      </c>
      <c r="W218" s="62" t="s">
        <v>3082</v>
      </c>
      <c r="X218" s="21"/>
      <c r="Y218" s="21"/>
      <c r="Z218" s="21"/>
      <c r="AA218" s="21"/>
      <c r="AB218" s="21"/>
      <c r="AC218" s="62" t="s">
        <v>403</v>
      </c>
      <c r="AD218" s="62" t="s">
        <v>3530</v>
      </c>
      <c r="AE218" s="62" t="s">
        <v>3730</v>
      </c>
      <c r="AF218" s="62" t="s">
        <v>3731</v>
      </c>
      <c r="AG218" s="62" t="s">
        <v>3239</v>
      </c>
      <c r="AH218" s="62" t="s">
        <v>3525</v>
      </c>
      <c r="AI218" s="63" t="s">
        <v>3033</v>
      </c>
    </row>
    <row r="219" ht="21.75" customHeight="1">
      <c r="A219" s="62" t="s">
        <v>4444</v>
      </c>
      <c r="B219" s="62" t="s">
        <v>3028</v>
      </c>
      <c r="C219" s="62" t="s">
        <v>33</v>
      </c>
      <c r="D219" s="62" t="s">
        <v>4445</v>
      </c>
      <c r="E219" s="62" t="s">
        <v>3456</v>
      </c>
      <c r="F219" s="62" t="s">
        <v>4446</v>
      </c>
      <c r="G219" s="62" t="s">
        <v>3724</v>
      </c>
      <c r="H219" s="62" t="s">
        <v>3727</v>
      </c>
      <c r="I219" s="21"/>
      <c r="J219" s="62" t="s">
        <v>107</v>
      </c>
      <c r="K219" s="63" t="b">
        <v>0</v>
      </c>
      <c r="L219" s="21"/>
      <c r="M219" s="62" t="s">
        <v>3028</v>
      </c>
      <c r="N219" s="62" t="s">
        <v>33</v>
      </c>
      <c r="O219" s="62" t="s">
        <v>3028</v>
      </c>
      <c r="P219" s="62" t="s">
        <v>33</v>
      </c>
      <c r="Q219" s="63" t="s">
        <v>3033</v>
      </c>
      <c r="R219" s="63" t="s">
        <v>3033</v>
      </c>
      <c r="S219" s="21"/>
      <c r="T219" s="21"/>
      <c r="U219" s="21"/>
      <c r="V219" s="62" t="s">
        <v>4447</v>
      </c>
      <c r="W219" s="62" t="s">
        <v>3082</v>
      </c>
      <c r="X219" s="21"/>
      <c r="Y219" s="21"/>
      <c r="Z219" s="21"/>
      <c r="AA219" s="21"/>
      <c r="AB219" s="21"/>
      <c r="AC219" s="62" t="s">
        <v>403</v>
      </c>
      <c r="AD219" s="62" t="s">
        <v>3530</v>
      </c>
      <c r="AE219" s="62" t="s">
        <v>3730</v>
      </c>
      <c r="AF219" s="62" t="s">
        <v>3731</v>
      </c>
      <c r="AG219" s="62" t="s">
        <v>3239</v>
      </c>
      <c r="AH219" s="62" t="s">
        <v>3525</v>
      </c>
      <c r="AI219" s="63" t="s">
        <v>3033</v>
      </c>
    </row>
    <row r="220" ht="21.75" customHeight="1">
      <c r="A220" s="62" t="s">
        <v>4448</v>
      </c>
      <c r="B220" s="62" t="s">
        <v>3028</v>
      </c>
      <c r="C220" s="62" t="s">
        <v>33</v>
      </c>
      <c r="D220" s="62" t="s">
        <v>4449</v>
      </c>
      <c r="E220" s="62" t="s">
        <v>3884</v>
      </c>
      <c r="F220" s="62" t="s">
        <v>4452</v>
      </c>
      <c r="G220" s="62" t="s">
        <v>3724</v>
      </c>
      <c r="H220" s="62" t="s">
        <v>3727</v>
      </c>
      <c r="I220" s="21"/>
      <c r="J220" s="62" t="s">
        <v>107</v>
      </c>
      <c r="K220" s="63" t="b">
        <v>0</v>
      </c>
      <c r="L220" s="21"/>
      <c r="M220" s="62" t="s">
        <v>3028</v>
      </c>
      <c r="N220" s="62" t="s">
        <v>33</v>
      </c>
      <c r="O220" s="62" t="s">
        <v>3028</v>
      </c>
      <c r="P220" s="62" t="s">
        <v>33</v>
      </c>
      <c r="Q220" s="63" t="s">
        <v>3033</v>
      </c>
      <c r="R220" s="63" t="s">
        <v>3033</v>
      </c>
      <c r="S220" s="21"/>
      <c r="T220" s="21"/>
      <c r="U220" s="21"/>
      <c r="V220" s="62" t="s">
        <v>4454</v>
      </c>
      <c r="W220" s="62" t="s">
        <v>3082</v>
      </c>
      <c r="X220" s="21"/>
      <c r="Y220" s="21"/>
      <c r="Z220" s="21"/>
      <c r="AA220" s="21"/>
      <c r="AB220" s="21"/>
      <c r="AC220" s="62" t="s">
        <v>403</v>
      </c>
      <c r="AD220" s="62" t="s">
        <v>3530</v>
      </c>
      <c r="AE220" s="62" t="s">
        <v>3730</v>
      </c>
      <c r="AF220" s="62" t="s">
        <v>3731</v>
      </c>
      <c r="AG220" s="62" t="s">
        <v>3239</v>
      </c>
      <c r="AH220" s="62" t="s">
        <v>3525</v>
      </c>
      <c r="AI220" s="63" t="s">
        <v>3033</v>
      </c>
    </row>
    <row r="221" ht="21.75" customHeight="1">
      <c r="A221" s="62" t="s">
        <v>4456</v>
      </c>
      <c r="B221" s="62" t="s">
        <v>3028</v>
      </c>
      <c r="C221" s="62" t="s">
        <v>33</v>
      </c>
      <c r="D221" s="62" t="s">
        <v>4457</v>
      </c>
      <c r="E221" s="62" t="s">
        <v>4458</v>
      </c>
      <c r="F221" s="62" t="s">
        <v>4459</v>
      </c>
      <c r="G221" s="62" t="s">
        <v>3724</v>
      </c>
      <c r="H221" s="62" t="s">
        <v>3727</v>
      </c>
      <c r="I221" s="21"/>
      <c r="J221" s="62" t="s">
        <v>107</v>
      </c>
      <c r="K221" s="63" t="b">
        <v>0</v>
      </c>
      <c r="L221" s="21"/>
      <c r="M221" s="62" t="s">
        <v>3028</v>
      </c>
      <c r="N221" s="62" t="s">
        <v>33</v>
      </c>
      <c r="O221" s="62" t="s">
        <v>3028</v>
      </c>
      <c r="P221" s="62" t="s">
        <v>33</v>
      </c>
      <c r="Q221" s="63" t="s">
        <v>3033</v>
      </c>
      <c r="R221" s="63" t="s">
        <v>3033</v>
      </c>
      <c r="S221" s="21"/>
      <c r="T221" s="21"/>
      <c r="U221" s="21"/>
      <c r="V221" s="62" t="s">
        <v>4463</v>
      </c>
      <c r="W221" s="62" t="s">
        <v>3082</v>
      </c>
      <c r="X221" s="21"/>
      <c r="Y221" s="21"/>
      <c r="Z221" s="21"/>
      <c r="AA221" s="21"/>
      <c r="AB221" s="21"/>
      <c r="AC221" s="62" t="s">
        <v>403</v>
      </c>
      <c r="AD221" s="62" t="s">
        <v>3530</v>
      </c>
      <c r="AE221" s="62" t="s">
        <v>3730</v>
      </c>
      <c r="AF221" s="62" t="s">
        <v>3731</v>
      </c>
      <c r="AG221" s="62" t="s">
        <v>3239</v>
      </c>
      <c r="AH221" s="62" t="s">
        <v>3525</v>
      </c>
      <c r="AI221" s="63" t="s">
        <v>3033</v>
      </c>
    </row>
    <row r="222" ht="21.75" customHeight="1">
      <c r="A222" s="62" t="s">
        <v>4464</v>
      </c>
      <c r="B222" s="62" t="s">
        <v>3028</v>
      </c>
      <c r="C222" s="62" t="s">
        <v>33</v>
      </c>
      <c r="D222" s="62" t="s">
        <v>4465</v>
      </c>
      <c r="E222" s="62" t="s">
        <v>3948</v>
      </c>
      <c r="F222" s="62" t="s">
        <v>4466</v>
      </c>
      <c r="G222" s="62" t="s">
        <v>3724</v>
      </c>
      <c r="H222" s="62" t="s">
        <v>3727</v>
      </c>
      <c r="I222" s="21"/>
      <c r="J222" s="62" t="s">
        <v>107</v>
      </c>
      <c r="K222" s="63" t="b">
        <v>0</v>
      </c>
      <c r="L222" s="21"/>
      <c r="M222" s="62" t="s">
        <v>3028</v>
      </c>
      <c r="N222" s="62" t="s">
        <v>33</v>
      </c>
      <c r="O222" s="62" t="s">
        <v>3028</v>
      </c>
      <c r="P222" s="62" t="s">
        <v>33</v>
      </c>
      <c r="Q222" s="63" t="s">
        <v>3033</v>
      </c>
      <c r="R222" s="63" t="s">
        <v>3033</v>
      </c>
      <c r="S222" s="21"/>
      <c r="T222" s="21"/>
      <c r="U222" s="21"/>
      <c r="V222" s="62" t="s">
        <v>4468</v>
      </c>
      <c r="W222" s="62" t="s">
        <v>3082</v>
      </c>
      <c r="X222" s="21"/>
      <c r="Y222" s="21"/>
      <c r="Z222" s="21"/>
      <c r="AA222" s="21"/>
      <c r="AB222" s="21"/>
      <c r="AC222" s="62" t="s">
        <v>403</v>
      </c>
      <c r="AD222" s="62" t="s">
        <v>3530</v>
      </c>
      <c r="AE222" s="62" t="s">
        <v>3730</v>
      </c>
      <c r="AF222" s="62" t="s">
        <v>3731</v>
      </c>
      <c r="AG222" s="62" t="s">
        <v>3239</v>
      </c>
      <c r="AH222" s="62" t="s">
        <v>3525</v>
      </c>
      <c r="AI222" s="63" t="s">
        <v>3033</v>
      </c>
    </row>
    <row r="223" ht="21.75" customHeight="1">
      <c r="A223" s="62" t="s">
        <v>4472</v>
      </c>
      <c r="B223" s="62" t="s">
        <v>3028</v>
      </c>
      <c r="C223" s="62" t="s">
        <v>33</v>
      </c>
      <c r="D223" s="62" t="s">
        <v>4473</v>
      </c>
      <c r="E223" s="62" t="s">
        <v>4474</v>
      </c>
      <c r="F223" s="62" t="s">
        <v>4475</v>
      </c>
      <c r="G223" s="62" t="s">
        <v>3724</v>
      </c>
      <c r="H223" s="62" t="s">
        <v>3727</v>
      </c>
      <c r="I223" s="21"/>
      <c r="J223" s="62" t="s">
        <v>107</v>
      </c>
      <c r="K223" s="63" t="b">
        <v>0</v>
      </c>
      <c r="L223" s="21"/>
      <c r="M223" s="62" t="s">
        <v>3028</v>
      </c>
      <c r="N223" s="62" t="s">
        <v>33</v>
      </c>
      <c r="O223" s="62" t="s">
        <v>3028</v>
      </c>
      <c r="P223" s="62" t="s">
        <v>33</v>
      </c>
      <c r="Q223" s="63" t="s">
        <v>3033</v>
      </c>
      <c r="R223" s="63" t="s">
        <v>3033</v>
      </c>
      <c r="S223" s="21"/>
      <c r="T223" s="21"/>
      <c r="U223" s="21"/>
      <c r="V223" s="62" t="s">
        <v>4476</v>
      </c>
      <c r="W223" s="62" t="s">
        <v>3082</v>
      </c>
      <c r="X223" s="21"/>
      <c r="Y223" s="21"/>
      <c r="Z223" s="21"/>
      <c r="AA223" s="21"/>
      <c r="AB223" s="21"/>
      <c r="AC223" s="62" t="s">
        <v>403</v>
      </c>
      <c r="AD223" s="62" t="s">
        <v>3530</v>
      </c>
      <c r="AE223" s="62" t="s">
        <v>3730</v>
      </c>
      <c r="AF223" s="62" t="s">
        <v>3731</v>
      </c>
      <c r="AG223" s="62" t="s">
        <v>3239</v>
      </c>
      <c r="AH223" s="62" t="s">
        <v>3525</v>
      </c>
      <c r="AI223" s="63" t="s">
        <v>3033</v>
      </c>
    </row>
    <row r="224" ht="21.75" customHeight="1">
      <c r="A224" s="62" t="s">
        <v>4477</v>
      </c>
      <c r="B224" s="62" t="s">
        <v>3028</v>
      </c>
      <c r="C224" s="62" t="s">
        <v>33</v>
      </c>
      <c r="D224" s="62" t="s">
        <v>4478</v>
      </c>
      <c r="E224" s="62" t="s">
        <v>4479</v>
      </c>
      <c r="F224" s="62" t="s">
        <v>4481</v>
      </c>
      <c r="G224" s="62" t="s">
        <v>3724</v>
      </c>
      <c r="H224" s="62" t="s">
        <v>3727</v>
      </c>
      <c r="I224" s="21"/>
      <c r="J224" s="62" t="s">
        <v>107</v>
      </c>
      <c r="K224" s="63" t="b">
        <v>0</v>
      </c>
      <c r="L224" s="21"/>
      <c r="M224" s="62" t="s">
        <v>3028</v>
      </c>
      <c r="N224" s="62" t="s">
        <v>33</v>
      </c>
      <c r="O224" s="62" t="s">
        <v>3028</v>
      </c>
      <c r="P224" s="62" t="s">
        <v>33</v>
      </c>
      <c r="Q224" s="63" t="s">
        <v>3033</v>
      </c>
      <c r="R224" s="63" t="s">
        <v>3033</v>
      </c>
      <c r="S224" s="21"/>
      <c r="T224" s="21"/>
      <c r="U224" s="21"/>
      <c r="V224" s="62" t="s">
        <v>4484</v>
      </c>
      <c r="W224" s="62" t="s">
        <v>3082</v>
      </c>
      <c r="X224" s="21"/>
      <c r="Y224" s="21"/>
      <c r="Z224" s="21"/>
      <c r="AA224" s="21"/>
      <c r="AB224" s="21"/>
      <c r="AC224" s="62" t="s">
        <v>403</v>
      </c>
      <c r="AD224" s="62" t="s">
        <v>3530</v>
      </c>
      <c r="AE224" s="62" t="s">
        <v>3730</v>
      </c>
      <c r="AF224" s="62" t="s">
        <v>3731</v>
      </c>
      <c r="AG224" s="62" t="s">
        <v>3239</v>
      </c>
      <c r="AH224" s="62" t="s">
        <v>3525</v>
      </c>
      <c r="AI224" s="63" t="s">
        <v>3033</v>
      </c>
    </row>
    <row r="225" ht="21.75" customHeight="1">
      <c r="A225" s="62" t="s">
        <v>4485</v>
      </c>
      <c r="B225" s="62" t="s">
        <v>3028</v>
      </c>
      <c r="C225" s="62" t="s">
        <v>33</v>
      </c>
      <c r="D225" s="62" t="s">
        <v>4486</v>
      </c>
      <c r="E225" s="62" t="s">
        <v>4487</v>
      </c>
      <c r="F225" s="62" t="s">
        <v>4488</v>
      </c>
      <c r="G225" s="62" t="s">
        <v>3724</v>
      </c>
      <c r="H225" s="62" t="s">
        <v>3727</v>
      </c>
      <c r="I225" s="21"/>
      <c r="J225" s="62" t="s">
        <v>107</v>
      </c>
      <c r="K225" s="63" t="b">
        <v>0</v>
      </c>
      <c r="L225" s="21"/>
      <c r="M225" s="62" t="s">
        <v>3028</v>
      </c>
      <c r="N225" s="62" t="s">
        <v>33</v>
      </c>
      <c r="O225" s="62" t="s">
        <v>3028</v>
      </c>
      <c r="P225" s="62" t="s">
        <v>33</v>
      </c>
      <c r="Q225" s="63" t="s">
        <v>3033</v>
      </c>
      <c r="R225" s="63" t="s">
        <v>3033</v>
      </c>
      <c r="S225" s="21"/>
      <c r="T225" s="21"/>
      <c r="U225" s="21"/>
      <c r="V225" s="62" t="s">
        <v>4492</v>
      </c>
      <c r="W225" s="62" t="s">
        <v>3082</v>
      </c>
      <c r="X225" s="21"/>
      <c r="Y225" s="21"/>
      <c r="Z225" s="21"/>
      <c r="AA225" s="21"/>
      <c r="AB225" s="21"/>
      <c r="AC225" s="62" t="s">
        <v>403</v>
      </c>
      <c r="AD225" s="62" t="s">
        <v>3530</v>
      </c>
      <c r="AE225" s="62" t="s">
        <v>3730</v>
      </c>
      <c r="AF225" s="62" t="s">
        <v>3731</v>
      </c>
      <c r="AG225" s="62" t="s">
        <v>3239</v>
      </c>
      <c r="AH225" s="62" t="s">
        <v>3525</v>
      </c>
      <c r="AI225" s="63" t="s">
        <v>3033</v>
      </c>
    </row>
    <row r="226" ht="21.75" customHeight="1">
      <c r="A226" s="62" t="s">
        <v>4493</v>
      </c>
      <c r="B226" s="62" t="s">
        <v>3028</v>
      </c>
      <c r="C226" s="62" t="s">
        <v>33</v>
      </c>
      <c r="D226" s="62" t="s">
        <v>4494</v>
      </c>
      <c r="E226" s="62" t="s">
        <v>3884</v>
      </c>
      <c r="F226" s="62" t="s">
        <v>4495</v>
      </c>
      <c r="G226" s="62" t="s">
        <v>3724</v>
      </c>
      <c r="H226" s="62" t="s">
        <v>3727</v>
      </c>
      <c r="I226" s="21"/>
      <c r="J226" s="62" t="s">
        <v>107</v>
      </c>
      <c r="K226" s="63" t="b">
        <v>0</v>
      </c>
      <c r="L226" s="21"/>
      <c r="M226" s="62" t="s">
        <v>3028</v>
      </c>
      <c r="N226" s="62" t="s">
        <v>33</v>
      </c>
      <c r="O226" s="62" t="s">
        <v>3028</v>
      </c>
      <c r="P226" s="62" t="s">
        <v>33</v>
      </c>
      <c r="Q226" s="63" t="s">
        <v>3033</v>
      </c>
      <c r="R226" s="63" t="s">
        <v>3033</v>
      </c>
      <c r="S226" s="21"/>
      <c r="T226" s="21"/>
      <c r="U226" s="21"/>
      <c r="V226" s="62" t="s">
        <v>4496</v>
      </c>
      <c r="W226" s="62" t="s">
        <v>3082</v>
      </c>
      <c r="X226" s="21"/>
      <c r="Y226" s="21"/>
      <c r="Z226" s="21"/>
      <c r="AA226" s="21"/>
      <c r="AB226" s="21"/>
      <c r="AC226" s="62" t="s">
        <v>4497</v>
      </c>
      <c r="AD226" s="62" t="s">
        <v>3530</v>
      </c>
      <c r="AE226" s="62" t="s">
        <v>3730</v>
      </c>
      <c r="AF226" s="62" t="s">
        <v>3731</v>
      </c>
      <c r="AG226" s="62" t="s">
        <v>3239</v>
      </c>
      <c r="AH226" s="62" t="s">
        <v>3525</v>
      </c>
      <c r="AI226" s="63" t="s">
        <v>3033</v>
      </c>
    </row>
    <row r="227" ht="21.75" customHeight="1">
      <c r="A227" s="62" t="s">
        <v>4501</v>
      </c>
      <c r="B227" s="62" t="s">
        <v>3028</v>
      </c>
      <c r="C227" s="62" t="s">
        <v>33</v>
      </c>
      <c r="D227" s="62" t="s">
        <v>4502</v>
      </c>
      <c r="E227" s="62" t="s">
        <v>3846</v>
      </c>
      <c r="F227" s="62" t="s">
        <v>4503</v>
      </c>
      <c r="G227" s="62" t="s">
        <v>3724</v>
      </c>
      <c r="H227" s="62" t="s">
        <v>3727</v>
      </c>
      <c r="I227" s="21"/>
      <c r="J227" s="62" t="s">
        <v>107</v>
      </c>
      <c r="K227" s="63" t="b">
        <v>0</v>
      </c>
      <c r="L227" s="21"/>
      <c r="M227" s="62" t="s">
        <v>3028</v>
      </c>
      <c r="N227" s="62" t="s">
        <v>33</v>
      </c>
      <c r="O227" s="62" t="s">
        <v>3028</v>
      </c>
      <c r="P227" s="62" t="s">
        <v>33</v>
      </c>
      <c r="Q227" s="63" t="s">
        <v>3033</v>
      </c>
      <c r="R227" s="63" t="s">
        <v>3033</v>
      </c>
      <c r="S227" s="21"/>
      <c r="T227" s="21"/>
      <c r="U227" s="21"/>
      <c r="V227" s="62" t="s">
        <v>4504</v>
      </c>
      <c r="W227" s="62" t="s">
        <v>3082</v>
      </c>
      <c r="X227" s="21"/>
      <c r="Y227" s="21"/>
      <c r="Z227" s="21"/>
      <c r="AA227" s="21"/>
      <c r="AB227" s="21"/>
      <c r="AC227" s="62" t="s">
        <v>4505</v>
      </c>
      <c r="AD227" s="62" t="s">
        <v>3530</v>
      </c>
      <c r="AE227" s="62" t="s">
        <v>3730</v>
      </c>
      <c r="AF227" s="62" t="s">
        <v>3731</v>
      </c>
      <c r="AG227" s="62" t="s">
        <v>3239</v>
      </c>
      <c r="AH227" s="62" t="s">
        <v>3525</v>
      </c>
      <c r="AI227" s="63" t="s">
        <v>3033</v>
      </c>
    </row>
    <row r="228" ht="21.75" customHeight="1">
      <c r="A228" s="62" t="s">
        <v>4507</v>
      </c>
      <c r="B228" s="62" t="s">
        <v>3028</v>
      </c>
      <c r="C228" s="62" t="s">
        <v>33</v>
      </c>
      <c r="D228" s="62" t="s">
        <v>4508</v>
      </c>
      <c r="E228" s="62" t="s">
        <v>4509</v>
      </c>
      <c r="F228" s="62" t="s">
        <v>4510</v>
      </c>
      <c r="G228" s="62" t="s">
        <v>3724</v>
      </c>
      <c r="H228" s="62" t="s">
        <v>3727</v>
      </c>
      <c r="I228" s="21"/>
      <c r="J228" s="62" t="s">
        <v>107</v>
      </c>
      <c r="K228" s="63" t="b">
        <v>0</v>
      </c>
      <c r="L228" s="21"/>
      <c r="M228" s="62" t="s">
        <v>3028</v>
      </c>
      <c r="N228" s="62" t="s">
        <v>33</v>
      </c>
      <c r="O228" s="62" t="s">
        <v>3028</v>
      </c>
      <c r="P228" s="62" t="s">
        <v>33</v>
      </c>
      <c r="Q228" s="63" t="s">
        <v>3033</v>
      </c>
      <c r="R228" s="63" t="s">
        <v>3033</v>
      </c>
      <c r="S228" s="21"/>
      <c r="T228" s="21"/>
      <c r="U228" s="21"/>
      <c r="V228" s="62" t="s">
        <v>4514</v>
      </c>
      <c r="W228" s="62" t="s">
        <v>3082</v>
      </c>
      <c r="X228" s="21"/>
      <c r="Y228" s="21"/>
      <c r="Z228" s="21"/>
      <c r="AA228" s="21"/>
      <c r="AB228" s="21"/>
      <c r="AC228" s="62" t="s">
        <v>4515</v>
      </c>
      <c r="AD228" s="62" t="s">
        <v>3530</v>
      </c>
      <c r="AE228" s="62" t="s">
        <v>3730</v>
      </c>
      <c r="AF228" s="62" t="s">
        <v>3731</v>
      </c>
      <c r="AG228" s="62" t="s">
        <v>3239</v>
      </c>
      <c r="AH228" s="62" t="s">
        <v>3525</v>
      </c>
      <c r="AI228" s="63" t="s">
        <v>3033</v>
      </c>
    </row>
    <row r="229" ht="21.75" customHeight="1">
      <c r="A229" s="62" t="s">
        <v>4516</v>
      </c>
      <c r="B229" s="62" t="s">
        <v>3028</v>
      </c>
      <c r="C229" s="62" t="s">
        <v>33</v>
      </c>
      <c r="D229" s="62" t="s">
        <v>3214</v>
      </c>
      <c r="E229" s="62" t="s">
        <v>3846</v>
      </c>
      <c r="F229" s="62" t="s">
        <v>4517</v>
      </c>
      <c r="G229" s="62" t="s">
        <v>3724</v>
      </c>
      <c r="H229" s="62" t="s">
        <v>3727</v>
      </c>
      <c r="I229" s="21"/>
      <c r="J229" s="62" t="s">
        <v>107</v>
      </c>
      <c r="K229" s="63" t="b">
        <v>0</v>
      </c>
      <c r="L229" s="21"/>
      <c r="M229" s="62" t="s">
        <v>3028</v>
      </c>
      <c r="N229" s="62" t="s">
        <v>33</v>
      </c>
      <c r="O229" s="62" t="s">
        <v>3028</v>
      </c>
      <c r="P229" s="62" t="s">
        <v>33</v>
      </c>
      <c r="Q229" s="63" t="s">
        <v>3033</v>
      </c>
      <c r="R229" s="63" t="s">
        <v>3033</v>
      </c>
      <c r="S229" s="21"/>
      <c r="T229" s="21"/>
      <c r="U229" s="21"/>
      <c r="V229" s="62" t="s">
        <v>4518</v>
      </c>
      <c r="W229" s="62" t="s">
        <v>3082</v>
      </c>
      <c r="X229" s="21"/>
      <c r="Y229" s="21"/>
      <c r="Z229" s="21"/>
      <c r="AA229" s="21"/>
      <c r="AB229" s="21"/>
      <c r="AC229" s="62" t="s">
        <v>4522</v>
      </c>
      <c r="AD229" s="62" t="s">
        <v>3530</v>
      </c>
      <c r="AE229" s="62" t="s">
        <v>3730</v>
      </c>
      <c r="AF229" s="62" t="s">
        <v>3731</v>
      </c>
      <c r="AG229" s="62" t="s">
        <v>3239</v>
      </c>
      <c r="AH229" s="62" t="s">
        <v>3525</v>
      </c>
      <c r="AI229" s="63" t="s">
        <v>3033</v>
      </c>
    </row>
    <row r="230" ht="21.75" customHeight="1">
      <c r="A230" s="62" t="s">
        <v>4523</v>
      </c>
      <c r="B230" s="62" t="s">
        <v>3028</v>
      </c>
      <c r="C230" s="62" t="s">
        <v>33</v>
      </c>
      <c r="D230" s="62" t="s">
        <v>4524</v>
      </c>
      <c r="E230" s="62" t="s">
        <v>4525</v>
      </c>
      <c r="F230" s="62" t="s">
        <v>4526</v>
      </c>
      <c r="G230" s="62" t="s">
        <v>3724</v>
      </c>
      <c r="H230" s="62" t="s">
        <v>3727</v>
      </c>
      <c r="I230" s="21"/>
      <c r="J230" s="62" t="s">
        <v>107</v>
      </c>
      <c r="K230" s="63" t="b">
        <v>0</v>
      </c>
      <c r="L230" s="21"/>
      <c r="M230" s="62" t="s">
        <v>3028</v>
      </c>
      <c r="N230" s="62" t="s">
        <v>33</v>
      </c>
      <c r="O230" s="62" t="s">
        <v>3028</v>
      </c>
      <c r="P230" s="62" t="s">
        <v>33</v>
      </c>
      <c r="Q230" s="63" t="s">
        <v>3033</v>
      </c>
      <c r="R230" s="63" t="s">
        <v>3033</v>
      </c>
      <c r="S230" s="63" t="s">
        <v>3033</v>
      </c>
      <c r="T230" s="21"/>
      <c r="U230" s="21"/>
      <c r="V230" s="62" t="s">
        <v>4527</v>
      </c>
      <c r="W230" s="62" t="s">
        <v>3082</v>
      </c>
      <c r="X230" s="21"/>
      <c r="Y230" s="21"/>
      <c r="Z230" s="21"/>
      <c r="AA230" s="21"/>
      <c r="AB230" s="21"/>
      <c r="AC230" s="62" t="s">
        <v>4528</v>
      </c>
      <c r="AD230" s="62" t="s">
        <v>3530</v>
      </c>
      <c r="AE230" s="62" t="s">
        <v>3730</v>
      </c>
      <c r="AF230" s="62" t="s">
        <v>3731</v>
      </c>
      <c r="AG230" s="62" t="s">
        <v>3239</v>
      </c>
      <c r="AH230" s="62" t="s">
        <v>3525</v>
      </c>
      <c r="AI230" s="63" t="s">
        <v>3033</v>
      </c>
    </row>
    <row r="231" ht="21.75" customHeight="1">
      <c r="A231" s="62" t="s">
        <v>4531</v>
      </c>
      <c r="B231" s="62" t="s">
        <v>3028</v>
      </c>
      <c r="C231" s="62" t="s">
        <v>33</v>
      </c>
      <c r="D231" s="62" t="s">
        <v>4533</v>
      </c>
      <c r="E231" s="62" t="s">
        <v>4411</v>
      </c>
      <c r="F231" s="21"/>
      <c r="G231" s="62" t="s">
        <v>3724</v>
      </c>
      <c r="H231" s="62" t="s">
        <v>3727</v>
      </c>
      <c r="I231" s="21"/>
      <c r="J231" s="62" t="s">
        <v>107</v>
      </c>
      <c r="K231" s="63" t="b">
        <v>0</v>
      </c>
      <c r="L231" s="21"/>
      <c r="M231" s="62" t="s">
        <v>3028</v>
      </c>
      <c r="N231" s="62" t="s">
        <v>33</v>
      </c>
      <c r="O231" s="62" t="s">
        <v>3028</v>
      </c>
      <c r="P231" s="62" t="s">
        <v>33</v>
      </c>
      <c r="Q231" s="63" t="s">
        <v>3033</v>
      </c>
      <c r="R231" s="63" t="s">
        <v>3033</v>
      </c>
      <c r="S231" s="63" t="s">
        <v>3033</v>
      </c>
      <c r="T231" s="21"/>
      <c r="U231" s="21"/>
      <c r="V231" s="62" t="s">
        <v>4534</v>
      </c>
      <c r="W231" s="62" t="s">
        <v>3082</v>
      </c>
      <c r="X231" s="21"/>
      <c r="Y231" s="21"/>
      <c r="Z231" s="21"/>
      <c r="AA231" s="21"/>
      <c r="AB231" s="21"/>
      <c r="AC231" s="62" t="s">
        <v>4522</v>
      </c>
      <c r="AD231" s="62" t="s">
        <v>3530</v>
      </c>
      <c r="AE231" s="62" t="s">
        <v>3730</v>
      </c>
      <c r="AF231" s="62" t="s">
        <v>3731</v>
      </c>
      <c r="AG231" s="62" t="s">
        <v>3239</v>
      </c>
      <c r="AH231" s="62" t="s">
        <v>3525</v>
      </c>
      <c r="AI231" s="63" t="s">
        <v>3033</v>
      </c>
    </row>
    <row r="232" ht="21.75" customHeight="1">
      <c r="A232" s="62" t="s">
        <v>4535</v>
      </c>
      <c r="B232" s="62" t="s">
        <v>3028</v>
      </c>
      <c r="C232" s="62" t="s">
        <v>33</v>
      </c>
      <c r="D232" s="62" t="s">
        <v>4536</v>
      </c>
      <c r="E232" s="62" t="s">
        <v>4537</v>
      </c>
      <c r="F232" s="62" t="s">
        <v>813</v>
      </c>
      <c r="G232" s="62" t="s">
        <v>3226</v>
      </c>
      <c r="H232" s="62" t="s">
        <v>664</v>
      </c>
      <c r="J232" s="62" t="s">
        <v>812</v>
      </c>
      <c r="K232" s="63" t="b">
        <v>0</v>
      </c>
      <c r="L232" s="21"/>
      <c r="M232" s="62" t="s">
        <v>3028</v>
      </c>
      <c r="N232" s="62" t="s">
        <v>33</v>
      </c>
      <c r="O232" s="62" t="s">
        <v>3028</v>
      </c>
      <c r="P232" s="62" t="s">
        <v>33</v>
      </c>
      <c r="Q232" s="63" t="s">
        <v>3033</v>
      </c>
      <c r="R232" s="63" t="s">
        <v>3033</v>
      </c>
      <c r="S232" s="63" t="s">
        <v>3033</v>
      </c>
      <c r="T232" s="21"/>
      <c r="U232" s="21"/>
      <c r="V232" s="62" t="s">
        <v>811</v>
      </c>
      <c r="W232" s="62" t="s">
        <v>3082</v>
      </c>
      <c r="X232" s="21"/>
      <c r="Y232" s="21"/>
      <c r="Z232" s="21"/>
      <c r="AA232" s="21"/>
      <c r="AB232" s="21"/>
      <c r="AC232" s="62" t="s">
        <v>395</v>
      </c>
      <c r="AD232" s="62" t="s">
        <v>3037</v>
      </c>
      <c r="AE232" s="62" t="s">
        <v>3229</v>
      </c>
      <c r="AF232" s="62" t="s">
        <v>3540</v>
      </c>
      <c r="AG232" s="62" t="s">
        <v>3231</v>
      </c>
      <c r="AH232" s="62" t="s">
        <v>53</v>
      </c>
      <c r="AI232" s="63" t="s">
        <v>3033</v>
      </c>
    </row>
    <row r="233" ht="21.75" customHeight="1">
      <c r="A233" s="62" t="s">
        <v>4541</v>
      </c>
      <c r="B233" s="62" t="s">
        <v>3028</v>
      </c>
      <c r="C233" s="62" t="s">
        <v>33</v>
      </c>
      <c r="D233" s="62" t="s">
        <v>4542</v>
      </c>
      <c r="E233" s="62" t="s">
        <v>3446</v>
      </c>
      <c r="F233" s="62" t="s">
        <v>819</v>
      </c>
      <c r="G233" s="62" t="s">
        <v>3226</v>
      </c>
      <c r="H233" s="62" t="s">
        <v>664</v>
      </c>
      <c r="J233" s="62" t="s">
        <v>107</v>
      </c>
      <c r="K233" s="63" t="b">
        <v>0</v>
      </c>
      <c r="L233" s="21"/>
      <c r="M233" s="62" t="s">
        <v>3028</v>
      </c>
      <c r="N233" s="62" t="s">
        <v>33</v>
      </c>
      <c r="O233" s="62" t="s">
        <v>3028</v>
      </c>
      <c r="P233" s="62" t="s">
        <v>33</v>
      </c>
      <c r="Q233" s="63" t="s">
        <v>3033</v>
      </c>
      <c r="R233" s="63" t="s">
        <v>3033</v>
      </c>
      <c r="S233" s="63" t="s">
        <v>3033</v>
      </c>
      <c r="T233" s="21"/>
      <c r="U233" s="21"/>
      <c r="V233" s="62" t="s">
        <v>818</v>
      </c>
      <c r="W233" s="62" t="s">
        <v>3082</v>
      </c>
      <c r="X233" s="21"/>
      <c r="Y233" s="21"/>
      <c r="Z233" s="21"/>
      <c r="AA233" s="21"/>
      <c r="AB233" s="21"/>
      <c r="AC233" s="62" t="s">
        <v>820</v>
      </c>
      <c r="AD233" s="62" t="s">
        <v>3037</v>
      </c>
      <c r="AE233" s="62" t="s">
        <v>3229</v>
      </c>
      <c r="AF233" s="62" t="s">
        <v>3540</v>
      </c>
      <c r="AG233" s="62" t="s">
        <v>3231</v>
      </c>
      <c r="AH233" s="62" t="s">
        <v>53</v>
      </c>
      <c r="AI233" s="63" t="s">
        <v>3033</v>
      </c>
    </row>
    <row r="234" ht="21.75" customHeight="1">
      <c r="A234" s="62" t="s">
        <v>4545</v>
      </c>
      <c r="B234" s="62" t="s">
        <v>3028</v>
      </c>
      <c r="C234" s="62" t="s">
        <v>33</v>
      </c>
      <c r="D234" s="62" t="s">
        <v>4547</v>
      </c>
      <c r="E234" s="62" t="s">
        <v>3402</v>
      </c>
      <c r="F234" s="62" t="s">
        <v>824</v>
      </c>
      <c r="G234" s="62" t="s">
        <v>3226</v>
      </c>
      <c r="H234" s="62" t="s">
        <v>664</v>
      </c>
      <c r="J234" s="62" t="s">
        <v>107</v>
      </c>
      <c r="K234" s="63" t="b">
        <v>0</v>
      </c>
      <c r="L234" s="21"/>
      <c r="M234" s="62" t="s">
        <v>3028</v>
      </c>
      <c r="N234" s="62" t="s">
        <v>33</v>
      </c>
      <c r="O234" s="62" t="s">
        <v>3028</v>
      </c>
      <c r="P234" s="62" t="s">
        <v>33</v>
      </c>
      <c r="Q234" s="63" t="s">
        <v>3033</v>
      </c>
      <c r="R234" s="63" t="s">
        <v>3033</v>
      </c>
      <c r="S234" s="63" t="s">
        <v>3033</v>
      </c>
      <c r="T234" s="21"/>
      <c r="U234" s="21"/>
      <c r="V234" s="62" t="s">
        <v>823</v>
      </c>
      <c r="W234" s="62" t="s">
        <v>3082</v>
      </c>
      <c r="X234" s="21"/>
      <c r="Y234" s="21"/>
      <c r="Z234" s="21"/>
      <c r="AA234" s="21"/>
      <c r="AB234" s="21"/>
      <c r="AC234" s="62" t="s">
        <v>426</v>
      </c>
      <c r="AD234" s="62" t="s">
        <v>3037</v>
      </c>
      <c r="AE234" s="62" t="s">
        <v>3229</v>
      </c>
      <c r="AF234" s="62" t="s">
        <v>3540</v>
      </c>
      <c r="AG234" s="62" t="s">
        <v>3231</v>
      </c>
      <c r="AH234" s="62" t="s">
        <v>53</v>
      </c>
      <c r="AI234" s="63" t="s">
        <v>3033</v>
      </c>
    </row>
    <row r="235" ht="21.75" customHeight="1">
      <c r="A235" s="62" t="s">
        <v>4548</v>
      </c>
      <c r="B235" s="62" t="s">
        <v>3028</v>
      </c>
      <c r="C235" s="62" t="s">
        <v>33</v>
      </c>
      <c r="D235" s="62" t="s">
        <v>4549</v>
      </c>
      <c r="E235" s="62" t="s">
        <v>4550</v>
      </c>
      <c r="F235" s="62" t="s">
        <v>830</v>
      </c>
      <c r="G235" s="62" t="s">
        <v>3226</v>
      </c>
      <c r="H235" s="62" t="s">
        <v>664</v>
      </c>
      <c r="J235" s="62" t="s">
        <v>107</v>
      </c>
      <c r="K235" s="63" t="b">
        <v>0</v>
      </c>
      <c r="L235" s="21"/>
      <c r="M235" s="62" t="s">
        <v>3028</v>
      </c>
      <c r="N235" s="62" t="s">
        <v>33</v>
      </c>
      <c r="O235" s="62" t="s">
        <v>3028</v>
      </c>
      <c r="P235" s="62" t="s">
        <v>33</v>
      </c>
      <c r="Q235" s="63" t="s">
        <v>3033</v>
      </c>
      <c r="R235" s="63" t="s">
        <v>3033</v>
      </c>
      <c r="S235" s="63" t="s">
        <v>3033</v>
      </c>
      <c r="T235" s="21"/>
      <c r="U235" s="21"/>
      <c r="V235" s="62" t="s">
        <v>829</v>
      </c>
      <c r="W235" s="62" t="s">
        <v>3082</v>
      </c>
      <c r="X235" s="21"/>
      <c r="Y235" s="21"/>
      <c r="Z235" s="21"/>
      <c r="AA235" s="21"/>
      <c r="AB235" s="21"/>
      <c r="AC235" s="62" t="s">
        <v>831</v>
      </c>
      <c r="AD235" s="62" t="s">
        <v>3037</v>
      </c>
      <c r="AE235" s="62" t="s">
        <v>3229</v>
      </c>
      <c r="AF235" s="62" t="s">
        <v>3540</v>
      </c>
      <c r="AG235" s="62" t="s">
        <v>3231</v>
      </c>
      <c r="AH235" s="62" t="s">
        <v>53</v>
      </c>
      <c r="AI235" s="63" t="s">
        <v>3033</v>
      </c>
    </row>
    <row r="236" ht="21.75" customHeight="1">
      <c r="A236" s="62" t="s">
        <v>4554</v>
      </c>
      <c r="B236" s="62" t="s">
        <v>3028</v>
      </c>
      <c r="C236" s="62" t="s">
        <v>33</v>
      </c>
      <c r="D236" s="62" t="s">
        <v>4555</v>
      </c>
      <c r="E236" s="62" t="s">
        <v>4556</v>
      </c>
      <c r="F236" s="62" t="s">
        <v>835</v>
      </c>
      <c r="G236" s="62" t="s">
        <v>3226</v>
      </c>
      <c r="H236" s="62" t="s">
        <v>664</v>
      </c>
      <c r="J236" s="62" t="s">
        <v>107</v>
      </c>
      <c r="K236" s="63" t="b">
        <v>0</v>
      </c>
      <c r="L236" s="21"/>
      <c r="M236" s="62" t="s">
        <v>3028</v>
      </c>
      <c r="N236" s="62" t="s">
        <v>33</v>
      </c>
      <c r="O236" s="62" t="s">
        <v>3028</v>
      </c>
      <c r="P236" s="62" t="s">
        <v>33</v>
      </c>
      <c r="Q236" s="63" t="s">
        <v>3033</v>
      </c>
      <c r="R236" s="63" t="s">
        <v>3033</v>
      </c>
      <c r="S236" s="63" t="s">
        <v>3033</v>
      </c>
      <c r="T236" s="21"/>
      <c r="U236" s="21"/>
      <c r="V236" s="62" t="s">
        <v>834</v>
      </c>
      <c r="W236" s="62" t="s">
        <v>3082</v>
      </c>
      <c r="X236" s="21"/>
      <c r="Y236" s="21"/>
      <c r="Z236" s="21"/>
      <c r="AA236" s="21"/>
      <c r="AB236" s="21"/>
      <c r="AC236" s="62" t="s">
        <v>836</v>
      </c>
      <c r="AD236" s="62" t="s">
        <v>3037</v>
      </c>
      <c r="AE236" s="62" t="s">
        <v>3229</v>
      </c>
      <c r="AF236" s="62" t="s">
        <v>3540</v>
      </c>
      <c r="AG236" s="62" t="s">
        <v>3231</v>
      </c>
      <c r="AH236" s="62" t="s">
        <v>53</v>
      </c>
      <c r="AI236" s="63" t="s">
        <v>3033</v>
      </c>
    </row>
    <row r="237" ht="21.75" customHeight="1">
      <c r="A237" s="62" t="s">
        <v>4560</v>
      </c>
      <c r="B237" s="62" t="s">
        <v>3028</v>
      </c>
      <c r="C237" s="62" t="s">
        <v>33</v>
      </c>
      <c r="D237" s="62" t="s">
        <v>4561</v>
      </c>
      <c r="E237" s="62" t="s">
        <v>4562</v>
      </c>
      <c r="F237" s="62" t="s">
        <v>842</v>
      </c>
      <c r="G237" s="62" t="s">
        <v>3226</v>
      </c>
      <c r="H237" s="62" t="s">
        <v>664</v>
      </c>
      <c r="J237" s="62" t="s">
        <v>107</v>
      </c>
      <c r="K237" s="63" t="b">
        <v>0</v>
      </c>
      <c r="L237" s="21"/>
      <c r="M237" s="62" t="s">
        <v>3028</v>
      </c>
      <c r="N237" s="62" t="s">
        <v>33</v>
      </c>
      <c r="O237" s="62" t="s">
        <v>3028</v>
      </c>
      <c r="P237" s="62" t="s">
        <v>33</v>
      </c>
      <c r="Q237" s="63" t="s">
        <v>3033</v>
      </c>
      <c r="R237" s="63" t="s">
        <v>3033</v>
      </c>
      <c r="S237" s="63" t="s">
        <v>3033</v>
      </c>
      <c r="T237" s="21"/>
      <c r="U237" s="21"/>
      <c r="V237" s="62" t="s">
        <v>841</v>
      </c>
      <c r="W237" s="62" t="s">
        <v>3082</v>
      </c>
      <c r="X237" s="21"/>
      <c r="Y237" s="21"/>
      <c r="Z237" s="21"/>
      <c r="AA237" s="21"/>
      <c r="AB237" s="21"/>
      <c r="AC237" s="62" t="s">
        <v>843</v>
      </c>
      <c r="AD237" s="62" t="s">
        <v>3037</v>
      </c>
      <c r="AE237" s="62" t="s">
        <v>3229</v>
      </c>
      <c r="AF237" s="62" t="s">
        <v>3540</v>
      </c>
      <c r="AG237" s="62" t="s">
        <v>3231</v>
      </c>
      <c r="AH237" s="62" t="s">
        <v>53</v>
      </c>
      <c r="AI237" s="63" t="s">
        <v>3033</v>
      </c>
    </row>
    <row r="238" ht="21.75" customHeight="1">
      <c r="A238" s="62" t="s">
        <v>4571</v>
      </c>
      <c r="B238" s="62" t="s">
        <v>3028</v>
      </c>
      <c r="C238" s="62" t="s">
        <v>33</v>
      </c>
      <c r="D238" s="62" t="s">
        <v>3241</v>
      </c>
      <c r="E238" s="62" t="s">
        <v>4572</v>
      </c>
      <c r="F238" s="62" t="s">
        <v>847</v>
      </c>
      <c r="G238" s="62" t="s">
        <v>3226</v>
      </c>
      <c r="H238" s="62" t="s">
        <v>664</v>
      </c>
      <c r="J238" s="62" t="s">
        <v>107</v>
      </c>
      <c r="K238" s="63" t="b">
        <v>0</v>
      </c>
      <c r="L238" s="21"/>
      <c r="M238" s="62" t="s">
        <v>3028</v>
      </c>
      <c r="N238" s="62" t="s">
        <v>33</v>
      </c>
      <c r="O238" s="62" t="s">
        <v>3028</v>
      </c>
      <c r="P238" s="62" t="s">
        <v>33</v>
      </c>
      <c r="Q238" s="63" t="s">
        <v>3033</v>
      </c>
      <c r="R238" s="63" t="s">
        <v>3033</v>
      </c>
      <c r="S238" s="63" t="s">
        <v>3033</v>
      </c>
      <c r="T238" s="21"/>
      <c r="U238" s="21"/>
      <c r="V238" s="62" t="s">
        <v>846</v>
      </c>
      <c r="W238" s="62" t="s">
        <v>3082</v>
      </c>
      <c r="X238" s="21"/>
      <c r="Y238" s="21"/>
      <c r="Z238" s="21"/>
      <c r="AA238" s="21"/>
      <c r="AB238" s="21"/>
      <c r="AC238" s="62" t="s">
        <v>848</v>
      </c>
      <c r="AD238" s="62" t="s">
        <v>3037</v>
      </c>
      <c r="AE238" s="62" t="s">
        <v>3229</v>
      </c>
      <c r="AF238" s="62" t="s">
        <v>3540</v>
      </c>
      <c r="AG238" s="62" t="s">
        <v>3231</v>
      </c>
      <c r="AH238" s="62" t="s">
        <v>53</v>
      </c>
      <c r="AI238" s="63" t="s">
        <v>3033</v>
      </c>
    </row>
    <row r="239" ht="21.75" customHeight="1">
      <c r="A239" s="62" t="s">
        <v>4573</v>
      </c>
      <c r="B239" s="62" t="s">
        <v>3028</v>
      </c>
      <c r="C239" s="62" t="s">
        <v>33</v>
      </c>
      <c r="D239" s="62" t="s">
        <v>4574</v>
      </c>
      <c r="E239" s="62" t="s">
        <v>3446</v>
      </c>
      <c r="F239" s="62" t="s">
        <v>854</v>
      </c>
      <c r="G239" s="62" t="s">
        <v>3226</v>
      </c>
      <c r="H239" s="62" t="s">
        <v>664</v>
      </c>
      <c r="J239" s="62" t="s">
        <v>107</v>
      </c>
      <c r="K239" s="63" t="b">
        <v>0</v>
      </c>
      <c r="L239" s="21"/>
      <c r="M239" s="62" t="s">
        <v>3028</v>
      </c>
      <c r="N239" s="62" t="s">
        <v>33</v>
      </c>
      <c r="O239" s="62" t="s">
        <v>3028</v>
      </c>
      <c r="P239" s="62" t="s">
        <v>33</v>
      </c>
      <c r="Q239" s="63" t="s">
        <v>3033</v>
      </c>
      <c r="R239" s="63" t="s">
        <v>3033</v>
      </c>
      <c r="S239" s="63" t="s">
        <v>3033</v>
      </c>
      <c r="T239" s="21"/>
      <c r="U239" s="21"/>
      <c r="V239" s="62" t="s">
        <v>853</v>
      </c>
      <c r="W239" s="62" t="s">
        <v>3082</v>
      </c>
      <c r="X239" s="21"/>
      <c r="Y239" s="21"/>
      <c r="Z239" s="21"/>
      <c r="AA239" s="21"/>
      <c r="AB239" s="21"/>
      <c r="AC239" s="62" t="s">
        <v>855</v>
      </c>
      <c r="AD239" s="62" t="s">
        <v>3037</v>
      </c>
      <c r="AE239" s="62" t="s">
        <v>3229</v>
      </c>
      <c r="AF239" s="62" t="s">
        <v>3540</v>
      </c>
      <c r="AG239" s="62" t="s">
        <v>3231</v>
      </c>
      <c r="AH239" s="62" t="s">
        <v>53</v>
      </c>
      <c r="AI239" s="63" t="s">
        <v>3033</v>
      </c>
    </row>
    <row r="240" ht="21.75" customHeight="1">
      <c r="A240" s="62" t="s">
        <v>4578</v>
      </c>
      <c r="B240" s="62" t="s">
        <v>3028</v>
      </c>
      <c r="C240" s="62" t="s">
        <v>33</v>
      </c>
      <c r="D240" s="62" t="s">
        <v>3556</v>
      </c>
      <c r="E240" s="62" t="s">
        <v>4580</v>
      </c>
      <c r="F240" s="62" t="s">
        <v>860</v>
      </c>
      <c r="G240" s="62" t="s">
        <v>3226</v>
      </c>
      <c r="H240" s="62" t="s">
        <v>664</v>
      </c>
      <c r="J240" s="62" t="s">
        <v>859</v>
      </c>
      <c r="K240" s="63" t="b">
        <v>0</v>
      </c>
      <c r="L240" s="21"/>
      <c r="M240" s="62" t="s">
        <v>3028</v>
      </c>
      <c r="N240" s="62" t="s">
        <v>33</v>
      </c>
      <c r="O240" s="62" t="s">
        <v>3028</v>
      </c>
      <c r="P240" s="62" t="s">
        <v>33</v>
      </c>
      <c r="Q240" s="63" t="s">
        <v>3033</v>
      </c>
      <c r="R240" s="63" t="s">
        <v>3033</v>
      </c>
      <c r="S240" s="63" t="s">
        <v>3033</v>
      </c>
      <c r="T240" s="21"/>
      <c r="U240" s="21"/>
      <c r="V240" s="62" t="s">
        <v>858</v>
      </c>
      <c r="W240" s="62" t="s">
        <v>3082</v>
      </c>
      <c r="X240" s="21"/>
      <c r="Y240" s="21"/>
      <c r="Z240" s="21"/>
      <c r="AA240" s="21"/>
      <c r="AB240" s="21"/>
      <c r="AC240" s="62" t="s">
        <v>861</v>
      </c>
      <c r="AD240" s="62" t="s">
        <v>3037</v>
      </c>
      <c r="AE240" s="62" t="s">
        <v>3229</v>
      </c>
      <c r="AF240" s="62" t="s">
        <v>3540</v>
      </c>
      <c r="AG240" s="62" t="s">
        <v>3231</v>
      </c>
      <c r="AH240" s="62" t="s">
        <v>53</v>
      </c>
      <c r="AI240" s="63" t="s">
        <v>3033</v>
      </c>
    </row>
    <row r="241" ht="21.75" customHeight="1">
      <c r="A241" s="62" t="s">
        <v>4582</v>
      </c>
      <c r="B241" s="62" t="s">
        <v>3028</v>
      </c>
      <c r="C241" s="62" t="s">
        <v>33</v>
      </c>
      <c r="D241" s="62" t="s">
        <v>4583</v>
      </c>
      <c r="E241" s="62" t="s">
        <v>3305</v>
      </c>
      <c r="F241" s="62" t="s">
        <v>867</v>
      </c>
      <c r="G241" s="62" t="s">
        <v>3226</v>
      </c>
      <c r="H241" s="62" t="s">
        <v>664</v>
      </c>
      <c r="J241" s="62" t="s">
        <v>107</v>
      </c>
      <c r="K241" s="63" t="b">
        <v>0</v>
      </c>
      <c r="L241" s="21"/>
      <c r="M241" s="62" t="s">
        <v>3028</v>
      </c>
      <c r="N241" s="62" t="s">
        <v>33</v>
      </c>
      <c r="O241" s="62" t="s">
        <v>3028</v>
      </c>
      <c r="P241" s="62" t="s">
        <v>33</v>
      </c>
      <c r="Q241" s="63" t="s">
        <v>3033</v>
      </c>
      <c r="R241" s="63" t="s">
        <v>3033</v>
      </c>
      <c r="S241" s="63" t="s">
        <v>3033</v>
      </c>
      <c r="T241" s="21"/>
      <c r="U241" s="21"/>
      <c r="V241" s="62" t="s">
        <v>866</v>
      </c>
      <c r="W241" s="62" t="s">
        <v>3082</v>
      </c>
      <c r="X241" s="21"/>
      <c r="Y241" s="21"/>
      <c r="Z241" s="21"/>
      <c r="AA241" s="21"/>
      <c r="AB241" s="21"/>
      <c r="AC241" s="62" t="s">
        <v>868</v>
      </c>
      <c r="AD241" s="62" t="s">
        <v>3037</v>
      </c>
      <c r="AE241" s="62" t="s">
        <v>3229</v>
      </c>
      <c r="AF241" s="62" t="s">
        <v>3540</v>
      </c>
      <c r="AG241" s="62" t="s">
        <v>3231</v>
      </c>
      <c r="AH241" s="62" t="s">
        <v>53</v>
      </c>
      <c r="AI241" s="63" t="s">
        <v>3033</v>
      </c>
    </row>
    <row r="242" ht="21.75" customHeight="1">
      <c r="A242" s="62" t="s">
        <v>4588</v>
      </c>
      <c r="B242" s="62" t="s">
        <v>3028</v>
      </c>
      <c r="C242" s="62" t="s">
        <v>33</v>
      </c>
      <c r="D242" s="62" t="s">
        <v>4589</v>
      </c>
      <c r="E242" s="62" t="s">
        <v>4590</v>
      </c>
      <c r="F242" s="62" t="s">
        <v>873</v>
      </c>
      <c r="G242" s="62" t="s">
        <v>3226</v>
      </c>
      <c r="H242" s="62" t="s">
        <v>664</v>
      </c>
      <c r="J242" s="62" t="s">
        <v>107</v>
      </c>
      <c r="K242" s="63" t="b">
        <v>0</v>
      </c>
      <c r="L242" s="21"/>
      <c r="M242" s="62" t="s">
        <v>3028</v>
      </c>
      <c r="N242" s="62" t="s">
        <v>33</v>
      </c>
      <c r="O242" s="62" t="s">
        <v>3028</v>
      </c>
      <c r="P242" s="62" t="s">
        <v>33</v>
      </c>
      <c r="Q242" s="63" t="s">
        <v>3033</v>
      </c>
      <c r="R242" s="63" t="s">
        <v>3033</v>
      </c>
      <c r="S242" s="63" t="s">
        <v>3033</v>
      </c>
      <c r="T242" s="21"/>
      <c r="U242" s="21"/>
      <c r="V242" s="62" t="s">
        <v>870</v>
      </c>
      <c r="W242" s="62" t="s">
        <v>3082</v>
      </c>
      <c r="X242" s="21"/>
      <c r="Y242" s="21"/>
      <c r="Z242" s="21"/>
      <c r="AA242" s="21"/>
      <c r="AB242" s="21"/>
      <c r="AC242" s="62" t="s">
        <v>874</v>
      </c>
      <c r="AD242" s="62" t="s">
        <v>3037</v>
      </c>
      <c r="AE242" s="62" t="s">
        <v>3229</v>
      </c>
      <c r="AF242" s="62" t="s">
        <v>3540</v>
      </c>
      <c r="AG242" s="62" t="s">
        <v>3231</v>
      </c>
      <c r="AH242" s="62" t="s">
        <v>53</v>
      </c>
      <c r="AI242" s="63" t="s">
        <v>3033</v>
      </c>
    </row>
    <row r="243" ht="21.75" customHeight="1">
      <c r="A243" s="62" t="s">
        <v>4592</v>
      </c>
      <c r="B243" s="62" t="s">
        <v>3028</v>
      </c>
      <c r="C243" s="62" t="s">
        <v>33</v>
      </c>
      <c r="D243" s="62" t="s">
        <v>4594</v>
      </c>
      <c r="E243" s="62" t="s">
        <v>4596</v>
      </c>
      <c r="F243" s="62" t="s">
        <v>878</v>
      </c>
      <c r="G243" s="62" t="s">
        <v>3226</v>
      </c>
      <c r="H243" s="62" t="s">
        <v>664</v>
      </c>
      <c r="J243" s="62" t="s">
        <v>107</v>
      </c>
      <c r="K243" s="63" t="b">
        <v>0</v>
      </c>
      <c r="L243" s="21"/>
      <c r="M243" s="62" t="s">
        <v>3028</v>
      </c>
      <c r="N243" s="62" t="s">
        <v>33</v>
      </c>
      <c r="O243" s="62" t="s">
        <v>3028</v>
      </c>
      <c r="P243" s="62" t="s">
        <v>33</v>
      </c>
      <c r="Q243" s="63" t="s">
        <v>3033</v>
      </c>
      <c r="R243" s="63" t="s">
        <v>3033</v>
      </c>
      <c r="S243" s="63" t="s">
        <v>3033</v>
      </c>
      <c r="T243" s="21"/>
      <c r="U243" s="21"/>
      <c r="V243" s="62" t="s">
        <v>877</v>
      </c>
      <c r="W243" s="62" t="s">
        <v>3082</v>
      </c>
      <c r="X243" s="21"/>
      <c r="Y243" s="21"/>
      <c r="Z243" s="21"/>
      <c r="AA243" s="21"/>
      <c r="AB243" s="21"/>
      <c r="AC243" s="62" t="s">
        <v>879</v>
      </c>
      <c r="AD243" s="62" t="s">
        <v>3037</v>
      </c>
      <c r="AE243" s="62" t="s">
        <v>3229</v>
      </c>
      <c r="AF243" s="62" t="s">
        <v>3540</v>
      </c>
      <c r="AG243" s="62" t="s">
        <v>3231</v>
      </c>
      <c r="AH243" s="62" t="s">
        <v>53</v>
      </c>
      <c r="AI243" s="63" t="s">
        <v>3033</v>
      </c>
    </row>
    <row r="244" ht="21.75" customHeight="1">
      <c r="A244" s="62" t="s">
        <v>4599</v>
      </c>
      <c r="B244" s="62" t="s">
        <v>3028</v>
      </c>
      <c r="C244" s="62" t="s">
        <v>33</v>
      </c>
      <c r="D244" s="62" t="s">
        <v>4600</v>
      </c>
      <c r="E244" s="62" t="s">
        <v>3305</v>
      </c>
      <c r="F244" s="62" t="s">
        <v>885</v>
      </c>
      <c r="G244" s="62" t="s">
        <v>3226</v>
      </c>
      <c r="H244" s="62" t="s">
        <v>664</v>
      </c>
      <c r="J244" s="62" t="s">
        <v>107</v>
      </c>
      <c r="K244" s="63" t="b">
        <v>0</v>
      </c>
      <c r="L244" s="21"/>
      <c r="M244" s="62" t="s">
        <v>3028</v>
      </c>
      <c r="N244" s="62" t="s">
        <v>33</v>
      </c>
      <c r="O244" s="62" t="s">
        <v>3028</v>
      </c>
      <c r="P244" s="62" t="s">
        <v>33</v>
      </c>
      <c r="Q244" s="63" t="s">
        <v>3033</v>
      </c>
      <c r="R244" s="63" t="s">
        <v>3033</v>
      </c>
      <c r="S244" s="63" t="s">
        <v>3033</v>
      </c>
      <c r="T244" s="21"/>
      <c r="U244" s="21"/>
      <c r="V244" s="62" t="s">
        <v>884</v>
      </c>
      <c r="W244" s="62" t="s">
        <v>3082</v>
      </c>
      <c r="X244" s="21"/>
      <c r="Y244" s="21"/>
      <c r="Z244" s="21"/>
      <c r="AA244" s="21"/>
      <c r="AB244" s="21"/>
      <c r="AC244" s="62" t="s">
        <v>298</v>
      </c>
      <c r="AD244" s="62" t="s">
        <v>3037</v>
      </c>
      <c r="AE244" s="62" t="s">
        <v>3229</v>
      </c>
      <c r="AF244" s="62" t="s">
        <v>3540</v>
      </c>
      <c r="AG244" s="62" t="s">
        <v>3231</v>
      </c>
      <c r="AH244" s="62" t="s">
        <v>53</v>
      </c>
      <c r="AI244" s="63" t="s">
        <v>3033</v>
      </c>
    </row>
    <row r="245" ht="21.75" customHeight="1">
      <c r="A245" s="62" t="s">
        <v>4604</v>
      </c>
      <c r="B245" s="62" t="s">
        <v>3028</v>
      </c>
      <c r="C245" s="62" t="s">
        <v>33</v>
      </c>
      <c r="D245" s="62" t="s">
        <v>4605</v>
      </c>
      <c r="E245" s="62" t="s">
        <v>3446</v>
      </c>
      <c r="F245" s="62" t="s">
        <v>888</v>
      </c>
      <c r="G245" s="62" t="s">
        <v>3226</v>
      </c>
      <c r="H245" s="62" t="s">
        <v>664</v>
      </c>
      <c r="J245" s="62" t="s">
        <v>107</v>
      </c>
      <c r="K245" s="63" t="b">
        <v>0</v>
      </c>
      <c r="L245" s="21"/>
      <c r="M245" s="62" t="s">
        <v>3028</v>
      </c>
      <c r="N245" s="62" t="s">
        <v>33</v>
      </c>
      <c r="O245" s="62" t="s">
        <v>3028</v>
      </c>
      <c r="P245" s="62" t="s">
        <v>33</v>
      </c>
      <c r="Q245" s="63" t="s">
        <v>3033</v>
      </c>
      <c r="R245" s="63" t="s">
        <v>3033</v>
      </c>
      <c r="S245" s="63" t="s">
        <v>3033</v>
      </c>
      <c r="T245" s="21"/>
      <c r="U245" s="21"/>
      <c r="V245" s="62" t="s">
        <v>887</v>
      </c>
      <c r="W245" s="62" t="s">
        <v>3082</v>
      </c>
      <c r="X245" s="21"/>
      <c r="Y245" s="21"/>
      <c r="Z245" s="21"/>
      <c r="AA245" s="21"/>
      <c r="AB245" s="21"/>
      <c r="AC245" s="62" t="s">
        <v>889</v>
      </c>
      <c r="AD245" s="62" t="s">
        <v>3037</v>
      </c>
      <c r="AE245" s="62" t="s">
        <v>3229</v>
      </c>
      <c r="AF245" s="62" t="s">
        <v>3540</v>
      </c>
      <c r="AG245" s="62" t="s">
        <v>3231</v>
      </c>
      <c r="AH245" s="62" t="s">
        <v>53</v>
      </c>
      <c r="AI245" s="63" t="s">
        <v>3033</v>
      </c>
    </row>
    <row r="246" ht="21.75" customHeight="1">
      <c r="A246" s="62" t="s">
        <v>4606</v>
      </c>
      <c r="B246" s="62" t="s">
        <v>3028</v>
      </c>
      <c r="C246" s="62" t="s">
        <v>33</v>
      </c>
      <c r="D246" s="62" t="s">
        <v>4608</v>
      </c>
      <c r="E246" s="62" t="s">
        <v>3544</v>
      </c>
      <c r="F246" s="62" t="s">
        <v>894</v>
      </c>
      <c r="G246" s="62" t="s">
        <v>3226</v>
      </c>
      <c r="H246" s="62" t="s">
        <v>664</v>
      </c>
      <c r="J246" s="62" t="s">
        <v>107</v>
      </c>
      <c r="K246" s="63" t="b">
        <v>0</v>
      </c>
      <c r="L246" s="21"/>
      <c r="M246" s="62" t="s">
        <v>3028</v>
      </c>
      <c r="N246" s="62" t="s">
        <v>33</v>
      </c>
      <c r="O246" s="62" t="s">
        <v>3028</v>
      </c>
      <c r="P246" s="62" t="s">
        <v>33</v>
      </c>
      <c r="Q246" s="63" t="s">
        <v>3033</v>
      </c>
      <c r="R246" s="63" t="s">
        <v>3033</v>
      </c>
      <c r="S246" s="63" t="s">
        <v>3033</v>
      </c>
      <c r="T246" s="21"/>
      <c r="U246" s="21"/>
      <c r="V246" s="62" t="s">
        <v>891</v>
      </c>
      <c r="W246" s="62" t="s">
        <v>3082</v>
      </c>
      <c r="X246" s="21"/>
      <c r="Y246" s="21"/>
      <c r="Z246" s="21"/>
      <c r="AA246" s="21"/>
      <c r="AB246" s="21"/>
      <c r="AC246" s="62" t="s">
        <v>889</v>
      </c>
      <c r="AD246" s="62" t="s">
        <v>3037</v>
      </c>
      <c r="AE246" s="62" t="s">
        <v>3229</v>
      </c>
      <c r="AF246" s="62" t="s">
        <v>3540</v>
      </c>
      <c r="AG246" s="62" t="s">
        <v>3231</v>
      </c>
      <c r="AH246" s="62" t="s">
        <v>53</v>
      </c>
      <c r="AI246" s="63" t="s">
        <v>3033</v>
      </c>
    </row>
    <row r="247" ht="21.75" customHeight="1">
      <c r="A247" s="62" t="s">
        <v>4612</v>
      </c>
      <c r="B247" s="62" t="s">
        <v>3028</v>
      </c>
      <c r="C247" s="62" t="s">
        <v>33</v>
      </c>
      <c r="D247" s="62" t="s">
        <v>4613</v>
      </c>
      <c r="E247" s="62" t="s">
        <v>4614</v>
      </c>
      <c r="F247" s="62" t="s">
        <v>899</v>
      </c>
      <c r="G247" s="62" t="s">
        <v>4615</v>
      </c>
      <c r="H247" s="62" t="s">
        <v>82</v>
      </c>
      <c r="I247" s="21"/>
      <c r="J247" s="21"/>
      <c r="K247" s="63" t="b">
        <v>0</v>
      </c>
      <c r="L247" s="21"/>
      <c r="M247" s="62" t="s">
        <v>3028</v>
      </c>
      <c r="N247" s="62" t="s">
        <v>33</v>
      </c>
      <c r="O247" s="62" t="s">
        <v>3028</v>
      </c>
      <c r="P247" s="62" t="s">
        <v>33</v>
      </c>
      <c r="Q247" s="63" t="s">
        <v>3033</v>
      </c>
      <c r="R247" s="63" t="s">
        <v>3033</v>
      </c>
      <c r="S247" s="63" t="s">
        <v>3033</v>
      </c>
      <c r="T247" s="21"/>
      <c r="U247" s="21"/>
      <c r="V247" s="62" t="s">
        <v>898</v>
      </c>
      <c r="W247" s="62" t="s">
        <v>3036</v>
      </c>
      <c r="X247" s="21"/>
      <c r="Y247" s="21"/>
      <c r="Z247" s="21"/>
      <c r="AA247" s="21"/>
      <c r="AB247" s="21"/>
      <c r="AC247" s="62" t="s">
        <v>900</v>
      </c>
      <c r="AD247" s="62" t="s">
        <v>3530</v>
      </c>
      <c r="AE247" s="62" t="s">
        <v>4619</v>
      </c>
      <c r="AF247" s="62" t="s">
        <v>4620</v>
      </c>
      <c r="AG247" s="62" t="s">
        <v>4621</v>
      </c>
      <c r="AH247" s="62" t="s">
        <v>53</v>
      </c>
      <c r="AI247" s="65">
        <v>46025.0</v>
      </c>
    </row>
    <row r="248" ht="21.75" customHeight="1">
      <c r="A248" s="62" t="s">
        <v>4622</v>
      </c>
      <c r="B248" s="62" t="s">
        <v>3028</v>
      </c>
      <c r="C248" s="62" t="s">
        <v>33</v>
      </c>
      <c r="D248" s="62" t="s">
        <v>4623</v>
      </c>
      <c r="E248" s="62" t="s">
        <v>4624</v>
      </c>
      <c r="F248" s="21"/>
      <c r="G248" s="62" t="s">
        <v>4615</v>
      </c>
      <c r="H248" s="62" t="s">
        <v>82</v>
      </c>
      <c r="I248" s="21"/>
      <c r="J248" s="21"/>
      <c r="K248" s="63" t="b">
        <v>0</v>
      </c>
      <c r="L248" s="21"/>
      <c r="M248" s="62" t="s">
        <v>3028</v>
      </c>
      <c r="N248" s="62" t="s">
        <v>33</v>
      </c>
      <c r="O248" s="62" t="s">
        <v>3028</v>
      </c>
      <c r="P248" s="62" t="s">
        <v>33</v>
      </c>
      <c r="Q248" s="63" t="s">
        <v>3033</v>
      </c>
      <c r="R248" s="63" t="s">
        <v>3033</v>
      </c>
      <c r="S248" s="63" t="s">
        <v>3033</v>
      </c>
      <c r="T248" s="21"/>
      <c r="U248" s="21"/>
      <c r="V248" s="62" t="s">
        <v>906</v>
      </c>
      <c r="W248" s="62" t="s">
        <v>3036</v>
      </c>
      <c r="X248" s="21"/>
      <c r="Y248" s="21"/>
      <c r="Z248" s="21"/>
      <c r="AA248" s="21"/>
      <c r="AB248" s="21"/>
      <c r="AC248" s="62" t="s">
        <v>907</v>
      </c>
      <c r="AD248" s="62" t="s">
        <v>3530</v>
      </c>
      <c r="AE248" s="62" t="s">
        <v>4619</v>
      </c>
      <c r="AF248" s="62" t="s">
        <v>4620</v>
      </c>
      <c r="AG248" s="62" t="s">
        <v>4621</v>
      </c>
      <c r="AH248" s="62" t="s">
        <v>3525</v>
      </c>
      <c r="AI248" s="65">
        <v>46025.0</v>
      </c>
    </row>
    <row r="249" ht="21.75" customHeight="1">
      <c r="A249" s="62" t="s">
        <v>4628</v>
      </c>
      <c r="B249" s="62" t="s">
        <v>3028</v>
      </c>
      <c r="C249" s="62" t="s">
        <v>33</v>
      </c>
      <c r="D249" s="62" t="s">
        <v>3080</v>
      </c>
      <c r="E249" s="62" t="s">
        <v>4629</v>
      </c>
      <c r="F249" s="62" t="s">
        <v>913</v>
      </c>
      <c r="G249" s="62" t="s">
        <v>4630</v>
      </c>
      <c r="H249" s="62" t="s">
        <v>313</v>
      </c>
      <c r="I249" s="21"/>
      <c r="J249" s="21"/>
      <c r="K249" s="63" t="b">
        <v>0</v>
      </c>
      <c r="L249" s="21"/>
      <c r="M249" s="62" t="s">
        <v>3028</v>
      </c>
      <c r="N249" s="62" t="s">
        <v>33</v>
      </c>
      <c r="O249" s="62" t="s">
        <v>3028</v>
      </c>
      <c r="P249" s="62" t="s">
        <v>33</v>
      </c>
      <c r="Q249" s="63" t="s">
        <v>3033</v>
      </c>
      <c r="R249" s="63" t="s">
        <v>3033</v>
      </c>
      <c r="S249" s="63" t="s">
        <v>3033</v>
      </c>
      <c r="T249" s="21"/>
      <c r="U249" s="21"/>
      <c r="V249" s="62" t="s">
        <v>912</v>
      </c>
      <c r="W249" s="62" t="s">
        <v>3036</v>
      </c>
      <c r="X249" s="21"/>
      <c r="Y249" s="21"/>
      <c r="Z249" s="21"/>
      <c r="AA249" s="21"/>
      <c r="AB249" s="21"/>
      <c r="AC249" s="62" t="s">
        <v>914</v>
      </c>
      <c r="AD249" s="62" t="s">
        <v>3530</v>
      </c>
      <c r="AE249" s="62" t="s">
        <v>4631</v>
      </c>
      <c r="AF249" s="62" t="s">
        <v>4632</v>
      </c>
      <c r="AG249" s="62" t="s">
        <v>4621</v>
      </c>
      <c r="AH249" s="62" t="s">
        <v>53</v>
      </c>
      <c r="AI249" s="65">
        <v>46025.0</v>
      </c>
    </row>
    <row r="250" ht="21.75" customHeight="1">
      <c r="A250" s="62" t="s">
        <v>4635</v>
      </c>
      <c r="B250" s="62" t="s">
        <v>3028</v>
      </c>
      <c r="C250" s="62" t="s">
        <v>33</v>
      </c>
      <c r="D250" s="62" t="s">
        <v>4637</v>
      </c>
      <c r="E250" s="62" t="s">
        <v>3742</v>
      </c>
      <c r="F250" s="62" t="s">
        <v>920</v>
      </c>
      <c r="G250" s="62" t="s">
        <v>4638</v>
      </c>
      <c r="H250" s="62" t="s">
        <v>921</v>
      </c>
      <c r="J250" s="21"/>
      <c r="K250" s="63" t="b">
        <v>0</v>
      </c>
      <c r="L250" s="21"/>
      <c r="M250" s="62" t="s">
        <v>3028</v>
      </c>
      <c r="N250" s="62" t="s">
        <v>33</v>
      </c>
      <c r="O250" s="62" t="s">
        <v>3028</v>
      </c>
      <c r="P250" s="62" t="s">
        <v>33</v>
      </c>
      <c r="Q250" s="63" t="s">
        <v>3033</v>
      </c>
      <c r="R250" s="63" t="s">
        <v>3033</v>
      </c>
      <c r="S250" s="63" t="s">
        <v>3033</v>
      </c>
      <c r="T250" s="21"/>
      <c r="U250" s="21"/>
      <c r="V250" s="62" t="s">
        <v>919</v>
      </c>
      <c r="W250" s="62" t="s">
        <v>3036</v>
      </c>
      <c r="X250" s="21"/>
      <c r="Y250" s="21"/>
      <c r="Z250" s="21"/>
      <c r="AA250" s="21"/>
      <c r="AB250" s="21"/>
      <c r="AC250" s="21"/>
      <c r="AD250" s="62" t="s">
        <v>4639</v>
      </c>
      <c r="AE250" s="62" t="s">
        <v>4640</v>
      </c>
      <c r="AF250" s="62" t="s">
        <v>4641</v>
      </c>
      <c r="AG250" s="62" t="s">
        <v>4642</v>
      </c>
      <c r="AH250" s="62" t="s">
        <v>3525</v>
      </c>
      <c r="AI250" s="65">
        <v>46025.0</v>
      </c>
    </row>
    <row r="251" ht="21.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row>
    <row r="252" ht="21.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row>
    <row r="253" ht="21.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row>
    <row r="254" ht="21.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row>
    <row r="255" ht="21.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row>
    <row r="256" ht="21.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row>
    <row r="257" ht="21.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row>
    <row r="258" ht="21.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row>
    <row r="259" ht="21.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row>
    <row r="260" ht="21.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row>
    <row r="261" ht="21.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row>
    <row r="262" ht="21.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row>
    <row r="263" ht="21.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row>
    <row r="264" ht="21.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row>
    <row r="265" ht="21.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row>
    <row r="266" ht="21.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row>
    <row r="267" ht="21.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row>
    <row r="268" ht="21.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row>
    <row r="269" ht="21.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row>
    <row r="270" ht="21.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row>
    <row r="271" ht="21.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row>
    <row r="272" ht="21.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row>
    <row r="273" ht="21.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row>
    <row r="274" ht="21.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row>
    <row r="275" ht="21.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row>
    <row r="276" ht="21.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row>
    <row r="277" ht="21.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row>
    <row r="278" ht="21.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row>
    <row r="279" ht="21.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row>
    <row r="280" ht="21.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row>
    <row r="281" ht="21.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row>
    <row r="282" ht="21.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row>
    <row r="283" ht="21.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row>
    <row r="284" ht="21.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row>
    <row r="285" ht="21.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row>
    <row r="286" ht="21.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row>
    <row r="287" ht="21.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row>
    <row r="288" ht="21.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row>
    <row r="289" ht="21.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row>
    <row r="290" ht="21.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row>
    <row r="291" ht="21.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row>
    <row r="292" ht="21.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row>
    <row r="293" ht="21.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row>
    <row r="294" ht="21.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row>
    <row r="295" ht="21.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row>
    <row r="296" ht="21.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row>
    <row r="297" ht="21.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row>
    <row r="298" ht="21.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row>
    <row r="299" ht="21.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row>
    <row r="300" ht="21.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row>
    <row r="301" ht="21.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row>
    <row r="302" ht="21.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row>
    <row r="303" ht="21.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row>
    <row r="304" ht="21.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row>
    <row r="305" ht="21.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row>
    <row r="306" ht="21.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row>
    <row r="307" ht="21.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row>
    <row r="308" ht="21.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row>
    <row r="309" ht="21.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row>
    <row r="310" ht="21.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row>
    <row r="311" ht="21.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row>
    <row r="312" ht="21.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row>
    <row r="313" ht="21.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row>
    <row r="314" ht="21.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row>
    <row r="315" ht="21.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row>
    <row r="316" ht="21.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row>
    <row r="317" ht="21.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row>
    <row r="318" ht="21.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row>
    <row r="319" ht="21.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row>
    <row r="320" ht="21.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row>
    <row r="321" ht="21.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row>
    <row r="322" ht="21.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row>
    <row r="323" ht="21.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row>
    <row r="324" ht="21.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row>
    <row r="325" ht="21.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row>
    <row r="326" ht="21.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row>
    <row r="327" ht="21.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row>
    <row r="328" ht="21.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row>
    <row r="329" ht="21.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row>
    <row r="330" ht="21.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row>
    <row r="331" ht="21.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row>
    <row r="332" ht="21.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row>
    <row r="333" ht="21.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row>
    <row r="334" ht="21.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row>
    <row r="335" ht="21.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row>
    <row r="336" ht="21.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row>
    <row r="337" ht="21.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row>
    <row r="338" ht="21.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row>
    <row r="339" ht="21.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row>
    <row r="340" ht="21.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row>
    <row r="341" ht="21.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row>
    <row r="342" ht="21.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row>
    <row r="343" ht="21.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row>
    <row r="344" ht="21.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row>
    <row r="345" ht="21.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row>
    <row r="346" ht="21.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row>
    <row r="347" ht="21.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row>
    <row r="348" ht="21.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row>
    <row r="349" ht="21.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row>
    <row r="350" ht="21.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row>
    <row r="351" ht="21.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row>
    <row r="352" ht="21.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row>
    <row r="353" ht="21.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row>
    <row r="354" ht="21.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row>
    <row r="355" ht="21.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row>
    <row r="356" ht="21.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row>
    <row r="357" ht="21.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row>
    <row r="358" ht="21.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row>
    <row r="359" ht="21.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row>
    <row r="360" ht="21.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row>
    <row r="361" ht="21.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row>
    <row r="362" ht="21.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row>
    <row r="363" ht="21.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row>
    <row r="364" ht="21.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row>
    <row r="365" ht="21.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row>
    <row r="366" ht="21.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row>
    <row r="367" ht="21.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row>
    <row r="368" ht="21.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row>
    <row r="369" ht="21.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row>
    <row r="370" ht="21.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row>
    <row r="371" ht="21.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row>
    <row r="372" ht="21.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row>
    <row r="373" ht="21.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row>
    <row r="374" ht="21.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row>
    <row r="375" ht="21.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row>
    <row r="376" ht="21.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row>
    <row r="377" ht="21.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row>
    <row r="378" ht="21.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row>
    <row r="379" ht="21.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row>
    <row r="380" ht="21.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row>
    <row r="381" ht="21.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row>
    <row r="382" ht="21.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row>
    <row r="383" ht="21.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row>
    <row r="384" ht="21.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row>
    <row r="385" ht="21.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row>
    <row r="386" ht="21.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row>
    <row r="387" ht="21.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row>
    <row r="388" ht="21.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row>
    <row r="389" ht="21.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row>
    <row r="390" ht="21.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row>
    <row r="391" ht="21.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row>
    <row r="392" ht="21.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row>
    <row r="393" ht="21.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row>
    <row r="394" ht="21.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row>
    <row r="395" ht="21.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row>
    <row r="396" ht="21.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row>
    <row r="397" ht="21.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row>
    <row r="398" ht="21.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row>
    <row r="399" ht="21.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row>
    <row r="400" ht="21.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row>
    <row r="401" ht="21.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row>
    <row r="402" ht="21.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row>
    <row r="403" ht="21.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row>
    <row r="404" ht="21.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row>
    <row r="405" ht="21.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row>
    <row r="406" ht="21.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row>
    <row r="407" ht="21.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row>
    <row r="408" ht="21.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row>
    <row r="409" ht="21.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row>
    <row r="410" ht="21.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row>
    <row r="411" ht="21.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row>
    <row r="412" ht="21.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row>
    <row r="413" ht="21.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row>
    <row r="414" ht="21.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row>
    <row r="415" ht="21.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row>
    <row r="416" ht="21.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row>
    <row r="417" ht="21.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row>
    <row r="418" ht="21.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row>
    <row r="419" ht="21.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row>
    <row r="420" ht="21.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row>
    <row r="421" ht="21.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row>
    <row r="422" ht="21.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row>
    <row r="423" ht="21.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row>
    <row r="424" ht="21.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row>
    <row r="425" ht="21.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row>
    <row r="426" ht="21.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row>
    <row r="427" ht="21.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row>
    <row r="428" ht="21.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row>
    <row r="429" ht="21.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row>
    <row r="430" ht="21.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row>
    <row r="431" ht="21.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row>
    <row r="432" ht="21.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row>
    <row r="433" ht="21.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row>
    <row r="434" ht="21.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row>
    <row r="435" ht="21.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row>
    <row r="436" ht="21.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row>
    <row r="437" ht="21.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row>
    <row r="438" ht="21.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row>
    <row r="439" ht="21.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row>
    <row r="440" ht="21.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row>
    <row r="441" ht="21.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row>
    <row r="442" ht="21.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row>
    <row r="443" ht="21.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row>
    <row r="444" ht="21.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row>
    <row r="445" ht="21.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row>
    <row r="446" ht="21.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row>
    <row r="447" ht="21.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row>
    <row r="448" ht="21.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row>
    <row r="449" ht="21.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row>
    <row r="450" ht="21.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row>
    <row r="451" ht="21.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row>
    <row r="452" ht="21.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row>
    <row r="453" ht="21.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row>
    <row r="454" ht="21.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row>
    <row r="455" ht="21.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row>
    <row r="456" ht="21.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row>
    <row r="457" ht="21.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row>
    <row r="458" ht="21.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row>
    <row r="459" ht="21.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row>
    <row r="460" ht="21.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row>
    <row r="461" ht="21.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row>
    <row r="462" ht="21.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row>
    <row r="463" ht="21.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row>
    <row r="464" ht="21.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row>
    <row r="465" ht="21.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row>
    <row r="466" ht="21.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row>
    <row r="467" ht="21.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row>
    <row r="468" ht="21.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row>
    <row r="469" ht="21.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row>
    <row r="470" ht="21.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row>
    <row r="471" ht="21.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row>
    <row r="472" ht="21.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row>
    <row r="473" ht="21.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row>
    <row r="474" ht="21.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row>
    <row r="475" ht="21.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row>
    <row r="476" ht="21.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row>
    <row r="477" ht="21.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row>
    <row r="478" ht="21.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row>
    <row r="479" ht="21.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row>
    <row r="480" ht="21.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row>
    <row r="481" ht="21.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row>
    <row r="482" ht="21.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row>
    <row r="483" ht="21.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row>
    <row r="484" ht="21.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row>
    <row r="485" ht="21.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row>
    <row r="486" ht="21.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row>
    <row r="487" ht="21.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row>
    <row r="488" ht="21.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row>
    <row r="489" ht="21.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row>
    <row r="490" ht="21.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row>
    <row r="491" ht="21.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row>
    <row r="492" ht="21.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row>
    <row r="493" ht="21.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row>
    <row r="494" ht="21.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row>
    <row r="495" ht="21.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row>
    <row r="496" ht="21.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row>
    <row r="497" ht="21.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row>
    <row r="498" ht="21.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row>
    <row r="499" ht="21.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row>
    <row r="500" ht="21.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row>
    <row r="501" ht="21.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row>
    <row r="502" ht="21.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row>
    <row r="503" ht="21.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row>
    <row r="504" ht="21.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row>
    <row r="505" ht="21.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row>
    <row r="506" ht="21.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row>
    <row r="507" ht="21.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row>
    <row r="508" ht="21.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row>
    <row r="509" ht="21.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row>
    <row r="510" ht="21.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row>
    <row r="511" ht="21.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row>
    <row r="512" ht="21.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row>
    <row r="513" ht="21.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row>
    <row r="514" ht="21.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row>
    <row r="515" ht="21.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row>
    <row r="516" ht="21.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row>
    <row r="517" ht="21.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row>
    <row r="518" ht="21.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row>
    <row r="519" ht="21.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row>
    <row r="520" ht="21.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row>
    <row r="521" ht="21.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row>
    <row r="522" ht="21.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row>
    <row r="523" ht="21.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row>
    <row r="524" ht="21.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row>
    <row r="525" ht="21.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row>
    <row r="526" ht="21.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row>
    <row r="527" ht="21.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row>
    <row r="528" ht="21.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row>
    <row r="529" ht="21.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row>
    <row r="530" ht="21.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row>
    <row r="531" ht="21.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row>
    <row r="532" ht="21.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row>
    <row r="533" ht="21.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row>
    <row r="534" ht="21.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row>
    <row r="535" ht="21.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row>
    <row r="536" ht="21.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row>
    <row r="537" ht="21.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row>
    <row r="538" ht="21.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row>
    <row r="539" ht="21.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row>
    <row r="540" ht="21.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row>
    <row r="541" ht="21.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row>
    <row r="542" ht="21.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row>
    <row r="543" ht="21.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row>
    <row r="544" ht="21.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row>
    <row r="545" ht="21.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row>
    <row r="546" ht="21.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row>
    <row r="547" ht="21.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row>
    <row r="548" ht="21.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row>
    <row r="549" ht="21.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row>
    <row r="550" ht="21.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row>
    <row r="551" ht="21.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row>
    <row r="552" ht="21.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row>
    <row r="553" ht="21.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row>
    <row r="554" ht="21.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row>
    <row r="555" ht="21.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row>
    <row r="556" ht="21.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row>
    <row r="557" ht="21.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row>
    <row r="558" ht="21.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row>
    <row r="559" ht="21.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row>
    <row r="560" ht="21.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row>
    <row r="561" ht="21.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row>
    <row r="562" ht="21.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row>
    <row r="563" ht="21.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row>
    <row r="564" ht="21.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row>
    <row r="565" ht="21.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row>
    <row r="566" ht="21.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row>
    <row r="567" ht="21.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row>
    <row r="568" ht="21.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row>
    <row r="569" ht="21.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row>
    <row r="570" ht="21.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row>
    <row r="571" ht="21.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row>
    <row r="572" ht="21.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row>
    <row r="573" ht="21.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row>
    <row r="574" ht="21.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row>
    <row r="575" ht="21.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row>
    <row r="576" ht="21.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row>
    <row r="577" ht="21.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row>
    <row r="578" ht="21.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row>
    <row r="579" ht="21.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row>
    <row r="580" ht="21.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row>
    <row r="581" ht="21.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row>
    <row r="582" ht="21.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row>
    <row r="583" ht="21.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row>
    <row r="584" ht="21.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row>
    <row r="585" ht="21.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row>
    <row r="586" ht="21.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row>
    <row r="587" ht="21.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row>
    <row r="588" ht="21.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row>
    <row r="589" ht="21.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row>
    <row r="590" ht="21.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row>
    <row r="591" ht="21.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row>
    <row r="592" ht="21.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row>
    <row r="593" ht="21.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row>
    <row r="594" ht="21.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row>
    <row r="595" ht="21.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row>
    <row r="596" ht="21.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row>
    <row r="597" ht="21.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row>
    <row r="598" ht="21.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row>
    <row r="599" ht="21.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row>
    <row r="600" ht="21.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row>
    <row r="601" ht="21.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row>
    <row r="602" ht="21.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row>
    <row r="603" ht="21.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row>
    <row r="604" ht="21.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row>
    <row r="605" ht="21.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row>
    <row r="606" ht="21.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row>
    <row r="607" ht="21.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row>
    <row r="608" ht="21.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row>
    <row r="609" ht="21.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row>
    <row r="610" ht="21.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row>
    <row r="611" ht="21.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row>
    <row r="612" ht="21.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row>
    <row r="613" ht="21.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row>
    <row r="614" ht="21.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row>
    <row r="615" ht="21.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row>
    <row r="616" ht="21.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row>
    <row r="617" ht="21.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row>
    <row r="618" ht="21.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row>
    <row r="619" ht="21.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row>
    <row r="620" ht="21.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row>
    <row r="621" ht="21.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row>
    <row r="622" ht="21.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row>
    <row r="623" ht="21.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row>
    <row r="624" ht="21.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row>
    <row r="625" ht="21.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row>
    <row r="626" ht="21.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row>
    <row r="627" ht="21.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row>
    <row r="628" ht="21.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row>
    <row r="629" ht="21.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row>
    <row r="630" ht="21.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row>
    <row r="631" ht="21.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row>
    <row r="632" ht="21.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row>
    <row r="633" ht="21.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row>
    <row r="634" ht="21.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row>
    <row r="635" ht="21.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row>
    <row r="636" ht="21.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row>
    <row r="637" ht="21.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row>
    <row r="638" ht="21.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row>
    <row r="639" ht="21.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row>
    <row r="640" ht="21.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row>
    <row r="641" ht="21.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row>
    <row r="642" ht="21.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row>
    <row r="643" ht="21.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row>
    <row r="644" ht="21.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row>
    <row r="645" ht="21.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row>
    <row r="646" ht="21.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row>
    <row r="647" ht="21.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row>
    <row r="648" ht="21.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row>
    <row r="649" ht="21.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row>
    <row r="650" ht="21.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row>
    <row r="651" ht="21.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row>
    <row r="652" ht="21.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row>
    <row r="653" ht="21.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row>
    <row r="654" ht="21.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row>
    <row r="655" ht="21.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row>
    <row r="656" ht="21.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row>
    <row r="657" ht="21.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row>
    <row r="658" ht="21.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row>
    <row r="659" ht="21.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row>
    <row r="660" ht="21.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row>
    <row r="661" ht="21.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row>
    <row r="662" ht="21.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row>
    <row r="663" ht="21.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row>
    <row r="664" ht="21.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row>
    <row r="665" ht="21.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row>
    <row r="666" ht="21.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row>
    <row r="667" ht="21.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row>
    <row r="668" ht="21.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row>
    <row r="669" ht="21.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row>
    <row r="670" ht="21.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row>
    <row r="671" ht="21.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row>
    <row r="672" ht="21.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row>
    <row r="673" ht="21.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row>
    <row r="674" ht="21.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row>
    <row r="675" ht="21.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row>
    <row r="676" ht="21.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row>
    <row r="677" ht="21.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row>
    <row r="678" ht="21.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row>
    <row r="679" ht="21.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row>
    <row r="680" ht="21.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row>
    <row r="681" ht="21.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row>
    <row r="682" ht="21.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row>
    <row r="683" ht="21.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row>
    <row r="684" ht="21.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row>
    <row r="685" ht="21.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row>
    <row r="686" ht="21.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row>
    <row r="687" ht="21.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row>
    <row r="688" ht="21.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row>
    <row r="689" ht="21.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row>
    <row r="690" ht="21.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row>
    <row r="691" ht="21.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row>
    <row r="692" ht="21.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row>
    <row r="693" ht="21.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row>
    <row r="694" ht="21.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row>
    <row r="695" ht="21.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row>
    <row r="696" ht="21.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row>
    <row r="697" ht="21.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row>
    <row r="698" ht="21.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row>
    <row r="699" ht="21.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row>
    <row r="700" ht="21.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row>
    <row r="701" ht="21.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row>
    <row r="702" ht="21.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row>
    <row r="703" ht="21.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row>
    <row r="704" ht="21.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row>
    <row r="705" ht="21.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row>
    <row r="706" ht="21.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row>
    <row r="707" ht="21.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row>
    <row r="708" ht="21.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row>
    <row r="709" ht="21.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row>
    <row r="710" ht="21.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row>
    <row r="711" ht="21.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row>
    <row r="712" ht="21.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row>
    <row r="713" ht="21.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row>
    <row r="714" ht="21.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row>
    <row r="715" ht="21.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row>
    <row r="716" ht="21.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row>
    <row r="717" ht="21.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row>
    <row r="718" ht="21.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row>
    <row r="719" ht="21.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row>
    <row r="720" ht="21.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row>
    <row r="721" ht="21.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row>
    <row r="722" ht="21.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row>
    <row r="723" ht="21.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row>
    <row r="724" ht="21.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row>
    <row r="725" ht="21.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row>
    <row r="726" ht="21.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row>
    <row r="727" ht="21.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row>
    <row r="728" ht="21.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row>
    <row r="729" ht="21.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row>
    <row r="730" ht="21.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row>
    <row r="731" ht="21.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row>
    <row r="732" ht="21.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row>
    <row r="733" ht="21.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row>
    <row r="734" ht="21.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row>
    <row r="735" ht="21.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row>
    <row r="736" ht="21.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row>
    <row r="737" ht="21.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row>
    <row r="738" ht="21.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row>
    <row r="739" ht="21.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row>
    <row r="740" ht="21.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row>
    <row r="741" ht="21.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row>
    <row r="742" ht="21.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row>
    <row r="743" ht="21.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row>
    <row r="744" ht="21.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row>
    <row r="745" ht="21.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row>
    <row r="746" ht="21.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row>
    <row r="747" ht="21.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row>
    <row r="748" ht="21.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row>
    <row r="749" ht="21.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row>
    <row r="750" ht="21.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row>
    <row r="751" ht="21.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row>
    <row r="752" ht="21.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row>
    <row r="753" ht="21.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row>
    <row r="754" ht="21.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row>
    <row r="755" ht="21.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row>
    <row r="756" ht="21.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row>
    <row r="757" ht="21.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row>
    <row r="758" ht="21.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row>
    <row r="759" ht="21.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row>
    <row r="760" ht="21.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row>
    <row r="761" ht="21.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row>
    <row r="762" ht="21.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row>
    <row r="763" ht="21.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row>
    <row r="764" ht="21.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row>
    <row r="765" ht="21.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row>
    <row r="766" ht="21.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row>
    <row r="767" ht="21.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row>
    <row r="768" ht="21.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row>
    <row r="769" ht="21.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row>
    <row r="770" ht="21.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row>
    <row r="771" ht="21.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row>
    <row r="772" ht="21.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row>
    <row r="773" ht="21.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row>
    <row r="774" ht="21.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row>
    <row r="775" ht="21.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row>
    <row r="776" ht="21.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row>
    <row r="777" ht="21.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row>
    <row r="778" ht="21.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row>
    <row r="779" ht="21.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row>
    <row r="780" ht="21.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row>
    <row r="781" ht="21.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row>
    <row r="782" ht="21.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row>
    <row r="783" ht="21.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row>
    <row r="784" ht="21.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row>
    <row r="785" ht="21.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row>
    <row r="786" ht="21.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row>
    <row r="787" ht="21.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row>
    <row r="788" ht="21.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row>
    <row r="789" ht="21.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row>
    <row r="790" ht="21.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row>
    <row r="791" ht="21.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row>
    <row r="792" ht="21.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row>
    <row r="793" ht="21.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row>
    <row r="794" ht="21.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row>
    <row r="795" ht="21.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row>
    <row r="796" ht="21.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row>
    <row r="797" ht="21.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row>
    <row r="798" ht="21.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row>
    <row r="799" ht="21.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row>
    <row r="800" ht="21.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row>
    <row r="801" ht="21.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row>
    <row r="802" ht="21.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row>
    <row r="803" ht="21.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row>
    <row r="804" ht="21.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row>
    <row r="805" ht="21.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row>
    <row r="806" ht="21.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row>
    <row r="807" ht="21.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row>
    <row r="808" ht="21.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row>
    <row r="809" ht="21.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row>
    <row r="810" ht="21.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row>
    <row r="811" ht="21.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row>
    <row r="812" ht="21.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row>
    <row r="813" ht="21.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row>
    <row r="814" ht="21.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row>
    <row r="815" ht="21.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row>
    <row r="816" ht="21.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row>
    <row r="817" ht="21.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row>
    <row r="818" ht="21.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row>
    <row r="819" ht="21.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row>
    <row r="820" ht="21.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row>
    <row r="821" ht="21.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row>
    <row r="822" ht="21.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row>
    <row r="823" ht="21.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row>
    <row r="824" ht="21.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row>
    <row r="825" ht="21.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row>
    <row r="826" ht="21.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row>
    <row r="827" ht="21.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row>
    <row r="828" ht="21.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row>
    <row r="829" ht="21.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row>
    <row r="830" ht="21.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row>
    <row r="831" ht="21.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row>
    <row r="832" ht="21.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row>
    <row r="833" ht="21.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row>
    <row r="834" ht="21.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row>
    <row r="835" ht="21.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row>
    <row r="836" ht="21.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row>
    <row r="837" ht="21.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row>
    <row r="838" ht="21.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row>
    <row r="839" ht="21.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row>
    <row r="840" ht="21.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row>
    <row r="841" ht="21.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row>
    <row r="842" ht="21.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row>
    <row r="843" ht="21.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row>
    <row r="844" ht="21.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row>
    <row r="845" ht="21.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row>
    <row r="846" ht="21.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row>
    <row r="847" ht="21.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row>
    <row r="848" ht="21.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row>
    <row r="849" ht="21.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row>
    <row r="850" ht="21.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row>
    <row r="851" ht="21.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row>
    <row r="852" ht="21.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row>
    <row r="853" ht="21.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row>
    <row r="854" ht="21.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row>
    <row r="855" ht="21.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row>
    <row r="856" ht="21.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row>
    <row r="857" ht="21.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row>
    <row r="858" ht="21.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row>
    <row r="859" ht="21.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row>
    <row r="860" ht="21.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row>
    <row r="861" ht="21.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row>
    <row r="862" ht="21.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row>
    <row r="863" ht="21.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row>
    <row r="864" ht="21.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row>
    <row r="865" ht="21.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row>
    <row r="866" ht="21.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row>
    <row r="867" ht="21.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row>
    <row r="868" ht="21.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row>
    <row r="869" ht="21.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row>
    <row r="870" ht="21.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row>
    <row r="871" ht="21.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row>
    <row r="872" ht="21.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row>
    <row r="873" ht="21.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row>
    <row r="874" ht="21.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row>
    <row r="875" ht="21.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row>
    <row r="876" ht="21.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row>
    <row r="877" ht="21.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row>
    <row r="878" ht="21.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row>
    <row r="879" ht="21.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row>
    <row r="880" ht="21.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row>
    <row r="881" ht="21.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row>
    <row r="882" ht="21.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row>
    <row r="883" ht="21.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row>
    <row r="884" ht="21.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row>
    <row r="885" ht="21.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row>
    <row r="886" ht="21.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row>
    <row r="887" ht="21.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row>
    <row r="888" ht="21.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row>
    <row r="889" ht="21.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row>
    <row r="890" ht="21.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row>
    <row r="891" ht="21.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row>
    <row r="892" ht="21.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row>
    <row r="893" ht="21.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row>
    <row r="894" ht="21.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row>
    <row r="895" ht="21.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row>
    <row r="896" ht="21.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row>
    <row r="897" ht="21.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row>
    <row r="898" ht="21.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row>
    <row r="899" ht="21.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row>
    <row r="900" ht="21.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row>
    <row r="901" ht="21.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row>
    <row r="902" ht="21.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row>
    <row r="903" ht="21.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row>
    <row r="904" ht="21.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row>
    <row r="905" ht="21.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row>
    <row r="906" ht="21.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row>
    <row r="907" ht="21.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row>
    <row r="908" ht="21.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row>
    <row r="909" ht="21.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row>
    <row r="910" ht="21.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row>
    <row r="911" ht="21.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row>
    <row r="912" ht="21.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row>
    <row r="913" ht="21.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row>
    <row r="914" ht="21.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row>
    <row r="915" ht="21.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row>
    <row r="916" ht="21.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row>
    <row r="917" ht="21.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row>
    <row r="918" ht="21.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row>
    <row r="919" ht="21.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row>
    <row r="920" ht="21.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row>
    <row r="921" ht="21.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row>
    <row r="922" ht="21.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row>
    <row r="923" ht="21.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row>
    <row r="924" ht="21.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row>
    <row r="925" ht="21.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row>
    <row r="926" ht="21.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row>
    <row r="927" ht="21.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row>
    <row r="928" ht="21.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row>
    <row r="929" ht="21.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row>
    <row r="930" ht="21.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row>
    <row r="931" ht="21.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row>
    <row r="932" ht="21.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row>
    <row r="933" ht="21.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row>
    <row r="934" ht="21.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row>
    <row r="935" ht="21.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row>
    <row r="936" ht="21.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row>
    <row r="937" ht="21.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row>
    <row r="938" ht="21.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row>
    <row r="939" ht="21.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row>
    <row r="940" ht="21.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row>
    <row r="941" ht="21.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row>
    <row r="942" ht="21.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row>
    <row r="943" ht="21.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row>
    <row r="944" ht="21.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row>
    <row r="945" ht="21.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row>
    <row r="946" ht="21.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row>
    <row r="947" ht="21.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row>
    <row r="948" ht="21.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row>
    <row r="949" ht="21.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row>
    <row r="950" ht="21.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row>
    <row r="951" ht="21.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row>
    <row r="952" ht="21.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row>
    <row r="953" ht="21.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row>
    <row r="954" ht="21.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row>
    <row r="955" ht="21.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row>
    <row r="956" ht="21.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row>
    <row r="957" ht="21.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row>
    <row r="958" ht="21.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row>
    <row r="959" ht="21.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row>
    <row r="960" ht="21.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row>
    <row r="961" ht="21.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row>
    <row r="962" ht="21.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row>
    <row r="963" ht="21.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row>
    <row r="964" ht="21.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row>
    <row r="965" ht="21.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row>
    <row r="966" ht="21.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row>
    <row r="967" ht="21.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row>
    <row r="968" ht="21.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row>
    <row r="969" ht="21.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row>
    <row r="970" ht="21.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row>
    <row r="971" ht="21.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row>
    <row r="972" ht="21.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row>
    <row r="973" ht="21.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row>
    <row r="974" ht="21.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row>
    <row r="975" ht="21.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row>
    <row r="976" ht="21.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row>
    <row r="977" ht="21.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row>
    <row r="978" ht="21.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row>
    <row r="979" ht="21.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row>
    <row r="980" ht="21.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row>
    <row r="981" ht="21.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row>
    <row r="982" ht="21.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row>
    <row r="983" ht="21.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row>
    <row r="984" ht="21.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row>
    <row r="985" ht="21.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row>
    <row r="986" ht="21.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row>
    <row r="987" ht="21.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row>
    <row r="988" ht="21.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row>
    <row r="989" ht="21.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row>
    <row r="990" ht="21.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row>
    <row r="991" ht="21.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row>
    <row r="992" ht="21.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row>
    <row r="993" ht="21.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row>
    <row r="994" ht="21.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row>
    <row r="995" ht="21.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row>
    <row r="996" ht="21.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row>
    <row r="997" ht="21.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row>
    <row r="998" ht="21.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row>
    <row r="999" ht="21.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row>
    <row r="1000" ht="21.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row>
  </sheetData>
  <mergeCells count="126">
    <mergeCell ref="AH2:AI2"/>
    <mergeCell ref="AH4:AI4"/>
    <mergeCell ref="AH5:AI5"/>
    <mergeCell ref="AH6:AI6"/>
    <mergeCell ref="AH7:AI7"/>
    <mergeCell ref="AH8:AI8"/>
    <mergeCell ref="AH9:AI9"/>
    <mergeCell ref="AH10:AI10"/>
    <mergeCell ref="AH11:AI11"/>
    <mergeCell ref="AH12:AI12"/>
    <mergeCell ref="AH13:AI13"/>
    <mergeCell ref="AH14:AI14"/>
    <mergeCell ref="AH15:AI15"/>
    <mergeCell ref="AH16:AI16"/>
    <mergeCell ref="AH17:AI17"/>
    <mergeCell ref="AH18:AI18"/>
    <mergeCell ref="AH19:AI19"/>
    <mergeCell ref="AH20:AI20"/>
    <mergeCell ref="AH21:AI21"/>
    <mergeCell ref="AH22:AI22"/>
    <mergeCell ref="AH23:AI23"/>
    <mergeCell ref="AH24:AI24"/>
    <mergeCell ref="AH25:AI25"/>
    <mergeCell ref="AH26:AI26"/>
    <mergeCell ref="AH27:AI27"/>
    <mergeCell ref="AH31:A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232:I232"/>
    <mergeCell ref="H233:I233"/>
    <mergeCell ref="H234:I234"/>
    <mergeCell ref="H235:I235"/>
    <mergeCell ref="H236:I236"/>
    <mergeCell ref="H237:I237"/>
    <mergeCell ref="H238:I238"/>
    <mergeCell ref="H246:I246"/>
    <mergeCell ref="H250:I250"/>
    <mergeCell ref="H239:I239"/>
    <mergeCell ref="H240:I240"/>
    <mergeCell ref="H241:I241"/>
    <mergeCell ref="H242:I242"/>
    <mergeCell ref="H243:I243"/>
    <mergeCell ref="H244:I244"/>
    <mergeCell ref="H245:I245"/>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2:J82"/>
    <mergeCell ref="H83:I83"/>
    <mergeCell ref="H98:I98"/>
    <mergeCell ref="E99:F99"/>
    <mergeCell ref="H99:I99"/>
    <mergeCell ref="H100:I100"/>
    <mergeCell ref="H101:I101"/>
    <mergeCell ref="H102:I102"/>
    <mergeCell ref="H103:I103"/>
    <mergeCell ref="E118:F118"/>
    <mergeCell ref="E130:F130"/>
    <mergeCell ref="E147:F147"/>
    <mergeCell ref="E204:F204"/>
    <mergeCell ref="E212:F212"/>
    <mergeCell ref="H84:I84"/>
    <mergeCell ref="H92:I92"/>
    <mergeCell ref="H93:I93"/>
    <mergeCell ref="H94:I94"/>
    <mergeCell ref="H95:I95"/>
    <mergeCell ref="H96:I96"/>
    <mergeCell ref="H97:I9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3195</v>
      </c>
      <c r="B1" s="7" t="s">
        <v>3197</v>
      </c>
      <c r="C1" s="7" t="s">
        <v>3198</v>
      </c>
      <c r="D1" s="7" t="s">
        <v>3199</v>
      </c>
      <c r="E1" s="7" t="s">
        <v>3200</v>
      </c>
      <c r="F1" s="7" t="s">
        <v>3202</v>
      </c>
      <c r="G1" s="7" t="s">
        <v>3204</v>
      </c>
      <c r="H1" s="7" t="s">
        <v>3206</v>
      </c>
      <c r="I1" s="7" t="s">
        <v>3207</v>
      </c>
      <c r="J1" s="57"/>
      <c r="K1" s="57"/>
      <c r="L1" s="57"/>
      <c r="M1" s="57"/>
      <c r="N1" s="57"/>
      <c r="O1" s="57"/>
      <c r="P1" s="57"/>
      <c r="Q1" s="57"/>
      <c r="R1" s="57"/>
      <c r="S1" s="57"/>
      <c r="T1" s="57"/>
      <c r="U1" s="57"/>
      <c r="V1" s="57"/>
      <c r="W1" s="57"/>
      <c r="X1" s="57"/>
      <c r="Y1" s="57"/>
      <c r="Z1" s="57"/>
      <c r="AA1" s="57"/>
    </row>
    <row r="2">
      <c r="A2" s="14">
        <f t="array" ref="A2:A1000">IF(C2:C1000&lt;&gt;"",IF(A2:A1000="",TODAY(),A2:A1000),"")</f>
        <v>0</v>
      </c>
      <c r="B2" s="19" t="str">
        <f t="array" ref="B2:B1000">IF(C2:C1000&lt;&gt;"","RF-"&amp;TEXT(ROW(C2:C1000)-1,"000"),)</f>
        <v>RF-001</v>
      </c>
      <c r="C2" s="19" t="s">
        <v>3261</v>
      </c>
      <c r="D2" s="25">
        <v>2024.0</v>
      </c>
      <c r="E2" s="25">
        <v>150000.0</v>
      </c>
      <c r="F2" s="25">
        <v>200000.0</v>
      </c>
      <c r="G2" s="25">
        <v>100000.0</v>
      </c>
      <c r="H2" s="19" t="s">
        <v>3265</v>
      </c>
      <c r="I2" s="19" t="s">
        <v>33</v>
      </c>
    </row>
    <row r="3">
      <c r="A3" s="19">
        <v>46232.0</v>
      </c>
      <c r="B3" s="16" t="s">
        <v>3266</v>
      </c>
      <c r="C3" s="19" t="s">
        <v>3261</v>
      </c>
      <c r="D3" s="25">
        <v>2024.0</v>
      </c>
      <c r="E3" s="25">
        <v>120000.0</v>
      </c>
      <c r="F3" s="25">
        <v>150000.0</v>
      </c>
      <c r="G3" s="25">
        <v>90000.0</v>
      </c>
      <c r="H3" s="19" t="s">
        <v>3268</v>
      </c>
      <c r="I3" s="19" t="s">
        <v>33</v>
      </c>
    </row>
    <row r="4">
      <c r="A4" s="19">
        <v>46232.0</v>
      </c>
      <c r="B4" s="16" t="s">
        <v>3270</v>
      </c>
      <c r="C4" s="19" t="s">
        <v>3261</v>
      </c>
      <c r="D4" s="25">
        <v>2024.0</v>
      </c>
      <c r="E4" s="25">
        <v>180000.0</v>
      </c>
      <c r="F4" s="25">
        <v>250000.0</v>
      </c>
      <c r="G4" s="25">
        <v>120000.0</v>
      </c>
      <c r="H4" s="19" t="s">
        <v>3273</v>
      </c>
      <c r="I4" s="19" t="s">
        <v>33</v>
      </c>
    </row>
    <row r="5">
      <c r="A5" s="16" t="s">
        <v>174</v>
      </c>
      <c r="B5" s="16"/>
      <c r="C5" s="16"/>
    </row>
    <row r="6">
      <c r="A6" s="16" t="s">
        <v>174</v>
      </c>
      <c r="B6" s="16"/>
      <c r="C6" s="16"/>
    </row>
    <row r="7">
      <c r="A7" s="16" t="s">
        <v>174</v>
      </c>
      <c r="B7" s="16"/>
      <c r="C7" s="16"/>
    </row>
    <row r="8">
      <c r="A8" s="16" t="s">
        <v>174</v>
      </c>
      <c r="B8" s="16"/>
      <c r="C8" s="16"/>
    </row>
    <row r="9">
      <c r="A9" s="16" t="s">
        <v>174</v>
      </c>
      <c r="B9" s="16"/>
      <c r="C9" s="16"/>
    </row>
    <row r="10">
      <c r="A10" s="16" t="s">
        <v>174</v>
      </c>
      <c r="B10" s="16"/>
      <c r="C10" s="16"/>
    </row>
    <row r="11">
      <c r="A11" s="16" t="s">
        <v>174</v>
      </c>
      <c r="B11" s="16"/>
      <c r="C11" s="16"/>
    </row>
    <row r="12">
      <c r="A12" s="16" t="s">
        <v>174</v>
      </c>
      <c r="B12" s="16"/>
      <c r="C12" s="16"/>
    </row>
    <row r="13">
      <c r="A13" s="16" t="s">
        <v>174</v>
      </c>
      <c r="B13" s="16"/>
      <c r="C13" s="16"/>
    </row>
    <row r="14">
      <c r="A14" s="16" t="s">
        <v>174</v>
      </c>
      <c r="B14" s="16"/>
      <c r="C14" s="16"/>
    </row>
    <row r="15">
      <c r="A15" s="16" t="s">
        <v>174</v>
      </c>
      <c r="B15" s="16"/>
      <c r="C15" s="16"/>
    </row>
    <row r="16">
      <c r="A16" s="16" t="s">
        <v>174</v>
      </c>
      <c r="B16" s="16"/>
      <c r="C16" s="16"/>
    </row>
    <row r="17">
      <c r="A17" s="16" t="s">
        <v>174</v>
      </c>
      <c r="B17" s="16"/>
      <c r="C17" s="16"/>
    </row>
    <row r="18">
      <c r="A18" s="16" t="s">
        <v>174</v>
      </c>
      <c r="B18" s="16"/>
      <c r="C18" s="16"/>
    </row>
    <row r="19">
      <c r="A19" s="16" t="s">
        <v>174</v>
      </c>
      <c r="B19" s="16"/>
      <c r="C19" s="16"/>
    </row>
    <row r="20">
      <c r="A20" s="16" t="s">
        <v>174</v>
      </c>
      <c r="B20" s="16"/>
      <c r="C20" s="16"/>
    </row>
    <row r="21">
      <c r="A21" s="16" t="s">
        <v>174</v>
      </c>
      <c r="B21" s="16"/>
      <c r="C21" s="16"/>
    </row>
    <row r="22">
      <c r="A22" s="16" t="s">
        <v>174</v>
      </c>
      <c r="B22" s="16"/>
      <c r="C22" s="16"/>
    </row>
    <row r="23">
      <c r="A23" s="16" t="s">
        <v>174</v>
      </c>
      <c r="B23" s="16"/>
      <c r="C23" s="16"/>
    </row>
    <row r="24">
      <c r="A24" s="16" t="s">
        <v>174</v>
      </c>
      <c r="B24" s="16"/>
      <c r="C24" s="16"/>
    </row>
    <row r="25">
      <c r="A25" s="16" t="s">
        <v>174</v>
      </c>
      <c r="B25" s="16"/>
      <c r="C25" s="16"/>
    </row>
    <row r="26">
      <c r="A26" s="16" t="s">
        <v>174</v>
      </c>
      <c r="B26" s="16"/>
      <c r="C26" s="16"/>
    </row>
    <row r="27">
      <c r="A27" s="16" t="s">
        <v>174</v>
      </c>
      <c r="B27" s="16"/>
      <c r="C27" s="16"/>
    </row>
    <row r="28">
      <c r="A28" s="16" t="s">
        <v>174</v>
      </c>
      <c r="B28" s="16"/>
      <c r="C28" s="16"/>
    </row>
    <row r="29">
      <c r="A29" s="16" t="s">
        <v>174</v>
      </c>
      <c r="B29" s="16"/>
      <c r="C29" s="16"/>
    </row>
    <row r="30">
      <c r="A30" s="16" t="s">
        <v>174</v>
      </c>
      <c r="B30" s="16"/>
      <c r="C30" s="16"/>
    </row>
    <row r="31">
      <c r="A31" s="16" t="s">
        <v>174</v>
      </c>
      <c r="B31" s="16"/>
      <c r="C31" s="16"/>
    </row>
    <row r="32">
      <c r="A32" s="16" t="s">
        <v>174</v>
      </c>
      <c r="B32" s="16"/>
      <c r="C32" s="16"/>
    </row>
    <row r="33">
      <c r="A33" s="16" t="s">
        <v>174</v>
      </c>
      <c r="B33" s="16"/>
      <c r="C33" s="16"/>
    </row>
    <row r="34">
      <c r="A34" s="16" t="s">
        <v>174</v>
      </c>
      <c r="B34" s="16"/>
      <c r="C34" s="16"/>
    </row>
    <row r="35">
      <c r="A35" s="16" t="s">
        <v>174</v>
      </c>
      <c r="B35" s="16"/>
      <c r="C35" s="16"/>
    </row>
    <row r="36">
      <c r="A36" s="16" t="s">
        <v>174</v>
      </c>
      <c r="B36" s="16"/>
      <c r="C36" s="16"/>
    </row>
    <row r="37">
      <c r="A37" s="16" t="s">
        <v>174</v>
      </c>
      <c r="B37" s="16"/>
      <c r="C37" s="16"/>
    </row>
    <row r="38">
      <c r="A38" s="16" t="s">
        <v>174</v>
      </c>
      <c r="B38" s="16"/>
      <c r="C38" s="16"/>
    </row>
    <row r="39">
      <c r="A39" s="16" t="s">
        <v>174</v>
      </c>
      <c r="B39" s="16"/>
      <c r="C39" s="16"/>
    </row>
    <row r="40">
      <c r="A40" s="16" t="s">
        <v>174</v>
      </c>
      <c r="B40" s="16"/>
      <c r="C40" s="16"/>
    </row>
    <row r="41">
      <c r="A41" s="16" t="s">
        <v>174</v>
      </c>
      <c r="B41" s="16"/>
      <c r="C41" s="16"/>
    </row>
    <row r="42">
      <c r="A42" s="16" t="s">
        <v>174</v>
      </c>
      <c r="B42" s="16"/>
      <c r="C42" s="16"/>
    </row>
    <row r="43">
      <c r="A43" s="16" t="s">
        <v>174</v>
      </c>
      <c r="B43" s="16"/>
      <c r="C43" s="16"/>
    </row>
    <row r="44">
      <c r="A44" s="16" t="s">
        <v>174</v>
      </c>
      <c r="B44" s="16"/>
      <c r="C44" s="16"/>
    </row>
    <row r="45">
      <c r="A45" s="16" t="s">
        <v>174</v>
      </c>
      <c r="B45" s="16"/>
      <c r="C45" s="16"/>
    </row>
    <row r="46">
      <c r="A46" s="16" t="s">
        <v>174</v>
      </c>
      <c r="B46" s="16"/>
      <c r="C46" s="16"/>
    </row>
    <row r="47">
      <c r="A47" s="16" t="s">
        <v>174</v>
      </c>
      <c r="B47" s="16"/>
      <c r="C47" s="16"/>
    </row>
    <row r="48">
      <c r="A48" s="16" t="s">
        <v>174</v>
      </c>
      <c r="B48" s="16"/>
      <c r="C48" s="16"/>
    </row>
    <row r="49">
      <c r="A49" s="16" t="s">
        <v>174</v>
      </c>
      <c r="B49" s="16"/>
      <c r="C49" s="16"/>
    </row>
    <row r="50">
      <c r="A50" s="16" t="s">
        <v>174</v>
      </c>
      <c r="B50" s="16"/>
      <c r="C50" s="16"/>
    </row>
    <row r="51">
      <c r="A51" s="16" t="s">
        <v>174</v>
      </c>
      <c r="B51" s="16"/>
      <c r="C51" s="16"/>
    </row>
    <row r="52">
      <c r="A52" s="16" t="s">
        <v>174</v>
      </c>
      <c r="B52" s="16"/>
      <c r="C52" s="16"/>
    </row>
    <row r="53">
      <c r="A53" s="16" t="s">
        <v>174</v>
      </c>
      <c r="B53" s="16"/>
      <c r="C53" s="16"/>
    </row>
    <row r="54">
      <c r="A54" s="16" t="s">
        <v>174</v>
      </c>
      <c r="B54" s="16"/>
      <c r="C54" s="16"/>
    </row>
    <row r="55">
      <c r="A55" s="16" t="s">
        <v>174</v>
      </c>
      <c r="B55" s="16"/>
      <c r="C55" s="16"/>
    </row>
    <row r="56">
      <c r="A56" s="16" t="s">
        <v>174</v>
      </c>
      <c r="B56" s="16"/>
      <c r="C56" s="16"/>
    </row>
    <row r="57">
      <c r="A57" s="16" t="s">
        <v>174</v>
      </c>
      <c r="B57" s="16"/>
      <c r="C57" s="16"/>
    </row>
    <row r="58">
      <c r="A58" s="16" t="s">
        <v>174</v>
      </c>
      <c r="B58" s="16"/>
      <c r="C58" s="16"/>
    </row>
    <row r="59">
      <c r="A59" s="16" t="s">
        <v>174</v>
      </c>
      <c r="B59" s="16"/>
      <c r="C59" s="16"/>
    </row>
    <row r="60">
      <c r="A60" s="16" t="s">
        <v>174</v>
      </c>
      <c r="B60" s="16"/>
      <c r="C60" s="16"/>
    </row>
    <row r="61">
      <c r="A61" s="16" t="s">
        <v>174</v>
      </c>
      <c r="B61" s="16"/>
      <c r="C61" s="16"/>
    </row>
    <row r="62">
      <c r="A62" s="16" t="s">
        <v>174</v>
      </c>
      <c r="B62" s="16"/>
      <c r="C62" s="16"/>
    </row>
    <row r="63">
      <c r="A63" s="16" t="s">
        <v>174</v>
      </c>
      <c r="B63" s="16"/>
      <c r="C63" s="16"/>
    </row>
    <row r="64">
      <c r="A64" s="16" t="s">
        <v>174</v>
      </c>
      <c r="B64" s="16"/>
      <c r="C64" s="16"/>
    </row>
    <row r="65">
      <c r="A65" s="16" t="s">
        <v>174</v>
      </c>
      <c r="B65" s="16"/>
      <c r="C65" s="16"/>
    </row>
    <row r="66">
      <c r="A66" s="16" t="s">
        <v>174</v>
      </c>
      <c r="B66" s="16"/>
      <c r="C66" s="16"/>
    </row>
    <row r="67">
      <c r="A67" s="16" t="s">
        <v>174</v>
      </c>
      <c r="B67" s="16"/>
      <c r="C67" s="16"/>
    </row>
    <row r="68">
      <c r="A68" s="16" t="s">
        <v>174</v>
      </c>
      <c r="B68" s="16"/>
      <c r="C68" s="16"/>
    </row>
    <row r="69">
      <c r="A69" s="16" t="s">
        <v>174</v>
      </c>
      <c r="B69" s="16"/>
      <c r="C69" s="16"/>
    </row>
    <row r="70">
      <c r="A70" s="16" t="s">
        <v>174</v>
      </c>
      <c r="B70" s="16"/>
      <c r="C70" s="16"/>
    </row>
    <row r="71">
      <c r="A71" s="16" t="s">
        <v>174</v>
      </c>
      <c r="B71" s="16"/>
      <c r="C71" s="16"/>
    </row>
    <row r="72">
      <c r="A72" s="16" t="s">
        <v>174</v>
      </c>
      <c r="B72" s="16"/>
      <c r="C72" s="16"/>
    </row>
    <row r="73">
      <c r="A73" s="16" t="s">
        <v>174</v>
      </c>
      <c r="B73" s="16"/>
      <c r="C73" s="16"/>
    </row>
    <row r="74">
      <c r="A74" s="16" t="s">
        <v>174</v>
      </c>
      <c r="B74" s="16"/>
      <c r="C74" s="16"/>
    </row>
    <row r="75">
      <c r="A75" s="16" t="s">
        <v>174</v>
      </c>
      <c r="B75" s="16"/>
      <c r="C75" s="16"/>
    </row>
    <row r="76">
      <c r="A76" s="16" t="s">
        <v>174</v>
      </c>
      <c r="B76" s="16"/>
      <c r="C76" s="16"/>
    </row>
    <row r="77">
      <c r="A77" s="16" t="s">
        <v>174</v>
      </c>
      <c r="B77" s="16"/>
      <c r="C77" s="16"/>
    </row>
    <row r="78">
      <c r="A78" s="16" t="s">
        <v>174</v>
      </c>
      <c r="B78" s="16"/>
      <c r="C78" s="16"/>
    </row>
    <row r="79">
      <c r="A79" s="16" t="s">
        <v>174</v>
      </c>
      <c r="B79" s="16"/>
      <c r="C79" s="16"/>
    </row>
    <row r="80">
      <c r="A80" s="16" t="s">
        <v>174</v>
      </c>
      <c r="B80" s="16"/>
      <c r="C80" s="16"/>
    </row>
    <row r="81">
      <c r="A81" s="16" t="s">
        <v>174</v>
      </c>
      <c r="B81" s="16"/>
      <c r="C81" s="16"/>
    </row>
    <row r="82">
      <c r="A82" s="16" t="s">
        <v>174</v>
      </c>
      <c r="B82" s="16"/>
      <c r="C82" s="16"/>
    </row>
    <row r="83">
      <c r="A83" s="16" t="s">
        <v>174</v>
      </c>
      <c r="B83" s="16"/>
      <c r="C83" s="16"/>
    </row>
    <row r="84">
      <c r="A84" s="16" t="s">
        <v>174</v>
      </c>
      <c r="B84" s="16"/>
      <c r="C84" s="16"/>
    </row>
    <row r="85">
      <c r="A85" s="16" t="s">
        <v>174</v>
      </c>
      <c r="B85" s="16"/>
      <c r="C85" s="16"/>
    </row>
    <row r="86">
      <c r="A86" s="16" t="s">
        <v>174</v>
      </c>
      <c r="B86" s="16"/>
      <c r="C86" s="16"/>
    </row>
    <row r="87">
      <c r="A87" s="16" t="s">
        <v>174</v>
      </c>
      <c r="B87" s="16"/>
      <c r="C87" s="16"/>
    </row>
    <row r="88">
      <c r="A88" s="16" t="s">
        <v>174</v>
      </c>
      <c r="B88" s="16"/>
      <c r="C88" s="16"/>
    </row>
    <row r="89">
      <c r="A89" s="16" t="s">
        <v>174</v>
      </c>
      <c r="B89" s="16"/>
      <c r="C89" s="16"/>
    </row>
    <row r="90">
      <c r="A90" s="16" t="s">
        <v>174</v>
      </c>
      <c r="B90" s="16"/>
      <c r="C90" s="16"/>
    </row>
    <row r="91">
      <c r="A91" s="16" t="s">
        <v>174</v>
      </c>
      <c r="B91" s="16"/>
      <c r="C91" s="16"/>
    </row>
    <row r="92">
      <c r="A92" s="16" t="s">
        <v>174</v>
      </c>
      <c r="B92" s="16"/>
      <c r="C92" s="16"/>
    </row>
    <row r="93">
      <c r="A93" s="16" t="s">
        <v>174</v>
      </c>
      <c r="B93" s="16"/>
      <c r="C93" s="16"/>
    </row>
    <row r="94">
      <c r="A94" s="16" t="s">
        <v>174</v>
      </c>
      <c r="B94" s="16"/>
      <c r="C94" s="16"/>
    </row>
    <row r="95">
      <c r="A95" s="16" t="s">
        <v>174</v>
      </c>
      <c r="B95" s="16"/>
      <c r="C95" s="16"/>
    </row>
    <row r="96">
      <c r="A96" s="16" t="s">
        <v>174</v>
      </c>
      <c r="B96" s="16"/>
      <c r="C96" s="16"/>
    </row>
    <row r="97">
      <c r="A97" s="16" t="s">
        <v>174</v>
      </c>
      <c r="B97" s="16"/>
      <c r="C97" s="16"/>
    </row>
    <row r="98">
      <c r="A98" s="16" t="s">
        <v>174</v>
      </c>
      <c r="B98" s="16"/>
      <c r="C98" s="16"/>
    </row>
    <row r="99">
      <c r="A99" s="16" t="s">
        <v>174</v>
      </c>
      <c r="B99" s="16"/>
      <c r="C99" s="16"/>
    </row>
    <row r="100">
      <c r="A100" s="16" t="s">
        <v>174</v>
      </c>
      <c r="B100" s="16"/>
      <c r="C100" s="16"/>
    </row>
    <row r="101">
      <c r="A101" s="16" t="s">
        <v>174</v>
      </c>
      <c r="B101" s="16"/>
      <c r="C101" s="16"/>
    </row>
    <row r="102">
      <c r="A102" s="16" t="s">
        <v>174</v>
      </c>
      <c r="B102" s="16"/>
      <c r="C102" s="16"/>
    </row>
    <row r="103">
      <c r="A103" s="16" t="s">
        <v>174</v>
      </c>
      <c r="B103" s="16"/>
      <c r="C103" s="16"/>
    </row>
    <row r="104">
      <c r="A104" s="16" t="s">
        <v>174</v>
      </c>
      <c r="B104" s="16"/>
      <c r="C104" s="16"/>
    </row>
    <row r="105">
      <c r="A105" s="16" t="s">
        <v>174</v>
      </c>
      <c r="B105" s="16"/>
      <c r="C105" s="16"/>
    </row>
    <row r="106">
      <c r="A106" s="16" t="s">
        <v>174</v>
      </c>
      <c r="B106" s="16"/>
      <c r="C106" s="16"/>
    </row>
    <row r="107">
      <c r="A107" s="16" t="s">
        <v>174</v>
      </c>
      <c r="B107" s="16"/>
      <c r="C107" s="16"/>
    </row>
    <row r="108">
      <c r="A108" s="16" t="s">
        <v>174</v>
      </c>
      <c r="B108" s="16"/>
      <c r="C108" s="16"/>
    </row>
    <row r="109">
      <c r="A109" s="16" t="s">
        <v>174</v>
      </c>
      <c r="B109" s="16"/>
      <c r="C109" s="16"/>
    </row>
    <row r="110">
      <c r="A110" s="16" t="s">
        <v>174</v>
      </c>
      <c r="B110" s="16"/>
      <c r="C110" s="16"/>
    </row>
    <row r="111">
      <c r="A111" s="16" t="s">
        <v>174</v>
      </c>
      <c r="B111" s="16"/>
      <c r="C111" s="16"/>
    </row>
    <row r="112">
      <c r="A112" s="16" t="s">
        <v>174</v>
      </c>
      <c r="B112" s="16"/>
      <c r="C112" s="16"/>
    </row>
    <row r="113">
      <c r="A113" s="16" t="s">
        <v>174</v>
      </c>
      <c r="B113" s="16"/>
      <c r="C113" s="16"/>
    </row>
    <row r="114">
      <c r="A114" s="16" t="s">
        <v>174</v>
      </c>
      <c r="B114" s="16"/>
      <c r="C114" s="16"/>
    </row>
    <row r="115">
      <c r="A115" s="16" t="s">
        <v>174</v>
      </c>
      <c r="B115" s="16"/>
      <c r="C115" s="16"/>
    </row>
    <row r="116">
      <c r="A116" s="16" t="s">
        <v>174</v>
      </c>
      <c r="B116" s="16"/>
      <c r="C116" s="16"/>
    </row>
    <row r="117">
      <c r="A117" s="16" t="s">
        <v>174</v>
      </c>
      <c r="B117" s="16"/>
      <c r="C117" s="16"/>
    </row>
    <row r="118">
      <c r="A118" s="16" t="s">
        <v>174</v>
      </c>
      <c r="B118" s="16"/>
      <c r="C118" s="16"/>
    </row>
    <row r="119">
      <c r="A119" s="16" t="s">
        <v>174</v>
      </c>
      <c r="B119" s="16"/>
      <c r="C119" s="16"/>
    </row>
    <row r="120">
      <c r="A120" s="16" t="s">
        <v>174</v>
      </c>
      <c r="B120" s="16"/>
      <c r="C120" s="16"/>
    </row>
    <row r="121">
      <c r="A121" s="16" t="s">
        <v>174</v>
      </c>
      <c r="B121" s="16"/>
      <c r="C121" s="16"/>
    </row>
    <row r="122">
      <c r="A122" s="16" t="s">
        <v>174</v>
      </c>
      <c r="B122" s="16"/>
      <c r="C122" s="16"/>
    </row>
    <row r="123">
      <c r="A123" s="16" t="s">
        <v>174</v>
      </c>
      <c r="B123" s="16"/>
      <c r="C123" s="16"/>
    </row>
    <row r="124">
      <c r="A124" s="16" t="s">
        <v>174</v>
      </c>
      <c r="B124" s="16"/>
      <c r="C124" s="16"/>
    </row>
    <row r="125">
      <c r="A125" s="16" t="s">
        <v>174</v>
      </c>
      <c r="B125" s="16"/>
      <c r="C125" s="16"/>
    </row>
    <row r="126">
      <c r="A126" s="16" t="s">
        <v>174</v>
      </c>
      <c r="B126" s="16"/>
      <c r="C126" s="16"/>
    </row>
    <row r="127">
      <c r="A127" s="16" t="s">
        <v>174</v>
      </c>
      <c r="B127" s="16"/>
      <c r="C127" s="16"/>
    </row>
    <row r="128">
      <c r="A128" s="16" t="s">
        <v>174</v>
      </c>
      <c r="B128" s="16"/>
      <c r="C128" s="16"/>
    </row>
    <row r="129">
      <c r="A129" s="16" t="s">
        <v>174</v>
      </c>
      <c r="B129" s="16"/>
      <c r="C129" s="16"/>
    </row>
    <row r="130">
      <c r="A130" s="16" t="s">
        <v>174</v>
      </c>
      <c r="B130" s="16"/>
      <c r="C130" s="16"/>
    </row>
    <row r="131">
      <c r="A131" s="16" t="s">
        <v>174</v>
      </c>
      <c r="B131" s="16"/>
      <c r="C131" s="16"/>
    </row>
    <row r="132">
      <c r="A132" s="16" t="s">
        <v>174</v>
      </c>
      <c r="B132" s="16"/>
      <c r="C132" s="16"/>
    </row>
    <row r="133">
      <c r="A133" s="16" t="s">
        <v>174</v>
      </c>
      <c r="B133" s="16"/>
      <c r="C133" s="16"/>
    </row>
    <row r="134">
      <c r="A134" s="16" t="s">
        <v>174</v>
      </c>
      <c r="B134" s="16"/>
      <c r="C134" s="16"/>
    </row>
    <row r="135">
      <c r="A135" s="16" t="s">
        <v>174</v>
      </c>
      <c r="B135" s="16"/>
      <c r="C135" s="16"/>
    </row>
    <row r="136">
      <c r="A136" s="16" t="s">
        <v>174</v>
      </c>
      <c r="B136" s="16"/>
      <c r="C136" s="16"/>
    </row>
    <row r="137">
      <c r="A137" s="16" t="s">
        <v>174</v>
      </c>
      <c r="B137" s="16"/>
      <c r="C137" s="16"/>
    </row>
    <row r="138">
      <c r="A138" s="16" t="s">
        <v>174</v>
      </c>
      <c r="B138" s="16"/>
      <c r="C138" s="16"/>
    </row>
    <row r="139">
      <c r="A139" s="16" t="s">
        <v>174</v>
      </c>
      <c r="B139" s="16"/>
      <c r="C139" s="16"/>
    </row>
    <row r="140">
      <c r="A140" s="16" t="s">
        <v>174</v>
      </c>
      <c r="B140" s="16"/>
      <c r="C140" s="16"/>
    </row>
    <row r="141">
      <c r="A141" s="16" t="s">
        <v>174</v>
      </c>
      <c r="B141" s="16"/>
      <c r="C141" s="16"/>
    </row>
    <row r="142">
      <c r="A142" s="16" t="s">
        <v>174</v>
      </c>
      <c r="B142" s="16"/>
      <c r="C142" s="16"/>
    </row>
    <row r="143">
      <c r="A143" s="16" t="s">
        <v>174</v>
      </c>
      <c r="B143" s="16"/>
      <c r="C143" s="16"/>
    </row>
    <row r="144">
      <c r="A144" s="16" t="s">
        <v>174</v>
      </c>
      <c r="B144" s="16"/>
      <c r="C144" s="16"/>
    </row>
    <row r="145">
      <c r="A145" s="16" t="s">
        <v>174</v>
      </c>
      <c r="B145" s="16"/>
      <c r="C145" s="16"/>
    </row>
    <row r="146">
      <c r="A146" s="16" t="s">
        <v>174</v>
      </c>
      <c r="B146" s="16"/>
      <c r="C146" s="16"/>
    </row>
    <row r="147">
      <c r="A147" s="16" t="s">
        <v>174</v>
      </c>
      <c r="B147" s="16"/>
      <c r="C147" s="16"/>
    </row>
    <row r="148">
      <c r="A148" s="16" t="s">
        <v>174</v>
      </c>
      <c r="B148" s="16"/>
      <c r="C148" s="16"/>
    </row>
    <row r="149">
      <c r="A149" s="16" t="s">
        <v>174</v>
      </c>
      <c r="B149" s="16"/>
      <c r="C149" s="16"/>
    </row>
    <row r="150">
      <c r="A150" s="16" t="s">
        <v>174</v>
      </c>
      <c r="B150" s="16"/>
      <c r="C150" s="16"/>
    </row>
    <row r="151">
      <c r="A151" s="16" t="s">
        <v>174</v>
      </c>
      <c r="B151" s="16"/>
      <c r="C151" s="16"/>
    </row>
    <row r="152">
      <c r="A152" s="16" t="s">
        <v>174</v>
      </c>
      <c r="B152" s="16"/>
      <c r="C152" s="16"/>
    </row>
    <row r="153">
      <c r="A153" s="16" t="s">
        <v>174</v>
      </c>
      <c r="B153" s="16"/>
      <c r="C153" s="16"/>
    </row>
    <row r="154">
      <c r="A154" s="16" t="s">
        <v>174</v>
      </c>
      <c r="B154" s="16"/>
      <c r="C154" s="16"/>
    </row>
    <row r="155">
      <c r="A155" s="16" t="s">
        <v>174</v>
      </c>
      <c r="B155" s="16"/>
      <c r="C155" s="16"/>
    </row>
    <row r="156">
      <c r="A156" s="16" t="s">
        <v>174</v>
      </c>
      <c r="B156" s="16"/>
      <c r="C156" s="16"/>
    </row>
    <row r="157">
      <c r="A157" s="16" t="s">
        <v>174</v>
      </c>
      <c r="B157" s="16"/>
      <c r="C157" s="16"/>
    </row>
    <row r="158">
      <c r="A158" s="16" t="s">
        <v>174</v>
      </c>
      <c r="B158" s="16"/>
      <c r="C158" s="16"/>
    </row>
    <row r="159">
      <c r="A159" s="16" t="s">
        <v>174</v>
      </c>
      <c r="B159" s="16"/>
      <c r="C159" s="16"/>
    </row>
    <row r="160">
      <c r="A160" s="16" t="s">
        <v>174</v>
      </c>
      <c r="B160" s="16"/>
      <c r="C160" s="16"/>
    </row>
    <row r="161">
      <c r="A161" s="16" t="s">
        <v>174</v>
      </c>
      <c r="B161" s="16"/>
      <c r="C161" s="16"/>
    </row>
    <row r="162">
      <c r="A162" s="16" t="s">
        <v>174</v>
      </c>
      <c r="B162" s="16"/>
      <c r="C162" s="16"/>
    </row>
    <row r="163">
      <c r="A163" s="16" t="s">
        <v>174</v>
      </c>
      <c r="B163" s="16"/>
      <c r="C163" s="16"/>
    </row>
    <row r="164">
      <c r="A164" s="16" t="s">
        <v>174</v>
      </c>
      <c r="B164" s="16"/>
      <c r="C164" s="16"/>
    </row>
    <row r="165">
      <c r="A165" s="16" t="s">
        <v>174</v>
      </c>
      <c r="B165" s="16"/>
      <c r="C165" s="16"/>
    </row>
    <row r="166">
      <c r="A166" s="16" t="s">
        <v>174</v>
      </c>
      <c r="B166" s="16"/>
      <c r="C166" s="16"/>
    </row>
    <row r="167">
      <c r="A167" s="16" t="s">
        <v>174</v>
      </c>
      <c r="B167" s="16"/>
      <c r="C167" s="16"/>
    </row>
    <row r="168">
      <c r="A168" s="16" t="s">
        <v>174</v>
      </c>
      <c r="B168" s="16"/>
      <c r="C168" s="16"/>
    </row>
    <row r="169">
      <c r="A169" s="16" t="s">
        <v>174</v>
      </c>
      <c r="B169" s="16"/>
      <c r="C169" s="16"/>
    </row>
    <row r="170">
      <c r="A170" s="16" t="s">
        <v>174</v>
      </c>
      <c r="B170" s="16"/>
      <c r="C170" s="16"/>
    </row>
    <row r="171">
      <c r="A171" s="16" t="s">
        <v>174</v>
      </c>
      <c r="B171" s="16"/>
      <c r="C171" s="16"/>
    </row>
    <row r="172">
      <c r="A172" s="16" t="s">
        <v>174</v>
      </c>
      <c r="B172" s="16"/>
      <c r="C172" s="16"/>
    </row>
    <row r="173">
      <c r="A173" s="16" t="s">
        <v>174</v>
      </c>
      <c r="B173" s="16"/>
      <c r="C173" s="16"/>
    </row>
    <row r="174">
      <c r="A174" s="16" t="s">
        <v>174</v>
      </c>
      <c r="B174" s="16"/>
      <c r="C174" s="16"/>
    </row>
    <row r="175">
      <c r="A175" s="16" t="s">
        <v>174</v>
      </c>
      <c r="B175" s="16"/>
      <c r="C175" s="16"/>
    </row>
    <row r="176">
      <c r="A176" s="16" t="s">
        <v>174</v>
      </c>
      <c r="B176" s="16"/>
      <c r="C176" s="16"/>
    </row>
    <row r="177">
      <c r="A177" s="16" t="s">
        <v>174</v>
      </c>
      <c r="B177" s="16"/>
      <c r="C177" s="16"/>
    </row>
    <row r="178">
      <c r="A178" s="16" t="s">
        <v>174</v>
      </c>
      <c r="B178" s="16"/>
      <c r="C178" s="16"/>
    </row>
    <row r="179">
      <c r="A179" s="16" t="s">
        <v>174</v>
      </c>
      <c r="B179" s="16"/>
      <c r="C179" s="16"/>
    </row>
    <row r="180">
      <c r="A180" s="16" t="s">
        <v>174</v>
      </c>
      <c r="B180" s="16"/>
      <c r="C180" s="16"/>
    </row>
    <row r="181">
      <c r="A181" s="16" t="s">
        <v>174</v>
      </c>
      <c r="B181" s="16"/>
      <c r="C181" s="16"/>
    </row>
    <row r="182">
      <c r="A182" s="16" t="s">
        <v>174</v>
      </c>
      <c r="B182" s="16"/>
      <c r="C182" s="16"/>
    </row>
    <row r="183">
      <c r="A183" s="16" t="s">
        <v>174</v>
      </c>
      <c r="B183" s="16"/>
      <c r="C183" s="16"/>
    </row>
    <row r="184">
      <c r="A184" s="16" t="s">
        <v>174</v>
      </c>
      <c r="B184" s="16"/>
      <c r="C184" s="16"/>
    </row>
    <row r="185">
      <c r="A185" s="16" t="s">
        <v>174</v>
      </c>
      <c r="B185" s="16"/>
      <c r="C185" s="16"/>
    </row>
    <row r="186">
      <c r="A186" s="16" t="s">
        <v>174</v>
      </c>
      <c r="B186" s="16"/>
      <c r="C186" s="16"/>
    </row>
    <row r="187">
      <c r="A187" s="16" t="s">
        <v>174</v>
      </c>
      <c r="B187" s="16"/>
      <c r="C187" s="16"/>
    </row>
    <row r="188">
      <c r="A188" s="16" t="s">
        <v>174</v>
      </c>
      <c r="B188" s="16"/>
      <c r="C188" s="16"/>
    </row>
    <row r="189">
      <c r="A189" s="16" t="s">
        <v>174</v>
      </c>
      <c r="B189" s="16"/>
      <c r="C189" s="16"/>
    </row>
    <row r="190">
      <c r="A190" s="16" t="s">
        <v>174</v>
      </c>
      <c r="B190" s="16"/>
      <c r="C190" s="16"/>
    </row>
    <row r="191">
      <c r="A191" s="16" t="s">
        <v>174</v>
      </c>
      <c r="B191" s="16"/>
      <c r="C191" s="16"/>
    </row>
    <row r="192">
      <c r="A192" s="16" t="s">
        <v>174</v>
      </c>
      <c r="B192" s="16"/>
      <c r="C192" s="16"/>
    </row>
    <row r="193">
      <c r="A193" s="16" t="s">
        <v>174</v>
      </c>
      <c r="B193" s="16"/>
      <c r="C193" s="16"/>
    </row>
    <row r="194">
      <c r="A194" s="16" t="s">
        <v>174</v>
      </c>
      <c r="B194" s="16"/>
      <c r="C194" s="16"/>
    </row>
    <row r="195">
      <c r="A195" s="16" t="s">
        <v>174</v>
      </c>
      <c r="B195" s="16"/>
      <c r="C195" s="16"/>
    </row>
    <row r="196">
      <c r="A196" s="16" t="s">
        <v>174</v>
      </c>
      <c r="B196" s="16"/>
      <c r="C196" s="16"/>
    </row>
    <row r="197">
      <c r="A197" s="16" t="s">
        <v>174</v>
      </c>
      <c r="B197" s="16"/>
      <c r="C197" s="16"/>
    </row>
    <row r="198">
      <c r="A198" s="16" t="s">
        <v>174</v>
      </c>
      <c r="B198" s="16"/>
      <c r="C198" s="16"/>
    </row>
    <row r="199">
      <c r="A199" s="16" t="s">
        <v>174</v>
      </c>
      <c r="B199" s="16"/>
      <c r="C199" s="16"/>
    </row>
    <row r="200">
      <c r="A200" s="16" t="s">
        <v>174</v>
      </c>
      <c r="B200" s="16"/>
      <c r="C200" s="16"/>
    </row>
    <row r="201">
      <c r="A201" s="16" t="s">
        <v>174</v>
      </c>
      <c r="B201" s="16"/>
      <c r="C201" s="16"/>
    </row>
    <row r="202">
      <c r="A202" s="16" t="s">
        <v>174</v>
      </c>
      <c r="B202" s="16"/>
      <c r="C202" s="16"/>
    </row>
    <row r="203">
      <c r="A203" s="16" t="s">
        <v>174</v>
      </c>
      <c r="B203" s="16"/>
      <c r="C203" s="16"/>
    </row>
    <row r="204">
      <c r="A204" s="16" t="s">
        <v>174</v>
      </c>
      <c r="B204" s="16"/>
      <c r="C204" s="16"/>
    </row>
    <row r="205">
      <c r="A205" s="16" t="s">
        <v>174</v>
      </c>
      <c r="B205" s="16"/>
      <c r="C205" s="16"/>
    </row>
    <row r="206">
      <c r="A206" s="16" t="s">
        <v>174</v>
      </c>
      <c r="B206" s="16"/>
      <c r="C206" s="16"/>
    </row>
    <row r="207">
      <c r="A207" s="16" t="s">
        <v>174</v>
      </c>
      <c r="B207" s="16"/>
      <c r="C207" s="16"/>
    </row>
    <row r="208">
      <c r="A208" s="16" t="s">
        <v>174</v>
      </c>
      <c r="B208" s="16"/>
      <c r="C208" s="16"/>
    </row>
    <row r="209">
      <c r="A209" s="16" t="s">
        <v>174</v>
      </c>
      <c r="B209" s="16"/>
      <c r="C209" s="16"/>
    </row>
    <row r="210">
      <c r="A210" s="16" t="s">
        <v>174</v>
      </c>
      <c r="B210" s="16"/>
      <c r="C210" s="16"/>
    </row>
    <row r="211">
      <c r="A211" s="16" t="s">
        <v>174</v>
      </c>
      <c r="B211" s="16"/>
      <c r="C211" s="16"/>
    </row>
    <row r="212">
      <c r="A212" s="16" t="s">
        <v>174</v>
      </c>
      <c r="B212" s="16"/>
      <c r="C212" s="16"/>
    </row>
    <row r="213">
      <c r="A213" s="16" t="s">
        <v>174</v>
      </c>
      <c r="B213" s="16"/>
      <c r="C213" s="16"/>
    </row>
    <row r="214">
      <c r="A214" s="16" t="s">
        <v>174</v>
      </c>
      <c r="B214" s="16"/>
      <c r="C214" s="16"/>
    </row>
    <row r="215">
      <c r="A215" s="16" t="s">
        <v>174</v>
      </c>
      <c r="B215" s="16"/>
      <c r="C215" s="16"/>
    </row>
    <row r="216">
      <c r="A216" s="16" t="s">
        <v>174</v>
      </c>
      <c r="B216" s="16"/>
      <c r="C216" s="16"/>
    </row>
    <row r="217">
      <c r="A217" s="16" t="s">
        <v>174</v>
      </c>
      <c r="B217" s="16"/>
      <c r="C217" s="16"/>
    </row>
    <row r="218">
      <c r="A218" s="16" t="s">
        <v>174</v>
      </c>
      <c r="B218" s="16"/>
      <c r="C218" s="16"/>
    </row>
    <row r="219">
      <c r="A219" s="16" t="s">
        <v>174</v>
      </c>
      <c r="B219" s="16"/>
      <c r="C219" s="16"/>
    </row>
    <row r="220">
      <c r="A220" s="16" t="s">
        <v>174</v>
      </c>
      <c r="B220" s="16"/>
      <c r="C220" s="16"/>
    </row>
    <row r="221">
      <c r="A221" s="16" t="s">
        <v>174</v>
      </c>
      <c r="B221" s="16"/>
      <c r="C221" s="16"/>
    </row>
    <row r="222">
      <c r="A222" s="16" t="s">
        <v>174</v>
      </c>
      <c r="B222" s="16"/>
      <c r="C222" s="16"/>
    </row>
    <row r="223">
      <c r="A223" s="16" t="s">
        <v>174</v>
      </c>
      <c r="B223" s="16"/>
      <c r="C223" s="16"/>
    </row>
    <row r="224">
      <c r="A224" s="16" t="s">
        <v>174</v>
      </c>
      <c r="B224" s="16"/>
      <c r="C224" s="16"/>
    </row>
    <row r="225">
      <c r="A225" s="16" t="s">
        <v>174</v>
      </c>
      <c r="B225" s="16"/>
      <c r="C225" s="16"/>
    </row>
    <row r="226">
      <c r="A226" s="16" t="s">
        <v>174</v>
      </c>
      <c r="B226" s="16"/>
      <c r="C226" s="16"/>
    </row>
    <row r="227">
      <c r="A227" s="16" t="s">
        <v>174</v>
      </c>
      <c r="B227" s="16"/>
      <c r="C227" s="16"/>
    </row>
    <row r="228">
      <c r="A228" s="16" t="s">
        <v>174</v>
      </c>
      <c r="B228" s="16"/>
      <c r="C228" s="16"/>
    </row>
    <row r="229">
      <c r="A229" s="16" t="s">
        <v>174</v>
      </c>
      <c r="B229" s="16"/>
      <c r="C229" s="16"/>
    </row>
    <row r="230">
      <c r="A230" s="16" t="s">
        <v>174</v>
      </c>
      <c r="B230" s="16"/>
      <c r="C230" s="16"/>
    </row>
    <row r="231">
      <c r="A231" s="16" t="s">
        <v>174</v>
      </c>
      <c r="B231" s="16"/>
      <c r="C231" s="16"/>
    </row>
    <row r="232">
      <c r="A232" s="16" t="s">
        <v>174</v>
      </c>
      <c r="B232" s="16"/>
      <c r="C232" s="16"/>
    </row>
    <row r="233">
      <c r="A233" s="16" t="s">
        <v>174</v>
      </c>
      <c r="B233" s="16"/>
      <c r="C233" s="16"/>
    </row>
    <row r="234">
      <c r="A234" s="16" t="s">
        <v>174</v>
      </c>
      <c r="B234" s="16"/>
      <c r="C234" s="16"/>
    </row>
    <row r="235">
      <c r="A235" s="16" t="s">
        <v>174</v>
      </c>
      <c r="B235" s="16"/>
      <c r="C235" s="16"/>
    </row>
    <row r="236">
      <c r="A236" s="16" t="s">
        <v>174</v>
      </c>
      <c r="B236" s="16"/>
      <c r="C236" s="16"/>
    </row>
    <row r="237">
      <c r="A237" s="16" t="s">
        <v>174</v>
      </c>
      <c r="B237" s="16"/>
      <c r="C237" s="16"/>
    </row>
    <row r="238">
      <c r="A238" s="16" t="s">
        <v>174</v>
      </c>
      <c r="B238" s="16"/>
      <c r="C238" s="16"/>
    </row>
    <row r="239">
      <c r="A239" s="16" t="s">
        <v>174</v>
      </c>
      <c r="B239" s="16"/>
      <c r="C239" s="16"/>
    </row>
    <row r="240">
      <c r="A240" s="16" t="s">
        <v>174</v>
      </c>
      <c r="B240" s="16"/>
      <c r="C240" s="16"/>
    </row>
    <row r="241">
      <c r="A241" s="16" t="s">
        <v>174</v>
      </c>
      <c r="B241" s="16"/>
      <c r="C241" s="16"/>
    </row>
    <row r="242">
      <c r="A242" s="16" t="s">
        <v>174</v>
      </c>
      <c r="B242" s="16"/>
      <c r="C242" s="16"/>
    </row>
    <row r="243">
      <c r="A243" s="16" t="s">
        <v>174</v>
      </c>
      <c r="B243" s="16"/>
      <c r="C243" s="16"/>
    </row>
    <row r="244">
      <c r="A244" s="16" t="s">
        <v>174</v>
      </c>
      <c r="B244" s="16"/>
      <c r="C244" s="16"/>
    </row>
    <row r="245">
      <c r="A245" s="16" t="s">
        <v>174</v>
      </c>
      <c r="B245" s="16"/>
      <c r="C245" s="16"/>
    </row>
    <row r="246">
      <c r="A246" s="16" t="s">
        <v>174</v>
      </c>
      <c r="B246" s="16"/>
      <c r="C246" s="16"/>
    </row>
    <row r="247">
      <c r="A247" s="16" t="s">
        <v>174</v>
      </c>
      <c r="B247" s="16"/>
      <c r="C247" s="16"/>
    </row>
    <row r="248">
      <c r="A248" s="16" t="s">
        <v>174</v>
      </c>
      <c r="B248" s="16"/>
      <c r="C248" s="16"/>
    </row>
    <row r="249">
      <c r="A249" s="16" t="s">
        <v>174</v>
      </c>
      <c r="B249" s="16"/>
      <c r="C249" s="16"/>
    </row>
    <row r="250">
      <c r="A250" s="16" t="s">
        <v>174</v>
      </c>
      <c r="B250" s="16"/>
      <c r="C250" s="16"/>
    </row>
    <row r="251">
      <c r="A251" s="16" t="s">
        <v>174</v>
      </c>
      <c r="B251" s="16"/>
      <c r="C251" s="16"/>
    </row>
    <row r="252">
      <c r="A252" s="16" t="s">
        <v>174</v>
      </c>
      <c r="B252" s="16"/>
      <c r="C252" s="16"/>
    </row>
    <row r="253">
      <c r="A253" s="16" t="s">
        <v>174</v>
      </c>
      <c r="B253" s="16"/>
      <c r="C253" s="16"/>
    </row>
    <row r="254">
      <c r="A254" s="16" t="s">
        <v>174</v>
      </c>
      <c r="B254" s="16"/>
      <c r="C254" s="16"/>
    </row>
    <row r="255">
      <c r="A255" s="16" t="s">
        <v>174</v>
      </c>
      <c r="B255" s="16"/>
      <c r="C255" s="16"/>
    </row>
    <row r="256">
      <c r="A256" s="16" t="s">
        <v>174</v>
      </c>
      <c r="B256" s="16"/>
      <c r="C256" s="16"/>
    </row>
    <row r="257">
      <c r="A257" s="16" t="s">
        <v>174</v>
      </c>
      <c r="B257" s="16"/>
      <c r="C257" s="16"/>
    </row>
    <row r="258">
      <c r="A258" s="16" t="s">
        <v>174</v>
      </c>
      <c r="B258" s="16"/>
      <c r="C258" s="16"/>
    </row>
    <row r="259">
      <c r="A259" s="16" t="s">
        <v>174</v>
      </c>
      <c r="B259" s="16"/>
      <c r="C259" s="16"/>
    </row>
    <row r="260">
      <c r="A260" s="16" t="s">
        <v>174</v>
      </c>
      <c r="B260" s="16"/>
      <c r="C260" s="16"/>
    </row>
    <row r="261">
      <c r="A261" s="16" t="s">
        <v>174</v>
      </c>
      <c r="B261" s="16"/>
      <c r="C261" s="16"/>
    </row>
    <row r="262">
      <c r="A262" s="16" t="s">
        <v>174</v>
      </c>
      <c r="B262" s="16"/>
      <c r="C262" s="16"/>
    </row>
    <row r="263">
      <c r="A263" s="16" t="s">
        <v>174</v>
      </c>
      <c r="B263" s="16"/>
      <c r="C263" s="16"/>
    </row>
    <row r="264">
      <c r="A264" s="16" t="s">
        <v>174</v>
      </c>
      <c r="B264" s="16"/>
      <c r="C264" s="16"/>
    </row>
    <row r="265">
      <c r="A265" s="16" t="s">
        <v>174</v>
      </c>
      <c r="B265" s="16"/>
      <c r="C265" s="16"/>
    </row>
    <row r="266">
      <c r="A266" s="16" t="s">
        <v>174</v>
      </c>
      <c r="B266" s="16"/>
      <c r="C266" s="16"/>
    </row>
    <row r="267">
      <c r="A267" s="16" t="s">
        <v>174</v>
      </c>
      <c r="B267" s="16"/>
      <c r="C267" s="16"/>
    </row>
    <row r="268">
      <c r="A268" s="16" t="s">
        <v>174</v>
      </c>
      <c r="B268" s="16"/>
      <c r="C268" s="16"/>
    </row>
    <row r="269">
      <c r="A269" s="16" t="s">
        <v>174</v>
      </c>
      <c r="B269" s="16"/>
      <c r="C269" s="16"/>
    </row>
    <row r="270">
      <c r="A270" s="16" t="s">
        <v>174</v>
      </c>
      <c r="B270" s="16"/>
      <c r="C270" s="16"/>
    </row>
    <row r="271">
      <c r="A271" s="16" t="s">
        <v>174</v>
      </c>
      <c r="B271" s="16"/>
      <c r="C271" s="16"/>
    </row>
    <row r="272">
      <c r="A272" s="16" t="s">
        <v>174</v>
      </c>
      <c r="B272" s="16"/>
      <c r="C272" s="16"/>
    </row>
    <row r="273">
      <c r="A273" s="16" t="s">
        <v>174</v>
      </c>
      <c r="B273" s="16"/>
      <c r="C273" s="16"/>
    </row>
    <row r="274">
      <c r="A274" s="16" t="s">
        <v>174</v>
      </c>
      <c r="B274" s="16"/>
      <c r="C274" s="16"/>
    </row>
    <row r="275">
      <c r="A275" s="16" t="s">
        <v>174</v>
      </c>
      <c r="B275" s="16"/>
      <c r="C275" s="16"/>
    </row>
    <row r="276">
      <c r="A276" s="16" t="s">
        <v>174</v>
      </c>
      <c r="B276" s="16"/>
      <c r="C276" s="16"/>
    </row>
    <row r="277">
      <c r="A277" s="16" t="s">
        <v>174</v>
      </c>
      <c r="B277" s="16"/>
      <c r="C277" s="16"/>
    </row>
    <row r="278">
      <c r="A278" s="16" t="s">
        <v>174</v>
      </c>
      <c r="B278" s="16"/>
      <c r="C278" s="16"/>
    </row>
    <row r="279">
      <c r="A279" s="16" t="s">
        <v>174</v>
      </c>
      <c r="B279" s="16"/>
      <c r="C279" s="16"/>
    </row>
    <row r="280">
      <c r="A280" s="16" t="s">
        <v>174</v>
      </c>
      <c r="B280" s="16"/>
      <c r="C280" s="16"/>
    </row>
    <row r="281">
      <c r="A281" s="16" t="s">
        <v>174</v>
      </c>
      <c r="B281" s="16"/>
      <c r="C281" s="16"/>
    </row>
    <row r="282">
      <c r="A282" s="16" t="s">
        <v>174</v>
      </c>
      <c r="B282" s="16"/>
      <c r="C282" s="16"/>
    </row>
    <row r="283">
      <c r="A283" s="16" t="s">
        <v>174</v>
      </c>
      <c r="B283" s="16"/>
      <c r="C283" s="16"/>
    </row>
    <row r="284">
      <c r="A284" s="16" t="s">
        <v>174</v>
      </c>
      <c r="B284" s="16"/>
      <c r="C284" s="16"/>
    </row>
    <row r="285">
      <c r="A285" s="16" t="s">
        <v>174</v>
      </c>
      <c r="B285" s="16"/>
      <c r="C285" s="16"/>
    </row>
    <row r="286">
      <c r="A286" s="16" t="s">
        <v>174</v>
      </c>
      <c r="B286" s="16"/>
      <c r="C286" s="16"/>
    </row>
    <row r="287">
      <c r="A287" s="16" t="s">
        <v>174</v>
      </c>
      <c r="B287" s="16"/>
      <c r="C287" s="16"/>
    </row>
    <row r="288">
      <c r="A288" s="16" t="s">
        <v>174</v>
      </c>
      <c r="B288" s="16"/>
      <c r="C288" s="16"/>
    </row>
    <row r="289">
      <c r="A289" s="16" t="s">
        <v>174</v>
      </c>
      <c r="B289" s="16"/>
      <c r="C289" s="16"/>
    </row>
    <row r="290">
      <c r="A290" s="16" t="s">
        <v>174</v>
      </c>
      <c r="B290" s="16"/>
      <c r="C290" s="16"/>
    </row>
    <row r="291">
      <c r="A291" s="16" t="s">
        <v>174</v>
      </c>
      <c r="B291" s="16"/>
      <c r="C291" s="16"/>
    </row>
    <row r="292">
      <c r="A292" s="16" t="s">
        <v>174</v>
      </c>
      <c r="B292" s="16"/>
      <c r="C292" s="16"/>
    </row>
    <row r="293">
      <c r="A293" s="16" t="s">
        <v>174</v>
      </c>
      <c r="B293" s="16"/>
      <c r="C293" s="16"/>
    </row>
    <row r="294">
      <c r="A294" s="16" t="s">
        <v>174</v>
      </c>
      <c r="B294" s="16"/>
      <c r="C294" s="16"/>
    </row>
    <row r="295">
      <c r="A295" s="16" t="s">
        <v>174</v>
      </c>
      <c r="B295" s="16"/>
      <c r="C295" s="16"/>
    </row>
    <row r="296">
      <c r="A296" s="16" t="s">
        <v>174</v>
      </c>
      <c r="B296" s="16"/>
      <c r="C296" s="16"/>
    </row>
    <row r="297">
      <c r="A297" s="16" t="s">
        <v>174</v>
      </c>
      <c r="B297" s="16"/>
      <c r="C297" s="16"/>
    </row>
    <row r="298">
      <c r="A298" s="16" t="s">
        <v>174</v>
      </c>
      <c r="B298" s="16"/>
      <c r="C298" s="16"/>
    </row>
    <row r="299">
      <c r="A299" s="16" t="s">
        <v>174</v>
      </c>
      <c r="B299" s="16"/>
      <c r="C299" s="16"/>
    </row>
    <row r="300">
      <c r="A300" s="16" t="s">
        <v>174</v>
      </c>
      <c r="B300" s="16"/>
      <c r="C300" s="16"/>
    </row>
    <row r="301">
      <c r="A301" s="16" t="s">
        <v>174</v>
      </c>
      <c r="B301" s="16"/>
      <c r="C301" s="16"/>
    </row>
    <row r="302">
      <c r="A302" s="16" t="s">
        <v>174</v>
      </c>
      <c r="B302" s="16"/>
      <c r="C302" s="16"/>
    </row>
    <row r="303">
      <c r="A303" s="16" t="s">
        <v>174</v>
      </c>
      <c r="B303" s="16"/>
      <c r="C303" s="16"/>
    </row>
    <row r="304">
      <c r="A304" s="16" t="s">
        <v>174</v>
      </c>
      <c r="B304" s="16"/>
      <c r="C304" s="16"/>
    </row>
    <row r="305">
      <c r="A305" s="16" t="s">
        <v>174</v>
      </c>
      <c r="B305" s="16"/>
      <c r="C305" s="16"/>
    </row>
    <row r="306">
      <c r="A306" s="16" t="s">
        <v>174</v>
      </c>
      <c r="B306" s="16"/>
      <c r="C306" s="16"/>
    </row>
    <row r="307">
      <c r="A307" s="16" t="s">
        <v>174</v>
      </c>
      <c r="B307" s="16"/>
      <c r="C307" s="16"/>
    </row>
    <row r="308">
      <c r="A308" s="16" t="s">
        <v>174</v>
      </c>
      <c r="B308" s="16"/>
      <c r="C308" s="16"/>
    </row>
    <row r="309">
      <c r="A309" s="16" t="s">
        <v>174</v>
      </c>
      <c r="B309" s="16"/>
      <c r="C309" s="16"/>
    </row>
    <row r="310">
      <c r="A310" s="16" t="s">
        <v>174</v>
      </c>
      <c r="B310" s="16"/>
      <c r="C310" s="16"/>
    </row>
    <row r="311">
      <c r="A311" s="16" t="s">
        <v>174</v>
      </c>
      <c r="B311" s="16"/>
      <c r="C311" s="16"/>
    </row>
    <row r="312">
      <c r="A312" s="16" t="s">
        <v>174</v>
      </c>
      <c r="B312" s="16"/>
      <c r="C312" s="16"/>
    </row>
    <row r="313">
      <c r="A313" s="16" t="s">
        <v>174</v>
      </c>
      <c r="B313" s="16"/>
      <c r="C313" s="16"/>
    </row>
    <row r="314">
      <c r="A314" s="16" t="s">
        <v>174</v>
      </c>
      <c r="B314" s="16"/>
      <c r="C314" s="16"/>
    </row>
    <row r="315">
      <c r="A315" s="16" t="s">
        <v>174</v>
      </c>
      <c r="B315" s="16"/>
      <c r="C315" s="16"/>
    </row>
    <row r="316">
      <c r="A316" s="16" t="s">
        <v>174</v>
      </c>
      <c r="B316" s="16"/>
      <c r="C316" s="16"/>
    </row>
    <row r="317">
      <c r="A317" s="16" t="s">
        <v>174</v>
      </c>
      <c r="B317" s="16"/>
      <c r="C317" s="16"/>
    </row>
    <row r="318">
      <c r="A318" s="16" t="s">
        <v>174</v>
      </c>
      <c r="B318" s="16"/>
      <c r="C318" s="16"/>
    </row>
    <row r="319">
      <c r="A319" s="16" t="s">
        <v>174</v>
      </c>
      <c r="B319" s="16"/>
      <c r="C319" s="16"/>
    </row>
    <row r="320">
      <c r="A320" s="16" t="s">
        <v>174</v>
      </c>
      <c r="B320" s="16"/>
      <c r="C320" s="16"/>
    </row>
    <row r="321">
      <c r="A321" s="16" t="s">
        <v>174</v>
      </c>
      <c r="B321" s="16"/>
      <c r="C321" s="16"/>
    </row>
    <row r="322">
      <c r="A322" s="16" t="s">
        <v>174</v>
      </c>
      <c r="B322" s="16"/>
      <c r="C322" s="16"/>
    </row>
    <row r="323">
      <c r="A323" s="16" t="s">
        <v>174</v>
      </c>
      <c r="B323" s="16"/>
      <c r="C323" s="16"/>
    </row>
    <row r="324">
      <c r="A324" s="16" t="s">
        <v>174</v>
      </c>
      <c r="B324" s="16"/>
      <c r="C324" s="16"/>
    </row>
    <row r="325">
      <c r="A325" s="16" t="s">
        <v>174</v>
      </c>
      <c r="B325" s="16"/>
      <c r="C325" s="16"/>
    </row>
    <row r="326">
      <c r="A326" s="16" t="s">
        <v>174</v>
      </c>
      <c r="B326" s="16"/>
      <c r="C326" s="16"/>
    </row>
    <row r="327">
      <c r="A327" s="16" t="s">
        <v>174</v>
      </c>
      <c r="B327" s="16"/>
      <c r="C327" s="16"/>
    </row>
    <row r="328">
      <c r="A328" s="16" t="s">
        <v>174</v>
      </c>
      <c r="B328" s="16"/>
      <c r="C328" s="16"/>
    </row>
    <row r="329">
      <c r="A329" s="16" t="s">
        <v>174</v>
      </c>
      <c r="B329" s="16"/>
      <c r="C329" s="16"/>
    </row>
    <row r="330">
      <c r="A330" s="16" t="s">
        <v>174</v>
      </c>
      <c r="B330" s="16"/>
      <c r="C330" s="16"/>
    </row>
    <row r="331">
      <c r="A331" s="16" t="s">
        <v>174</v>
      </c>
      <c r="B331" s="16"/>
      <c r="C331" s="16"/>
    </row>
    <row r="332">
      <c r="A332" s="16" t="s">
        <v>174</v>
      </c>
      <c r="B332" s="16"/>
      <c r="C332" s="16"/>
    </row>
    <row r="333">
      <c r="A333" s="16" t="s">
        <v>174</v>
      </c>
      <c r="B333" s="16"/>
      <c r="C333" s="16"/>
    </row>
    <row r="334">
      <c r="A334" s="16" t="s">
        <v>174</v>
      </c>
      <c r="B334" s="16"/>
      <c r="C334" s="16"/>
    </row>
    <row r="335">
      <c r="A335" s="16" t="s">
        <v>174</v>
      </c>
      <c r="B335" s="16"/>
      <c r="C335" s="16"/>
    </row>
    <row r="336">
      <c r="A336" s="16" t="s">
        <v>174</v>
      </c>
      <c r="B336" s="16"/>
      <c r="C336" s="16"/>
    </row>
    <row r="337">
      <c r="A337" s="16" t="s">
        <v>174</v>
      </c>
      <c r="B337" s="16"/>
      <c r="C337" s="16"/>
    </row>
    <row r="338">
      <c r="A338" s="16" t="s">
        <v>174</v>
      </c>
      <c r="B338" s="16"/>
      <c r="C338" s="16"/>
    </row>
    <row r="339">
      <c r="A339" s="16" t="s">
        <v>174</v>
      </c>
      <c r="B339" s="16"/>
      <c r="C339" s="16"/>
    </row>
    <row r="340">
      <c r="A340" s="16" t="s">
        <v>174</v>
      </c>
      <c r="B340" s="16"/>
      <c r="C340" s="16"/>
    </row>
    <row r="341">
      <c r="A341" s="16" t="s">
        <v>174</v>
      </c>
      <c r="B341" s="16"/>
      <c r="C341" s="16"/>
    </row>
    <row r="342">
      <c r="A342" s="16" t="s">
        <v>174</v>
      </c>
      <c r="B342" s="16"/>
      <c r="C342" s="16"/>
    </row>
    <row r="343">
      <c r="A343" s="16" t="s">
        <v>174</v>
      </c>
      <c r="B343" s="16"/>
      <c r="C343" s="16"/>
    </row>
    <row r="344">
      <c r="A344" s="16" t="s">
        <v>174</v>
      </c>
      <c r="B344" s="16"/>
      <c r="C344" s="16"/>
    </row>
    <row r="345">
      <c r="A345" s="16" t="s">
        <v>174</v>
      </c>
      <c r="B345" s="16"/>
      <c r="C345" s="16"/>
    </row>
    <row r="346">
      <c r="A346" s="16" t="s">
        <v>174</v>
      </c>
      <c r="B346" s="16"/>
      <c r="C346" s="16"/>
    </row>
    <row r="347">
      <c r="A347" s="16" t="s">
        <v>174</v>
      </c>
      <c r="B347" s="16"/>
      <c r="C347" s="16"/>
    </row>
    <row r="348">
      <c r="A348" s="16" t="s">
        <v>174</v>
      </c>
      <c r="B348" s="16"/>
      <c r="C348" s="16"/>
    </row>
    <row r="349">
      <c r="A349" s="16" t="s">
        <v>174</v>
      </c>
      <c r="B349" s="16"/>
      <c r="C349" s="16"/>
    </row>
    <row r="350">
      <c r="A350" s="16" t="s">
        <v>174</v>
      </c>
      <c r="B350" s="16"/>
      <c r="C350" s="16"/>
    </row>
    <row r="351">
      <c r="A351" s="16" t="s">
        <v>174</v>
      </c>
      <c r="B351" s="16"/>
      <c r="C351" s="16"/>
    </row>
    <row r="352">
      <c r="A352" s="16" t="s">
        <v>174</v>
      </c>
      <c r="B352" s="16"/>
      <c r="C352" s="16"/>
    </row>
    <row r="353">
      <c r="A353" s="16" t="s">
        <v>174</v>
      </c>
      <c r="B353" s="16"/>
      <c r="C353" s="16"/>
    </row>
    <row r="354">
      <c r="A354" s="16" t="s">
        <v>174</v>
      </c>
      <c r="B354" s="16"/>
      <c r="C354" s="16"/>
    </row>
    <row r="355">
      <c r="A355" s="16" t="s">
        <v>174</v>
      </c>
      <c r="B355" s="16"/>
      <c r="C355" s="16"/>
    </row>
    <row r="356">
      <c r="A356" s="16" t="s">
        <v>174</v>
      </c>
      <c r="B356" s="16"/>
      <c r="C356" s="16"/>
    </row>
    <row r="357">
      <c r="A357" s="16" t="s">
        <v>174</v>
      </c>
      <c r="B357" s="16"/>
      <c r="C357" s="16"/>
    </row>
    <row r="358">
      <c r="A358" s="16" t="s">
        <v>174</v>
      </c>
      <c r="B358" s="16"/>
      <c r="C358" s="16"/>
    </row>
    <row r="359">
      <c r="A359" s="16" t="s">
        <v>174</v>
      </c>
      <c r="B359" s="16"/>
      <c r="C359" s="16"/>
    </row>
    <row r="360">
      <c r="A360" s="16" t="s">
        <v>174</v>
      </c>
      <c r="B360" s="16"/>
      <c r="C360" s="16"/>
    </row>
    <row r="361">
      <c r="A361" s="16" t="s">
        <v>174</v>
      </c>
      <c r="B361" s="16"/>
      <c r="C361" s="16"/>
    </row>
    <row r="362">
      <c r="A362" s="16" t="s">
        <v>174</v>
      </c>
      <c r="B362" s="16"/>
      <c r="C362" s="16"/>
    </row>
    <row r="363">
      <c r="A363" s="16" t="s">
        <v>174</v>
      </c>
      <c r="B363" s="16"/>
      <c r="C363" s="16"/>
    </row>
    <row r="364">
      <c r="A364" s="16" t="s">
        <v>174</v>
      </c>
      <c r="B364" s="16"/>
      <c r="C364" s="16"/>
    </row>
    <row r="365">
      <c r="A365" s="16" t="s">
        <v>174</v>
      </c>
      <c r="B365" s="16"/>
      <c r="C365" s="16"/>
    </row>
    <row r="366">
      <c r="A366" s="16" t="s">
        <v>174</v>
      </c>
      <c r="B366" s="16"/>
      <c r="C366" s="16"/>
    </row>
    <row r="367">
      <c r="A367" s="16" t="s">
        <v>174</v>
      </c>
      <c r="B367" s="16"/>
      <c r="C367" s="16"/>
    </row>
    <row r="368">
      <c r="A368" s="16" t="s">
        <v>174</v>
      </c>
      <c r="B368" s="16"/>
      <c r="C368" s="16"/>
    </row>
    <row r="369">
      <c r="A369" s="16" t="s">
        <v>174</v>
      </c>
      <c r="B369" s="16"/>
      <c r="C369" s="16"/>
    </row>
    <row r="370">
      <c r="A370" s="16" t="s">
        <v>174</v>
      </c>
      <c r="B370" s="16"/>
      <c r="C370" s="16"/>
    </row>
    <row r="371">
      <c r="A371" s="16" t="s">
        <v>174</v>
      </c>
      <c r="B371" s="16"/>
      <c r="C371" s="16"/>
    </row>
    <row r="372">
      <c r="A372" s="16" t="s">
        <v>174</v>
      </c>
      <c r="B372" s="16"/>
      <c r="C372" s="16"/>
    </row>
    <row r="373">
      <c r="A373" s="16" t="s">
        <v>174</v>
      </c>
      <c r="B373" s="16"/>
      <c r="C373" s="16"/>
    </row>
    <row r="374">
      <c r="A374" s="16" t="s">
        <v>174</v>
      </c>
      <c r="B374" s="16"/>
      <c r="C374" s="16"/>
    </row>
    <row r="375">
      <c r="A375" s="16" t="s">
        <v>174</v>
      </c>
      <c r="B375" s="16"/>
      <c r="C375" s="16"/>
    </row>
    <row r="376">
      <c r="A376" s="16" t="s">
        <v>174</v>
      </c>
      <c r="B376" s="16"/>
      <c r="C376" s="16"/>
    </row>
    <row r="377">
      <c r="A377" s="16" t="s">
        <v>174</v>
      </c>
      <c r="B377" s="16"/>
      <c r="C377" s="16"/>
    </row>
    <row r="378">
      <c r="A378" s="16" t="s">
        <v>174</v>
      </c>
      <c r="B378" s="16"/>
      <c r="C378" s="16"/>
    </row>
    <row r="379">
      <c r="A379" s="16" t="s">
        <v>174</v>
      </c>
      <c r="B379" s="16"/>
      <c r="C379" s="16"/>
    </row>
    <row r="380">
      <c r="A380" s="16" t="s">
        <v>174</v>
      </c>
      <c r="B380" s="16"/>
      <c r="C380" s="16"/>
    </row>
    <row r="381">
      <c r="A381" s="16" t="s">
        <v>174</v>
      </c>
      <c r="B381" s="16"/>
      <c r="C381" s="16"/>
    </row>
    <row r="382">
      <c r="A382" s="16" t="s">
        <v>174</v>
      </c>
      <c r="B382" s="16"/>
      <c r="C382" s="16"/>
    </row>
    <row r="383">
      <c r="A383" s="16" t="s">
        <v>174</v>
      </c>
      <c r="B383" s="16"/>
      <c r="C383" s="16"/>
    </row>
    <row r="384">
      <c r="A384" s="16" t="s">
        <v>174</v>
      </c>
      <c r="B384" s="16"/>
      <c r="C384" s="16"/>
    </row>
    <row r="385">
      <c r="A385" s="16" t="s">
        <v>174</v>
      </c>
      <c r="B385" s="16"/>
      <c r="C385" s="16"/>
    </row>
    <row r="386">
      <c r="A386" s="16" t="s">
        <v>174</v>
      </c>
      <c r="B386" s="16"/>
      <c r="C386" s="16"/>
    </row>
    <row r="387">
      <c r="A387" s="16" t="s">
        <v>174</v>
      </c>
      <c r="B387" s="16"/>
      <c r="C387" s="16"/>
    </row>
    <row r="388">
      <c r="A388" s="16" t="s">
        <v>174</v>
      </c>
      <c r="B388" s="16"/>
      <c r="C388" s="16"/>
    </row>
    <row r="389">
      <c r="A389" s="16" t="s">
        <v>174</v>
      </c>
      <c r="B389" s="16"/>
      <c r="C389" s="16"/>
    </row>
    <row r="390">
      <c r="A390" s="16" t="s">
        <v>174</v>
      </c>
      <c r="B390" s="16"/>
      <c r="C390" s="16"/>
    </row>
    <row r="391">
      <c r="A391" s="16" t="s">
        <v>174</v>
      </c>
      <c r="B391" s="16"/>
      <c r="C391" s="16"/>
    </row>
    <row r="392">
      <c r="A392" s="16" t="s">
        <v>174</v>
      </c>
      <c r="B392" s="16"/>
      <c r="C392" s="16"/>
    </row>
    <row r="393">
      <c r="A393" s="16" t="s">
        <v>174</v>
      </c>
      <c r="B393" s="16"/>
      <c r="C393" s="16"/>
    </row>
    <row r="394">
      <c r="A394" s="16" t="s">
        <v>174</v>
      </c>
      <c r="B394" s="16"/>
      <c r="C394" s="16"/>
    </row>
    <row r="395">
      <c r="A395" s="16" t="s">
        <v>174</v>
      </c>
      <c r="B395" s="16"/>
      <c r="C395" s="16"/>
    </row>
    <row r="396">
      <c r="A396" s="16" t="s">
        <v>174</v>
      </c>
      <c r="B396" s="16"/>
      <c r="C396" s="16"/>
    </row>
    <row r="397">
      <c r="A397" s="16" t="s">
        <v>174</v>
      </c>
      <c r="B397" s="16"/>
      <c r="C397" s="16"/>
    </row>
    <row r="398">
      <c r="A398" s="16" t="s">
        <v>174</v>
      </c>
      <c r="B398" s="16"/>
      <c r="C398" s="16"/>
    </row>
    <row r="399">
      <c r="A399" s="16" t="s">
        <v>174</v>
      </c>
      <c r="B399" s="16"/>
      <c r="C399" s="16"/>
    </row>
    <row r="400">
      <c r="A400" s="16" t="s">
        <v>174</v>
      </c>
      <c r="B400" s="16"/>
      <c r="C400" s="16"/>
    </row>
    <row r="401">
      <c r="A401" s="16" t="s">
        <v>174</v>
      </c>
      <c r="B401" s="16"/>
      <c r="C401" s="16"/>
    </row>
    <row r="402">
      <c r="A402" s="16" t="s">
        <v>174</v>
      </c>
      <c r="B402" s="16"/>
      <c r="C402" s="16"/>
    </row>
    <row r="403">
      <c r="A403" s="16" t="s">
        <v>174</v>
      </c>
      <c r="B403" s="16"/>
      <c r="C403" s="16"/>
    </row>
    <row r="404">
      <c r="A404" s="16" t="s">
        <v>174</v>
      </c>
      <c r="B404" s="16"/>
      <c r="C404" s="16"/>
    </row>
    <row r="405">
      <c r="A405" s="16" t="s">
        <v>174</v>
      </c>
      <c r="B405" s="16"/>
      <c r="C405" s="16"/>
    </row>
    <row r="406">
      <c r="A406" s="16" t="s">
        <v>174</v>
      </c>
      <c r="B406" s="16"/>
      <c r="C406" s="16"/>
    </row>
    <row r="407">
      <c r="A407" s="16" t="s">
        <v>174</v>
      </c>
      <c r="B407" s="16"/>
      <c r="C407" s="16"/>
    </row>
    <row r="408">
      <c r="A408" s="16" t="s">
        <v>174</v>
      </c>
      <c r="B408" s="16"/>
      <c r="C408" s="16"/>
    </row>
    <row r="409">
      <c r="A409" s="16" t="s">
        <v>174</v>
      </c>
      <c r="B409" s="16"/>
      <c r="C409" s="16"/>
    </row>
    <row r="410">
      <c r="A410" s="16" t="s">
        <v>174</v>
      </c>
      <c r="B410" s="16"/>
      <c r="C410" s="16"/>
    </row>
    <row r="411">
      <c r="A411" s="16" t="s">
        <v>174</v>
      </c>
      <c r="B411" s="16"/>
      <c r="C411" s="16"/>
    </row>
    <row r="412">
      <c r="A412" s="16" t="s">
        <v>174</v>
      </c>
      <c r="B412" s="16"/>
      <c r="C412" s="16"/>
    </row>
    <row r="413">
      <c r="A413" s="16" t="s">
        <v>174</v>
      </c>
      <c r="B413" s="16"/>
      <c r="C413" s="16"/>
    </row>
    <row r="414">
      <c r="A414" s="16" t="s">
        <v>174</v>
      </c>
      <c r="B414" s="16"/>
      <c r="C414" s="16"/>
    </row>
    <row r="415">
      <c r="A415" s="16" t="s">
        <v>174</v>
      </c>
      <c r="B415" s="16"/>
      <c r="C415" s="16"/>
    </row>
    <row r="416">
      <c r="A416" s="16" t="s">
        <v>174</v>
      </c>
      <c r="B416" s="16"/>
      <c r="C416" s="16"/>
    </row>
    <row r="417">
      <c r="A417" s="16" t="s">
        <v>174</v>
      </c>
      <c r="B417" s="16"/>
      <c r="C417" s="16"/>
    </row>
    <row r="418">
      <c r="A418" s="16" t="s">
        <v>174</v>
      </c>
      <c r="B418" s="16"/>
      <c r="C418" s="16"/>
    </row>
    <row r="419">
      <c r="A419" s="16" t="s">
        <v>174</v>
      </c>
      <c r="B419" s="16"/>
      <c r="C419" s="16"/>
    </row>
    <row r="420">
      <c r="A420" s="16" t="s">
        <v>174</v>
      </c>
      <c r="B420" s="16"/>
      <c r="C420" s="16"/>
    </row>
    <row r="421">
      <c r="A421" s="16" t="s">
        <v>174</v>
      </c>
      <c r="B421" s="16"/>
      <c r="C421" s="16"/>
    </row>
    <row r="422">
      <c r="A422" s="16" t="s">
        <v>174</v>
      </c>
      <c r="B422" s="16"/>
      <c r="C422" s="16"/>
    </row>
    <row r="423">
      <c r="A423" s="16" t="s">
        <v>174</v>
      </c>
      <c r="B423" s="16"/>
      <c r="C423" s="16"/>
    </row>
    <row r="424">
      <c r="A424" s="16" t="s">
        <v>174</v>
      </c>
      <c r="B424" s="16"/>
      <c r="C424" s="16"/>
    </row>
    <row r="425">
      <c r="A425" s="16" t="s">
        <v>174</v>
      </c>
      <c r="B425" s="16"/>
      <c r="C425" s="16"/>
    </row>
    <row r="426">
      <c r="A426" s="16" t="s">
        <v>174</v>
      </c>
      <c r="B426" s="16"/>
      <c r="C426" s="16"/>
    </row>
    <row r="427">
      <c r="A427" s="16" t="s">
        <v>174</v>
      </c>
      <c r="B427" s="16"/>
      <c r="C427" s="16"/>
    </row>
    <row r="428">
      <c r="A428" s="16" t="s">
        <v>174</v>
      </c>
      <c r="B428" s="16"/>
      <c r="C428" s="16"/>
    </row>
    <row r="429">
      <c r="A429" s="16" t="s">
        <v>174</v>
      </c>
      <c r="B429" s="16"/>
      <c r="C429" s="16"/>
    </row>
    <row r="430">
      <c r="A430" s="16" t="s">
        <v>174</v>
      </c>
      <c r="B430" s="16"/>
      <c r="C430" s="16"/>
    </row>
    <row r="431">
      <c r="A431" s="16" t="s">
        <v>174</v>
      </c>
      <c r="B431" s="16"/>
      <c r="C431" s="16"/>
    </row>
    <row r="432">
      <c r="A432" s="16" t="s">
        <v>174</v>
      </c>
      <c r="B432" s="16"/>
      <c r="C432" s="16"/>
    </row>
    <row r="433">
      <c r="A433" s="16" t="s">
        <v>174</v>
      </c>
      <c r="B433" s="16"/>
      <c r="C433" s="16"/>
    </row>
    <row r="434">
      <c r="A434" s="16" t="s">
        <v>174</v>
      </c>
      <c r="B434" s="16"/>
      <c r="C434" s="16"/>
    </row>
    <row r="435">
      <c r="A435" s="16" t="s">
        <v>174</v>
      </c>
      <c r="B435" s="16"/>
      <c r="C435" s="16"/>
    </row>
    <row r="436">
      <c r="A436" s="16" t="s">
        <v>174</v>
      </c>
      <c r="B436" s="16"/>
      <c r="C436" s="16"/>
    </row>
    <row r="437">
      <c r="A437" s="16" t="s">
        <v>174</v>
      </c>
      <c r="B437" s="16"/>
      <c r="C437" s="16"/>
    </row>
    <row r="438">
      <c r="A438" s="16" t="s">
        <v>174</v>
      </c>
      <c r="B438" s="16"/>
      <c r="C438" s="16"/>
    </row>
    <row r="439">
      <c r="A439" s="16" t="s">
        <v>174</v>
      </c>
      <c r="B439" s="16"/>
      <c r="C439" s="16"/>
    </row>
    <row r="440">
      <c r="A440" s="16" t="s">
        <v>174</v>
      </c>
      <c r="B440" s="16"/>
      <c r="C440" s="16"/>
    </row>
    <row r="441">
      <c r="A441" s="16" t="s">
        <v>174</v>
      </c>
      <c r="B441" s="16"/>
      <c r="C441" s="16"/>
    </row>
    <row r="442">
      <c r="A442" s="16" t="s">
        <v>174</v>
      </c>
      <c r="B442" s="16"/>
      <c r="C442" s="16"/>
    </row>
    <row r="443">
      <c r="A443" s="16" t="s">
        <v>174</v>
      </c>
      <c r="B443" s="16"/>
      <c r="C443" s="16"/>
    </row>
    <row r="444">
      <c r="A444" s="16" t="s">
        <v>174</v>
      </c>
      <c r="B444" s="16"/>
      <c r="C444" s="16"/>
    </row>
    <row r="445">
      <c r="A445" s="16" t="s">
        <v>174</v>
      </c>
      <c r="B445" s="16"/>
      <c r="C445" s="16"/>
    </row>
    <row r="446">
      <c r="A446" s="16" t="s">
        <v>174</v>
      </c>
      <c r="B446" s="16"/>
      <c r="C446" s="16"/>
    </row>
    <row r="447">
      <c r="A447" s="16" t="s">
        <v>174</v>
      </c>
      <c r="B447" s="16"/>
      <c r="C447" s="16"/>
    </row>
    <row r="448">
      <c r="A448" s="16" t="s">
        <v>174</v>
      </c>
      <c r="B448" s="16"/>
      <c r="C448" s="16"/>
    </row>
    <row r="449">
      <c r="A449" s="16" t="s">
        <v>174</v>
      </c>
      <c r="B449" s="16"/>
      <c r="C449" s="16"/>
    </row>
    <row r="450">
      <c r="A450" s="16" t="s">
        <v>174</v>
      </c>
      <c r="B450" s="16"/>
      <c r="C450" s="16"/>
    </row>
    <row r="451">
      <c r="A451" s="16" t="s">
        <v>174</v>
      </c>
      <c r="B451" s="16"/>
      <c r="C451" s="16"/>
    </row>
    <row r="452">
      <c r="A452" s="16" t="s">
        <v>174</v>
      </c>
      <c r="B452" s="16"/>
      <c r="C452" s="16"/>
    </row>
    <row r="453">
      <c r="A453" s="16" t="s">
        <v>174</v>
      </c>
      <c r="B453" s="16"/>
      <c r="C453" s="16"/>
    </row>
    <row r="454">
      <c r="A454" s="16" t="s">
        <v>174</v>
      </c>
      <c r="B454" s="16"/>
      <c r="C454" s="16"/>
    </row>
    <row r="455">
      <c r="A455" s="16" t="s">
        <v>174</v>
      </c>
      <c r="B455" s="16"/>
      <c r="C455" s="16"/>
    </row>
    <row r="456">
      <c r="A456" s="16" t="s">
        <v>174</v>
      </c>
      <c r="B456" s="16"/>
      <c r="C456" s="16"/>
    </row>
    <row r="457">
      <c r="A457" s="16" t="s">
        <v>174</v>
      </c>
      <c r="B457" s="16"/>
      <c r="C457" s="16"/>
    </row>
    <row r="458">
      <c r="A458" s="16" t="s">
        <v>174</v>
      </c>
      <c r="B458" s="16"/>
      <c r="C458" s="16"/>
    </row>
    <row r="459">
      <c r="A459" s="16" t="s">
        <v>174</v>
      </c>
      <c r="B459" s="16"/>
      <c r="C459" s="16"/>
    </row>
    <row r="460">
      <c r="A460" s="16" t="s">
        <v>174</v>
      </c>
      <c r="B460" s="16"/>
      <c r="C460" s="16"/>
    </row>
    <row r="461">
      <c r="A461" s="16" t="s">
        <v>174</v>
      </c>
      <c r="B461" s="16"/>
      <c r="C461" s="16"/>
    </row>
    <row r="462">
      <c r="A462" s="16" t="s">
        <v>174</v>
      </c>
      <c r="B462" s="16"/>
      <c r="C462" s="16"/>
    </row>
    <row r="463">
      <c r="A463" s="16" t="s">
        <v>174</v>
      </c>
      <c r="B463" s="16"/>
      <c r="C463" s="16"/>
    </row>
    <row r="464">
      <c r="A464" s="16" t="s">
        <v>174</v>
      </c>
      <c r="B464" s="16"/>
      <c r="C464" s="16"/>
    </row>
    <row r="465">
      <c r="A465" s="16" t="s">
        <v>174</v>
      </c>
      <c r="B465" s="16"/>
      <c r="C465" s="16"/>
    </row>
    <row r="466">
      <c r="A466" s="16" t="s">
        <v>174</v>
      </c>
      <c r="B466" s="16"/>
      <c r="C466" s="16"/>
    </row>
    <row r="467">
      <c r="A467" s="16" t="s">
        <v>174</v>
      </c>
      <c r="B467" s="16"/>
      <c r="C467" s="16"/>
    </row>
    <row r="468">
      <c r="A468" s="16" t="s">
        <v>174</v>
      </c>
      <c r="B468" s="16"/>
      <c r="C468" s="16"/>
    </row>
    <row r="469">
      <c r="A469" s="16" t="s">
        <v>174</v>
      </c>
      <c r="B469" s="16"/>
      <c r="C469" s="16"/>
    </row>
    <row r="470">
      <c r="A470" s="16" t="s">
        <v>174</v>
      </c>
      <c r="B470" s="16"/>
      <c r="C470" s="16"/>
    </row>
    <row r="471">
      <c r="A471" s="16" t="s">
        <v>174</v>
      </c>
      <c r="B471" s="16"/>
      <c r="C471" s="16"/>
    </row>
    <row r="472">
      <c r="A472" s="16" t="s">
        <v>174</v>
      </c>
      <c r="B472" s="16"/>
      <c r="C472" s="16"/>
    </row>
    <row r="473">
      <c r="A473" s="16" t="s">
        <v>174</v>
      </c>
      <c r="B473" s="16"/>
      <c r="C473" s="16"/>
    </row>
    <row r="474">
      <c r="A474" s="16" t="s">
        <v>174</v>
      </c>
      <c r="B474" s="16"/>
      <c r="C474" s="16"/>
    </row>
    <row r="475">
      <c r="A475" s="16" t="s">
        <v>174</v>
      </c>
      <c r="B475" s="16"/>
      <c r="C475" s="16"/>
    </row>
    <row r="476">
      <c r="A476" s="16" t="s">
        <v>174</v>
      </c>
      <c r="B476" s="16"/>
      <c r="C476" s="16"/>
    </row>
    <row r="477">
      <c r="A477" s="16" t="s">
        <v>174</v>
      </c>
      <c r="B477" s="16"/>
      <c r="C477" s="16"/>
    </row>
    <row r="478">
      <c r="A478" s="16" t="s">
        <v>174</v>
      </c>
      <c r="B478" s="16"/>
      <c r="C478" s="16"/>
    </row>
    <row r="479">
      <c r="A479" s="16" t="s">
        <v>174</v>
      </c>
      <c r="B479" s="16"/>
      <c r="C479" s="16"/>
    </row>
    <row r="480">
      <c r="A480" s="16" t="s">
        <v>174</v>
      </c>
      <c r="B480" s="16"/>
      <c r="C480" s="16"/>
    </row>
    <row r="481">
      <c r="A481" s="16" t="s">
        <v>174</v>
      </c>
      <c r="B481" s="16"/>
      <c r="C481" s="16"/>
    </row>
    <row r="482">
      <c r="A482" s="16" t="s">
        <v>174</v>
      </c>
      <c r="B482" s="16"/>
      <c r="C482" s="16"/>
    </row>
    <row r="483">
      <c r="A483" s="16" t="s">
        <v>174</v>
      </c>
      <c r="B483" s="16"/>
      <c r="C483" s="16"/>
    </row>
    <row r="484">
      <c r="A484" s="16" t="s">
        <v>174</v>
      </c>
      <c r="B484" s="16"/>
      <c r="C484" s="16"/>
    </row>
    <row r="485">
      <c r="A485" s="16" t="s">
        <v>174</v>
      </c>
      <c r="B485" s="16"/>
      <c r="C485" s="16"/>
    </row>
    <row r="486">
      <c r="A486" s="16" t="s">
        <v>174</v>
      </c>
      <c r="B486" s="16"/>
      <c r="C486" s="16"/>
    </row>
    <row r="487">
      <c r="A487" s="16" t="s">
        <v>174</v>
      </c>
      <c r="B487" s="16"/>
      <c r="C487" s="16"/>
    </row>
    <row r="488">
      <c r="A488" s="16" t="s">
        <v>174</v>
      </c>
      <c r="B488" s="16"/>
      <c r="C488" s="16"/>
    </row>
    <row r="489">
      <c r="A489" s="16" t="s">
        <v>174</v>
      </c>
      <c r="B489" s="16"/>
      <c r="C489" s="16"/>
    </row>
    <row r="490">
      <c r="A490" s="16" t="s">
        <v>174</v>
      </c>
      <c r="B490" s="16"/>
      <c r="C490" s="16"/>
    </row>
    <row r="491">
      <c r="A491" s="16" t="s">
        <v>174</v>
      </c>
      <c r="B491" s="16"/>
      <c r="C491" s="16"/>
    </row>
    <row r="492">
      <c r="A492" s="16" t="s">
        <v>174</v>
      </c>
      <c r="B492" s="16"/>
      <c r="C492" s="16"/>
    </row>
    <row r="493">
      <c r="A493" s="16" t="s">
        <v>174</v>
      </c>
      <c r="B493" s="16"/>
      <c r="C493" s="16"/>
    </row>
    <row r="494">
      <c r="A494" s="16" t="s">
        <v>174</v>
      </c>
      <c r="B494" s="16"/>
      <c r="C494" s="16"/>
    </row>
    <row r="495">
      <c r="A495" s="16" t="s">
        <v>174</v>
      </c>
      <c r="B495" s="16"/>
      <c r="C495" s="16"/>
    </row>
    <row r="496">
      <c r="A496" s="16" t="s">
        <v>174</v>
      </c>
      <c r="B496" s="16"/>
      <c r="C496" s="16"/>
    </row>
    <row r="497">
      <c r="A497" s="16" t="s">
        <v>174</v>
      </c>
      <c r="B497" s="16"/>
      <c r="C497" s="16"/>
    </row>
    <row r="498">
      <c r="A498" s="16" t="s">
        <v>174</v>
      </c>
      <c r="B498" s="16"/>
      <c r="C498" s="16"/>
    </row>
    <row r="499">
      <c r="A499" s="16" t="s">
        <v>174</v>
      </c>
      <c r="B499" s="16"/>
      <c r="C499" s="16"/>
    </row>
    <row r="500">
      <c r="A500" s="16" t="s">
        <v>174</v>
      </c>
      <c r="B500" s="16"/>
      <c r="C500" s="16"/>
    </row>
    <row r="501">
      <c r="A501" s="16" t="s">
        <v>174</v>
      </c>
      <c r="B501" s="16"/>
      <c r="C501" s="16"/>
    </row>
    <row r="502">
      <c r="A502" s="16" t="s">
        <v>174</v>
      </c>
      <c r="B502" s="16"/>
      <c r="C502" s="16"/>
    </row>
    <row r="503">
      <c r="A503" s="16" t="s">
        <v>174</v>
      </c>
      <c r="B503" s="16"/>
      <c r="C503" s="16"/>
    </row>
    <row r="504">
      <c r="A504" s="16" t="s">
        <v>174</v>
      </c>
      <c r="B504" s="16"/>
      <c r="C504" s="16"/>
    </row>
    <row r="505">
      <c r="A505" s="16" t="s">
        <v>174</v>
      </c>
      <c r="B505" s="16"/>
      <c r="C505" s="16"/>
    </row>
    <row r="506">
      <c r="A506" s="16" t="s">
        <v>174</v>
      </c>
      <c r="B506" s="16"/>
      <c r="C506" s="16"/>
    </row>
    <row r="507">
      <c r="A507" s="16" t="s">
        <v>174</v>
      </c>
      <c r="B507" s="16"/>
      <c r="C507" s="16"/>
    </row>
    <row r="508">
      <c r="A508" s="16" t="s">
        <v>174</v>
      </c>
      <c r="B508" s="16"/>
      <c r="C508" s="16"/>
    </row>
    <row r="509">
      <c r="A509" s="16" t="s">
        <v>174</v>
      </c>
      <c r="B509" s="16"/>
      <c r="C509" s="16"/>
    </row>
    <row r="510">
      <c r="A510" s="16" t="s">
        <v>174</v>
      </c>
      <c r="B510" s="16"/>
      <c r="C510" s="16"/>
    </row>
    <row r="511">
      <c r="A511" s="16" t="s">
        <v>174</v>
      </c>
      <c r="B511" s="16"/>
      <c r="C511" s="16"/>
    </row>
    <row r="512">
      <c r="A512" s="16" t="s">
        <v>174</v>
      </c>
      <c r="B512" s="16"/>
      <c r="C512" s="16"/>
    </row>
    <row r="513">
      <c r="A513" s="16" t="s">
        <v>174</v>
      </c>
      <c r="B513" s="16"/>
      <c r="C513" s="16"/>
    </row>
    <row r="514">
      <c r="A514" s="16" t="s">
        <v>174</v>
      </c>
      <c r="B514" s="16"/>
      <c r="C514" s="16"/>
    </row>
    <row r="515">
      <c r="A515" s="16" t="s">
        <v>174</v>
      </c>
      <c r="B515" s="16"/>
      <c r="C515" s="16"/>
    </row>
    <row r="516">
      <c r="A516" s="16" t="s">
        <v>174</v>
      </c>
      <c r="B516" s="16"/>
      <c r="C516" s="16"/>
    </row>
    <row r="517">
      <c r="A517" s="16" t="s">
        <v>174</v>
      </c>
      <c r="B517" s="16"/>
      <c r="C517" s="16"/>
    </row>
    <row r="518">
      <c r="A518" s="16" t="s">
        <v>174</v>
      </c>
      <c r="B518" s="16"/>
      <c r="C518" s="16"/>
    </row>
    <row r="519">
      <c r="A519" s="16" t="s">
        <v>174</v>
      </c>
      <c r="B519" s="16"/>
      <c r="C519" s="16"/>
    </row>
    <row r="520">
      <c r="A520" s="16" t="s">
        <v>174</v>
      </c>
      <c r="B520" s="16"/>
      <c r="C520" s="16"/>
    </row>
    <row r="521">
      <c r="A521" s="16" t="s">
        <v>174</v>
      </c>
      <c r="B521" s="16"/>
      <c r="C521" s="16"/>
    </row>
    <row r="522">
      <c r="A522" s="16" t="s">
        <v>174</v>
      </c>
      <c r="B522" s="16"/>
      <c r="C522" s="16"/>
    </row>
    <row r="523">
      <c r="A523" s="16" t="s">
        <v>174</v>
      </c>
      <c r="B523" s="16"/>
      <c r="C523" s="16"/>
    </row>
    <row r="524">
      <c r="A524" s="16" t="s">
        <v>174</v>
      </c>
      <c r="B524" s="16"/>
      <c r="C524" s="16"/>
    </row>
    <row r="525">
      <c r="A525" s="16" t="s">
        <v>174</v>
      </c>
      <c r="B525" s="16"/>
      <c r="C525" s="16"/>
    </row>
    <row r="526">
      <c r="A526" s="16" t="s">
        <v>174</v>
      </c>
      <c r="B526" s="16"/>
      <c r="C526" s="16"/>
    </row>
    <row r="527">
      <c r="A527" s="16" t="s">
        <v>174</v>
      </c>
      <c r="B527" s="16"/>
      <c r="C527" s="16"/>
    </row>
    <row r="528">
      <c r="A528" s="16" t="s">
        <v>174</v>
      </c>
      <c r="B528" s="16"/>
      <c r="C528" s="16"/>
    </row>
    <row r="529">
      <c r="A529" s="16" t="s">
        <v>174</v>
      </c>
      <c r="B529" s="16"/>
      <c r="C529" s="16"/>
    </row>
    <row r="530">
      <c r="A530" s="16" t="s">
        <v>174</v>
      </c>
      <c r="B530" s="16"/>
      <c r="C530" s="16"/>
    </row>
    <row r="531">
      <c r="A531" s="16" t="s">
        <v>174</v>
      </c>
      <c r="B531" s="16"/>
      <c r="C531" s="16"/>
    </row>
    <row r="532">
      <c r="A532" s="16" t="s">
        <v>174</v>
      </c>
      <c r="B532" s="16"/>
      <c r="C532" s="16"/>
    </row>
    <row r="533">
      <c r="A533" s="16" t="s">
        <v>174</v>
      </c>
      <c r="B533" s="16"/>
      <c r="C533" s="16"/>
    </row>
    <row r="534">
      <c r="A534" s="16" t="s">
        <v>174</v>
      </c>
      <c r="B534" s="16"/>
      <c r="C534" s="16"/>
    </row>
    <row r="535">
      <c r="A535" s="16" t="s">
        <v>174</v>
      </c>
      <c r="B535" s="16"/>
      <c r="C535" s="16"/>
    </row>
    <row r="536">
      <c r="A536" s="16" t="s">
        <v>174</v>
      </c>
      <c r="B536" s="16"/>
      <c r="C536" s="16"/>
    </row>
    <row r="537">
      <c r="A537" s="16" t="s">
        <v>174</v>
      </c>
      <c r="B537" s="16"/>
      <c r="C537" s="16"/>
    </row>
    <row r="538">
      <c r="A538" s="16" t="s">
        <v>174</v>
      </c>
      <c r="B538" s="16"/>
      <c r="C538" s="16"/>
    </row>
    <row r="539">
      <c r="A539" s="16" t="s">
        <v>174</v>
      </c>
      <c r="B539" s="16"/>
      <c r="C539" s="16"/>
    </row>
    <row r="540">
      <c r="A540" s="16" t="s">
        <v>174</v>
      </c>
      <c r="B540" s="16"/>
      <c r="C540" s="16"/>
    </row>
    <row r="541">
      <c r="A541" s="16" t="s">
        <v>174</v>
      </c>
      <c r="B541" s="16"/>
      <c r="C541" s="16"/>
    </row>
    <row r="542">
      <c r="A542" s="16" t="s">
        <v>174</v>
      </c>
      <c r="B542" s="16"/>
      <c r="C542" s="16"/>
    </row>
    <row r="543">
      <c r="A543" s="16" t="s">
        <v>174</v>
      </c>
      <c r="B543" s="16"/>
      <c r="C543" s="16"/>
    </row>
    <row r="544">
      <c r="A544" s="16" t="s">
        <v>174</v>
      </c>
      <c r="B544" s="16"/>
      <c r="C544" s="16"/>
    </row>
    <row r="545">
      <c r="A545" s="16" t="s">
        <v>174</v>
      </c>
      <c r="B545" s="16"/>
      <c r="C545" s="16"/>
    </row>
    <row r="546">
      <c r="A546" s="16" t="s">
        <v>174</v>
      </c>
      <c r="B546" s="16"/>
      <c r="C546" s="16"/>
    </row>
    <row r="547">
      <c r="A547" s="16" t="s">
        <v>174</v>
      </c>
      <c r="B547" s="16"/>
      <c r="C547" s="16"/>
    </row>
    <row r="548">
      <c r="A548" s="16" t="s">
        <v>174</v>
      </c>
      <c r="B548" s="16"/>
      <c r="C548" s="16"/>
    </row>
    <row r="549">
      <c r="A549" s="16" t="s">
        <v>174</v>
      </c>
      <c r="B549" s="16"/>
      <c r="C549" s="16"/>
    </row>
    <row r="550">
      <c r="A550" s="16" t="s">
        <v>174</v>
      </c>
      <c r="B550" s="16"/>
      <c r="C550" s="16"/>
    </row>
    <row r="551">
      <c r="A551" s="16" t="s">
        <v>174</v>
      </c>
      <c r="B551" s="16"/>
      <c r="C551" s="16"/>
    </row>
    <row r="552">
      <c r="A552" s="16" t="s">
        <v>174</v>
      </c>
      <c r="B552" s="16"/>
      <c r="C552" s="16"/>
    </row>
    <row r="553">
      <c r="A553" s="16" t="s">
        <v>174</v>
      </c>
      <c r="B553" s="16"/>
      <c r="C553" s="16"/>
    </row>
    <row r="554">
      <c r="A554" s="16" t="s">
        <v>174</v>
      </c>
      <c r="B554" s="16"/>
      <c r="C554" s="16"/>
    </row>
    <row r="555">
      <c r="A555" s="16" t="s">
        <v>174</v>
      </c>
      <c r="B555" s="16"/>
      <c r="C555" s="16"/>
    </row>
    <row r="556">
      <c r="A556" s="16" t="s">
        <v>174</v>
      </c>
      <c r="B556" s="16"/>
      <c r="C556" s="16"/>
    </row>
    <row r="557">
      <c r="A557" s="16" t="s">
        <v>174</v>
      </c>
      <c r="B557" s="16"/>
      <c r="C557" s="16"/>
    </row>
    <row r="558">
      <c r="A558" s="16" t="s">
        <v>174</v>
      </c>
      <c r="B558" s="16"/>
      <c r="C558" s="16"/>
    </row>
    <row r="559">
      <c r="A559" s="16" t="s">
        <v>174</v>
      </c>
      <c r="B559" s="16"/>
      <c r="C559" s="16"/>
    </row>
    <row r="560">
      <c r="A560" s="16" t="s">
        <v>174</v>
      </c>
      <c r="B560" s="16"/>
      <c r="C560" s="16"/>
    </row>
    <row r="561">
      <c r="A561" s="16" t="s">
        <v>174</v>
      </c>
      <c r="B561" s="16"/>
      <c r="C561" s="16"/>
    </row>
    <row r="562">
      <c r="A562" s="16" t="s">
        <v>174</v>
      </c>
      <c r="B562" s="16"/>
      <c r="C562" s="16"/>
    </row>
    <row r="563">
      <c r="A563" s="16" t="s">
        <v>174</v>
      </c>
      <c r="B563" s="16"/>
      <c r="C563" s="16"/>
    </row>
    <row r="564">
      <c r="A564" s="16" t="s">
        <v>174</v>
      </c>
      <c r="B564" s="16"/>
      <c r="C564" s="16"/>
    </row>
    <row r="565">
      <c r="A565" s="16" t="s">
        <v>174</v>
      </c>
      <c r="B565" s="16"/>
      <c r="C565" s="16"/>
    </row>
    <row r="566">
      <c r="A566" s="16" t="s">
        <v>174</v>
      </c>
      <c r="B566" s="16"/>
      <c r="C566" s="16"/>
    </row>
    <row r="567">
      <c r="A567" s="16" t="s">
        <v>174</v>
      </c>
      <c r="B567" s="16"/>
      <c r="C567" s="16"/>
    </row>
    <row r="568">
      <c r="A568" s="16" t="s">
        <v>174</v>
      </c>
      <c r="B568" s="16"/>
      <c r="C568" s="16"/>
    </row>
    <row r="569">
      <c r="A569" s="16" t="s">
        <v>174</v>
      </c>
      <c r="B569" s="16"/>
      <c r="C569" s="16"/>
    </row>
    <row r="570">
      <c r="A570" s="16" t="s">
        <v>174</v>
      </c>
      <c r="B570" s="16"/>
      <c r="C570" s="16"/>
    </row>
    <row r="571">
      <c r="A571" s="16" t="s">
        <v>174</v>
      </c>
      <c r="B571" s="16"/>
      <c r="C571" s="16"/>
    </row>
    <row r="572">
      <c r="A572" s="16" t="s">
        <v>174</v>
      </c>
      <c r="B572" s="16"/>
      <c r="C572" s="16"/>
    </row>
    <row r="573">
      <c r="A573" s="16" t="s">
        <v>174</v>
      </c>
      <c r="B573" s="16"/>
      <c r="C573" s="16"/>
    </row>
    <row r="574">
      <c r="A574" s="16" t="s">
        <v>174</v>
      </c>
      <c r="B574" s="16"/>
      <c r="C574" s="16"/>
    </row>
    <row r="575">
      <c r="A575" s="16" t="s">
        <v>174</v>
      </c>
      <c r="B575" s="16"/>
      <c r="C575" s="16"/>
    </row>
    <row r="576">
      <c r="A576" s="16" t="s">
        <v>174</v>
      </c>
      <c r="B576" s="16"/>
      <c r="C576" s="16"/>
    </row>
    <row r="577">
      <c r="A577" s="16" t="s">
        <v>174</v>
      </c>
      <c r="B577" s="16"/>
      <c r="C577" s="16"/>
    </row>
    <row r="578">
      <c r="A578" s="16" t="s">
        <v>174</v>
      </c>
      <c r="B578" s="16"/>
      <c r="C578" s="16"/>
    </row>
    <row r="579">
      <c r="A579" s="16" t="s">
        <v>174</v>
      </c>
      <c r="B579" s="16"/>
      <c r="C579" s="16"/>
    </row>
    <row r="580">
      <c r="A580" s="16" t="s">
        <v>174</v>
      </c>
      <c r="B580" s="16"/>
      <c r="C580" s="16"/>
    </row>
    <row r="581">
      <c r="A581" s="16" t="s">
        <v>174</v>
      </c>
      <c r="B581" s="16"/>
      <c r="C581" s="16"/>
    </row>
    <row r="582">
      <c r="A582" s="16" t="s">
        <v>174</v>
      </c>
      <c r="B582" s="16"/>
      <c r="C582" s="16"/>
    </row>
    <row r="583">
      <c r="A583" s="16" t="s">
        <v>174</v>
      </c>
      <c r="B583" s="16"/>
      <c r="C583" s="16"/>
    </row>
    <row r="584">
      <c r="A584" s="16" t="s">
        <v>174</v>
      </c>
      <c r="B584" s="16"/>
      <c r="C584" s="16"/>
    </row>
    <row r="585">
      <c r="A585" s="16" t="s">
        <v>174</v>
      </c>
      <c r="B585" s="16"/>
      <c r="C585" s="16"/>
    </row>
    <row r="586">
      <c r="A586" s="16" t="s">
        <v>174</v>
      </c>
      <c r="B586" s="16"/>
      <c r="C586" s="16"/>
    </row>
    <row r="587">
      <c r="A587" s="16" t="s">
        <v>174</v>
      </c>
      <c r="B587" s="16"/>
      <c r="C587" s="16"/>
    </row>
    <row r="588">
      <c r="A588" s="16" t="s">
        <v>174</v>
      </c>
      <c r="B588" s="16"/>
      <c r="C588" s="16"/>
    </row>
    <row r="589">
      <c r="A589" s="16" t="s">
        <v>174</v>
      </c>
      <c r="B589" s="16"/>
      <c r="C589" s="16"/>
    </row>
    <row r="590">
      <c r="A590" s="16" t="s">
        <v>174</v>
      </c>
      <c r="B590" s="16"/>
      <c r="C590" s="16"/>
    </row>
    <row r="591">
      <c r="A591" s="16" t="s">
        <v>174</v>
      </c>
      <c r="B591" s="16"/>
      <c r="C591" s="16"/>
    </row>
    <row r="592">
      <c r="A592" s="16" t="s">
        <v>174</v>
      </c>
      <c r="B592" s="16"/>
      <c r="C592" s="16"/>
    </row>
    <row r="593">
      <c r="A593" s="16" t="s">
        <v>174</v>
      </c>
      <c r="B593" s="16"/>
      <c r="C593" s="16"/>
    </row>
    <row r="594">
      <c r="A594" s="16" t="s">
        <v>174</v>
      </c>
      <c r="B594" s="16"/>
      <c r="C594" s="16"/>
    </row>
    <row r="595">
      <c r="A595" s="16" t="s">
        <v>174</v>
      </c>
      <c r="B595" s="16"/>
      <c r="C595" s="16"/>
    </row>
    <row r="596">
      <c r="A596" s="16" t="s">
        <v>174</v>
      </c>
      <c r="B596" s="16"/>
      <c r="C596" s="16"/>
    </row>
    <row r="597">
      <c r="A597" s="16" t="s">
        <v>174</v>
      </c>
      <c r="B597" s="16"/>
      <c r="C597" s="16"/>
    </row>
    <row r="598">
      <c r="A598" s="16" t="s">
        <v>174</v>
      </c>
      <c r="B598" s="16"/>
      <c r="C598" s="16"/>
    </row>
    <row r="599">
      <c r="A599" s="16" t="s">
        <v>174</v>
      </c>
      <c r="B599" s="16"/>
      <c r="C599" s="16"/>
    </row>
    <row r="600">
      <c r="A600" s="16" t="s">
        <v>174</v>
      </c>
      <c r="B600" s="16"/>
      <c r="C600" s="16"/>
    </row>
    <row r="601">
      <c r="A601" s="16" t="s">
        <v>174</v>
      </c>
      <c r="B601" s="16"/>
      <c r="C601" s="16"/>
    </row>
    <row r="602">
      <c r="A602" s="16" t="s">
        <v>174</v>
      </c>
      <c r="B602" s="16"/>
      <c r="C602" s="16"/>
    </row>
    <row r="603">
      <c r="A603" s="16" t="s">
        <v>174</v>
      </c>
      <c r="B603" s="16"/>
      <c r="C603" s="16"/>
    </row>
    <row r="604">
      <c r="A604" s="16" t="s">
        <v>174</v>
      </c>
      <c r="B604" s="16"/>
      <c r="C604" s="16"/>
    </row>
    <row r="605">
      <c r="A605" s="16" t="s">
        <v>174</v>
      </c>
      <c r="B605" s="16"/>
      <c r="C605" s="16"/>
    </row>
    <row r="606">
      <c r="A606" s="16" t="s">
        <v>174</v>
      </c>
      <c r="B606" s="16"/>
      <c r="C606" s="16"/>
    </row>
    <row r="607">
      <c r="A607" s="16" t="s">
        <v>174</v>
      </c>
      <c r="B607" s="16"/>
      <c r="C607" s="16"/>
    </row>
    <row r="608">
      <c r="A608" s="16" t="s">
        <v>174</v>
      </c>
      <c r="B608" s="16"/>
      <c r="C608" s="16"/>
    </row>
    <row r="609">
      <c r="A609" s="16" t="s">
        <v>174</v>
      </c>
      <c r="B609" s="16"/>
      <c r="C609" s="16"/>
    </row>
    <row r="610">
      <c r="A610" s="16" t="s">
        <v>174</v>
      </c>
      <c r="B610" s="16"/>
      <c r="C610" s="16"/>
    </row>
    <row r="611">
      <c r="A611" s="16" t="s">
        <v>174</v>
      </c>
      <c r="B611" s="16"/>
      <c r="C611" s="16"/>
    </row>
    <row r="612">
      <c r="A612" s="16" t="s">
        <v>174</v>
      </c>
      <c r="B612" s="16"/>
      <c r="C612" s="16"/>
    </row>
    <row r="613">
      <c r="A613" s="16" t="s">
        <v>174</v>
      </c>
      <c r="B613" s="16"/>
      <c r="C613" s="16"/>
    </row>
    <row r="614">
      <c r="A614" s="16" t="s">
        <v>174</v>
      </c>
      <c r="B614" s="16"/>
      <c r="C614" s="16"/>
    </row>
    <row r="615">
      <c r="A615" s="16" t="s">
        <v>174</v>
      </c>
      <c r="B615" s="16"/>
      <c r="C615" s="16"/>
    </row>
    <row r="616">
      <c r="A616" s="16" t="s">
        <v>174</v>
      </c>
      <c r="B616" s="16"/>
      <c r="C616" s="16"/>
    </row>
    <row r="617">
      <c r="A617" s="16" t="s">
        <v>174</v>
      </c>
      <c r="B617" s="16"/>
      <c r="C617" s="16"/>
    </row>
    <row r="618">
      <c r="A618" s="16" t="s">
        <v>174</v>
      </c>
      <c r="B618" s="16"/>
      <c r="C618" s="16"/>
    </row>
    <row r="619">
      <c r="A619" s="16" t="s">
        <v>174</v>
      </c>
      <c r="B619" s="16"/>
      <c r="C619" s="16"/>
    </row>
    <row r="620">
      <c r="A620" s="16" t="s">
        <v>174</v>
      </c>
      <c r="B620" s="16"/>
      <c r="C620" s="16"/>
    </row>
    <row r="621">
      <c r="A621" s="16" t="s">
        <v>174</v>
      </c>
      <c r="B621" s="16"/>
      <c r="C621" s="16"/>
    </row>
    <row r="622">
      <c r="A622" s="16" t="s">
        <v>174</v>
      </c>
      <c r="B622" s="16"/>
      <c r="C622" s="16"/>
    </row>
    <row r="623">
      <c r="A623" s="16" t="s">
        <v>174</v>
      </c>
      <c r="B623" s="16"/>
      <c r="C623" s="16"/>
    </row>
    <row r="624">
      <c r="A624" s="16" t="s">
        <v>174</v>
      </c>
      <c r="B624" s="16"/>
      <c r="C624" s="16"/>
    </row>
    <row r="625">
      <c r="A625" s="16" t="s">
        <v>174</v>
      </c>
      <c r="B625" s="16"/>
      <c r="C625" s="16"/>
    </row>
    <row r="626">
      <c r="A626" s="16" t="s">
        <v>174</v>
      </c>
      <c r="B626" s="16"/>
      <c r="C626" s="16"/>
    </row>
    <row r="627">
      <c r="A627" s="16" t="s">
        <v>174</v>
      </c>
      <c r="B627" s="16"/>
      <c r="C627" s="16"/>
    </row>
    <row r="628">
      <c r="A628" s="16" t="s">
        <v>174</v>
      </c>
      <c r="B628" s="16"/>
      <c r="C628" s="16"/>
    </row>
    <row r="629">
      <c r="A629" s="16" t="s">
        <v>174</v>
      </c>
      <c r="B629" s="16"/>
      <c r="C629" s="16"/>
    </row>
    <row r="630">
      <c r="A630" s="16" t="s">
        <v>174</v>
      </c>
      <c r="B630" s="16"/>
      <c r="C630" s="16"/>
    </row>
    <row r="631">
      <c r="A631" s="16" t="s">
        <v>174</v>
      </c>
      <c r="B631" s="16"/>
      <c r="C631" s="16"/>
    </row>
    <row r="632">
      <c r="A632" s="16" t="s">
        <v>174</v>
      </c>
      <c r="B632" s="16"/>
      <c r="C632" s="16"/>
    </row>
    <row r="633">
      <c r="A633" s="16" t="s">
        <v>174</v>
      </c>
      <c r="B633" s="16"/>
      <c r="C633" s="16"/>
    </row>
    <row r="634">
      <c r="A634" s="16" t="s">
        <v>174</v>
      </c>
      <c r="B634" s="16"/>
      <c r="C634" s="16"/>
    </row>
    <row r="635">
      <c r="A635" s="16" t="s">
        <v>174</v>
      </c>
      <c r="B635" s="16"/>
      <c r="C635" s="16"/>
    </row>
    <row r="636">
      <c r="A636" s="16" t="s">
        <v>174</v>
      </c>
      <c r="B636" s="16"/>
      <c r="C636" s="16"/>
    </row>
    <row r="637">
      <c r="A637" s="16" t="s">
        <v>174</v>
      </c>
      <c r="B637" s="16"/>
      <c r="C637" s="16"/>
    </row>
    <row r="638">
      <c r="A638" s="16" t="s">
        <v>174</v>
      </c>
      <c r="B638" s="16"/>
      <c r="C638" s="16"/>
    </row>
    <row r="639">
      <c r="A639" s="16" t="s">
        <v>174</v>
      </c>
      <c r="B639" s="16"/>
      <c r="C639" s="16"/>
    </row>
    <row r="640">
      <c r="A640" s="16" t="s">
        <v>174</v>
      </c>
      <c r="B640" s="16"/>
      <c r="C640" s="16"/>
    </row>
    <row r="641">
      <c r="A641" s="16" t="s">
        <v>174</v>
      </c>
      <c r="B641" s="16"/>
      <c r="C641" s="16"/>
    </row>
    <row r="642">
      <c r="A642" s="16" t="s">
        <v>174</v>
      </c>
      <c r="B642" s="16"/>
      <c r="C642" s="16"/>
    </row>
    <row r="643">
      <c r="A643" s="16" t="s">
        <v>174</v>
      </c>
      <c r="B643" s="16"/>
      <c r="C643" s="16"/>
    </row>
    <row r="644">
      <c r="A644" s="16" t="s">
        <v>174</v>
      </c>
      <c r="B644" s="16"/>
      <c r="C644" s="16"/>
    </row>
    <row r="645">
      <c r="A645" s="16" t="s">
        <v>174</v>
      </c>
      <c r="B645" s="16"/>
      <c r="C645" s="16"/>
    </row>
    <row r="646">
      <c r="A646" s="16" t="s">
        <v>174</v>
      </c>
      <c r="B646" s="16"/>
      <c r="C646" s="16"/>
    </row>
    <row r="647">
      <c r="A647" s="16" t="s">
        <v>174</v>
      </c>
      <c r="B647" s="16"/>
      <c r="C647" s="16"/>
    </row>
    <row r="648">
      <c r="A648" s="16" t="s">
        <v>174</v>
      </c>
      <c r="B648" s="16"/>
      <c r="C648" s="16"/>
    </row>
    <row r="649">
      <c r="A649" s="16" t="s">
        <v>174</v>
      </c>
      <c r="B649" s="16"/>
      <c r="C649" s="16"/>
    </row>
    <row r="650">
      <c r="A650" s="16" t="s">
        <v>174</v>
      </c>
      <c r="B650" s="16"/>
      <c r="C650" s="16"/>
    </row>
    <row r="651">
      <c r="A651" s="16" t="s">
        <v>174</v>
      </c>
      <c r="B651" s="16"/>
      <c r="C651" s="16"/>
    </row>
    <row r="652">
      <c r="A652" s="16" t="s">
        <v>174</v>
      </c>
      <c r="B652" s="16"/>
      <c r="C652" s="16"/>
    </row>
    <row r="653">
      <c r="A653" s="16" t="s">
        <v>174</v>
      </c>
      <c r="B653" s="16"/>
      <c r="C653" s="16"/>
    </row>
    <row r="654">
      <c r="A654" s="16" t="s">
        <v>174</v>
      </c>
      <c r="B654" s="16"/>
      <c r="C654" s="16"/>
    </row>
    <row r="655">
      <c r="A655" s="16" t="s">
        <v>174</v>
      </c>
      <c r="B655" s="16"/>
      <c r="C655" s="16"/>
    </row>
    <row r="656">
      <c r="A656" s="16" t="s">
        <v>174</v>
      </c>
      <c r="B656" s="16"/>
      <c r="C656" s="16"/>
    </row>
    <row r="657">
      <c r="A657" s="16" t="s">
        <v>174</v>
      </c>
      <c r="B657" s="16"/>
      <c r="C657" s="16"/>
    </row>
    <row r="658">
      <c r="A658" s="16" t="s">
        <v>174</v>
      </c>
      <c r="B658" s="16"/>
      <c r="C658" s="16"/>
    </row>
    <row r="659">
      <c r="A659" s="16" t="s">
        <v>174</v>
      </c>
      <c r="B659" s="16"/>
      <c r="C659" s="16"/>
    </row>
    <row r="660">
      <c r="A660" s="16" t="s">
        <v>174</v>
      </c>
      <c r="B660" s="16"/>
      <c r="C660" s="16"/>
    </row>
    <row r="661">
      <c r="A661" s="16" t="s">
        <v>174</v>
      </c>
      <c r="B661" s="16"/>
      <c r="C661" s="16"/>
    </row>
    <row r="662">
      <c r="A662" s="16" t="s">
        <v>174</v>
      </c>
      <c r="B662" s="16"/>
      <c r="C662" s="16"/>
    </row>
    <row r="663">
      <c r="A663" s="16" t="s">
        <v>174</v>
      </c>
      <c r="B663" s="16"/>
      <c r="C663" s="16"/>
    </row>
    <row r="664">
      <c r="A664" s="16" t="s">
        <v>174</v>
      </c>
      <c r="B664" s="16"/>
      <c r="C664" s="16"/>
    </row>
    <row r="665">
      <c r="A665" s="16" t="s">
        <v>174</v>
      </c>
      <c r="B665" s="16"/>
      <c r="C665" s="16"/>
    </row>
    <row r="666">
      <c r="A666" s="16" t="s">
        <v>174</v>
      </c>
      <c r="B666" s="16"/>
      <c r="C666" s="16"/>
    </row>
    <row r="667">
      <c r="A667" s="16" t="s">
        <v>174</v>
      </c>
      <c r="B667" s="16"/>
      <c r="C667" s="16"/>
    </row>
    <row r="668">
      <c r="A668" s="16" t="s">
        <v>174</v>
      </c>
      <c r="B668" s="16"/>
      <c r="C668" s="16"/>
    </row>
    <row r="669">
      <c r="A669" s="16" t="s">
        <v>174</v>
      </c>
      <c r="B669" s="16"/>
      <c r="C669" s="16"/>
    </row>
    <row r="670">
      <c r="A670" s="16" t="s">
        <v>174</v>
      </c>
      <c r="B670" s="16"/>
      <c r="C670" s="16"/>
    </row>
    <row r="671">
      <c r="A671" s="16" t="s">
        <v>174</v>
      </c>
      <c r="B671" s="16"/>
      <c r="C671" s="16"/>
    </row>
    <row r="672">
      <c r="A672" s="16" t="s">
        <v>174</v>
      </c>
      <c r="B672" s="16"/>
      <c r="C672" s="16"/>
    </row>
    <row r="673">
      <c r="A673" s="16" t="s">
        <v>174</v>
      </c>
      <c r="B673" s="16"/>
      <c r="C673" s="16"/>
    </row>
    <row r="674">
      <c r="A674" s="16" t="s">
        <v>174</v>
      </c>
      <c r="B674" s="16"/>
      <c r="C674" s="16"/>
    </row>
    <row r="675">
      <c r="A675" s="16" t="s">
        <v>174</v>
      </c>
      <c r="B675" s="16"/>
      <c r="C675" s="16"/>
    </row>
    <row r="676">
      <c r="A676" s="16" t="s">
        <v>174</v>
      </c>
      <c r="B676" s="16"/>
      <c r="C676" s="16"/>
    </row>
    <row r="677">
      <c r="A677" s="16" t="s">
        <v>174</v>
      </c>
      <c r="B677" s="16"/>
      <c r="C677" s="16"/>
    </row>
    <row r="678">
      <c r="A678" s="16" t="s">
        <v>174</v>
      </c>
      <c r="B678" s="16"/>
      <c r="C678" s="16"/>
    </row>
    <row r="679">
      <c r="A679" s="16" t="s">
        <v>174</v>
      </c>
      <c r="B679" s="16"/>
      <c r="C679" s="16"/>
    </row>
    <row r="680">
      <c r="A680" s="16" t="s">
        <v>174</v>
      </c>
      <c r="B680" s="16"/>
      <c r="C680" s="16"/>
    </row>
    <row r="681">
      <c r="A681" s="16" t="s">
        <v>174</v>
      </c>
      <c r="B681" s="16"/>
      <c r="C681" s="16"/>
    </row>
    <row r="682">
      <c r="A682" s="16" t="s">
        <v>174</v>
      </c>
      <c r="B682" s="16"/>
      <c r="C682" s="16"/>
    </row>
    <row r="683">
      <c r="A683" s="16" t="s">
        <v>174</v>
      </c>
      <c r="B683" s="16"/>
      <c r="C683" s="16"/>
    </row>
    <row r="684">
      <c r="A684" s="16" t="s">
        <v>174</v>
      </c>
      <c r="B684" s="16"/>
      <c r="C684" s="16"/>
    </row>
    <row r="685">
      <c r="A685" s="16" t="s">
        <v>174</v>
      </c>
      <c r="B685" s="16"/>
      <c r="C685" s="16"/>
    </row>
    <row r="686">
      <c r="A686" s="16" t="s">
        <v>174</v>
      </c>
      <c r="B686" s="16"/>
      <c r="C686" s="16"/>
    </row>
    <row r="687">
      <c r="A687" s="16" t="s">
        <v>174</v>
      </c>
      <c r="B687" s="16"/>
      <c r="C687" s="16"/>
    </row>
    <row r="688">
      <c r="A688" s="16" t="s">
        <v>174</v>
      </c>
      <c r="B688" s="16"/>
      <c r="C688" s="16"/>
    </row>
    <row r="689">
      <c r="A689" s="16" t="s">
        <v>174</v>
      </c>
      <c r="B689" s="16"/>
      <c r="C689" s="16"/>
    </row>
    <row r="690">
      <c r="A690" s="16" t="s">
        <v>174</v>
      </c>
      <c r="B690" s="16"/>
      <c r="C690" s="16"/>
    </row>
    <row r="691">
      <c r="A691" s="16" t="s">
        <v>174</v>
      </c>
      <c r="B691" s="16"/>
      <c r="C691" s="16"/>
    </row>
    <row r="692">
      <c r="A692" s="16" t="s">
        <v>174</v>
      </c>
      <c r="B692" s="16"/>
      <c r="C692" s="16"/>
    </row>
    <row r="693">
      <c r="A693" s="16" t="s">
        <v>174</v>
      </c>
      <c r="B693" s="16"/>
      <c r="C693" s="16"/>
    </row>
    <row r="694">
      <c r="A694" s="16" t="s">
        <v>174</v>
      </c>
      <c r="B694" s="16"/>
      <c r="C694" s="16"/>
    </row>
    <row r="695">
      <c r="A695" s="16" t="s">
        <v>174</v>
      </c>
      <c r="B695" s="16"/>
      <c r="C695" s="16"/>
    </row>
    <row r="696">
      <c r="A696" s="16" t="s">
        <v>174</v>
      </c>
      <c r="B696" s="16"/>
      <c r="C696" s="16"/>
    </row>
    <row r="697">
      <c r="A697" s="16" t="s">
        <v>174</v>
      </c>
      <c r="B697" s="16"/>
      <c r="C697" s="16"/>
    </row>
    <row r="698">
      <c r="A698" s="16" t="s">
        <v>174</v>
      </c>
      <c r="B698" s="16"/>
      <c r="C698" s="16"/>
    </row>
    <row r="699">
      <c r="A699" s="16" t="s">
        <v>174</v>
      </c>
      <c r="B699" s="16"/>
      <c r="C699" s="16"/>
    </row>
    <row r="700">
      <c r="A700" s="16" t="s">
        <v>174</v>
      </c>
      <c r="B700" s="16"/>
      <c r="C700" s="16"/>
    </row>
    <row r="701">
      <c r="A701" s="16" t="s">
        <v>174</v>
      </c>
      <c r="B701" s="16"/>
      <c r="C701" s="16"/>
    </row>
    <row r="702">
      <c r="A702" s="16" t="s">
        <v>174</v>
      </c>
      <c r="B702" s="16"/>
      <c r="C702" s="16"/>
    </row>
    <row r="703">
      <c r="A703" s="16" t="s">
        <v>174</v>
      </c>
      <c r="B703" s="16"/>
      <c r="C703" s="16"/>
    </row>
    <row r="704">
      <c r="A704" s="16" t="s">
        <v>174</v>
      </c>
      <c r="B704" s="16"/>
      <c r="C704" s="16"/>
    </row>
    <row r="705">
      <c r="A705" s="16" t="s">
        <v>174</v>
      </c>
      <c r="B705" s="16"/>
      <c r="C705" s="16"/>
    </row>
    <row r="706">
      <c r="A706" s="16" t="s">
        <v>174</v>
      </c>
      <c r="B706" s="16"/>
      <c r="C706" s="16"/>
    </row>
    <row r="707">
      <c r="A707" s="16" t="s">
        <v>174</v>
      </c>
      <c r="B707" s="16"/>
      <c r="C707" s="16"/>
    </row>
    <row r="708">
      <c r="A708" s="16" t="s">
        <v>174</v>
      </c>
      <c r="B708" s="16"/>
      <c r="C708" s="16"/>
    </row>
    <row r="709">
      <c r="A709" s="16" t="s">
        <v>174</v>
      </c>
      <c r="B709" s="16"/>
      <c r="C709" s="16"/>
    </row>
    <row r="710">
      <c r="A710" s="16" t="s">
        <v>174</v>
      </c>
      <c r="B710" s="16"/>
      <c r="C710" s="16"/>
    </row>
    <row r="711">
      <c r="A711" s="16" t="s">
        <v>174</v>
      </c>
      <c r="B711" s="16"/>
      <c r="C711" s="16"/>
    </row>
    <row r="712">
      <c r="A712" s="16" t="s">
        <v>174</v>
      </c>
      <c r="B712" s="16"/>
      <c r="C712" s="16"/>
    </row>
    <row r="713">
      <c r="A713" s="16" t="s">
        <v>174</v>
      </c>
      <c r="B713" s="16"/>
      <c r="C713" s="16"/>
    </row>
    <row r="714">
      <c r="A714" s="16" t="s">
        <v>174</v>
      </c>
      <c r="B714" s="16"/>
      <c r="C714" s="16"/>
    </row>
    <row r="715">
      <c r="A715" s="16" t="s">
        <v>174</v>
      </c>
      <c r="B715" s="16"/>
      <c r="C715" s="16"/>
    </row>
    <row r="716">
      <c r="A716" s="16" t="s">
        <v>174</v>
      </c>
      <c r="B716" s="16"/>
      <c r="C716" s="16"/>
    </row>
    <row r="717">
      <c r="A717" s="16" t="s">
        <v>174</v>
      </c>
      <c r="B717" s="16"/>
      <c r="C717" s="16"/>
    </row>
    <row r="718">
      <c r="A718" s="16" t="s">
        <v>174</v>
      </c>
      <c r="B718" s="16"/>
      <c r="C718" s="16"/>
    </row>
    <row r="719">
      <c r="A719" s="16" t="s">
        <v>174</v>
      </c>
      <c r="B719" s="16"/>
      <c r="C719" s="16"/>
    </row>
    <row r="720">
      <c r="A720" s="16" t="s">
        <v>174</v>
      </c>
      <c r="B720" s="16"/>
      <c r="C720" s="16"/>
    </row>
    <row r="721">
      <c r="A721" s="16" t="s">
        <v>174</v>
      </c>
      <c r="B721" s="16"/>
      <c r="C721" s="16"/>
    </row>
    <row r="722">
      <c r="A722" s="16" t="s">
        <v>174</v>
      </c>
      <c r="B722" s="16"/>
      <c r="C722" s="16"/>
    </row>
    <row r="723">
      <c r="A723" s="16" t="s">
        <v>174</v>
      </c>
      <c r="B723" s="16"/>
      <c r="C723" s="16"/>
    </row>
    <row r="724">
      <c r="A724" s="16" t="s">
        <v>174</v>
      </c>
      <c r="B724" s="16"/>
      <c r="C724" s="16"/>
    </row>
    <row r="725">
      <c r="A725" s="16" t="s">
        <v>174</v>
      </c>
      <c r="B725" s="16"/>
      <c r="C725" s="16"/>
    </row>
    <row r="726">
      <c r="A726" s="16" t="s">
        <v>174</v>
      </c>
      <c r="B726" s="16"/>
      <c r="C726" s="16"/>
    </row>
    <row r="727">
      <c r="A727" s="16" t="s">
        <v>174</v>
      </c>
      <c r="B727" s="16"/>
      <c r="C727" s="16"/>
    </row>
    <row r="728">
      <c r="A728" s="16" t="s">
        <v>174</v>
      </c>
      <c r="B728" s="16"/>
      <c r="C728" s="16"/>
    </row>
    <row r="729">
      <c r="A729" s="16" t="s">
        <v>174</v>
      </c>
      <c r="B729" s="16"/>
      <c r="C729" s="16"/>
    </row>
    <row r="730">
      <c r="A730" s="16" t="s">
        <v>174</v>
      </c>
      <c r="B730" s="16"/>
      <c r="C730" s="16"/>
    </row>
    <row r="731">
      <c r="A731" s="16" t="s">
        <v>174</v>
      </c>
      <c r="B731" s="16"/>
      <c r="C731" s="16"/>
    </row>
    <row r="732">
      <c r="A732" s="16" t="s">
        <v>174</v>
      </c>
      <c r="B732" s="16"/>
      <c r="C732" s="16"/>
    </row>
    <row r="733">
      <c r="A733" s="16" t="s">
        <v>174</v>
      </c>
      <c r="B733" s="16"/>
      <c r="C733" s="16"/>
    </row>
    <row r="734">
      <c r="A734" s="16" t="s">
        <v>174</v>
      </c>
      <c r="B734" s="16"/>
      <c r="C734" s="16"/>
    </row>
    <row r="735">
      <c r="A735" s="16" t="s">
        <v>174</v>
      </c>
      <c r="B735" s="16"/>
      <c r="C735" s="16"/>
    </row>
    <row r="736">
      <c r="A736" s="16" t="s">
        <v>174</v>
      </c>
      <c r="B736" s="16"/>
      <c r="C736" s="16"/>
    </row>
    <row r="737">
      <c r="A737" s="16" t="s">
        <v>174</v>
      </c>
      <c r="B737" s="16"/>
      <c r="C737" s="16"/>
    </row>
    <row r="738">
      <c r="A738" s="16" t="s">
        <v>174</v>
      </c>
      <c r="B738" s="16"/>
      <c r="C738" s="16"/>
    </row>
    <row r="739">
      <c r="A739" s="16" t="s">
        <v>174</v>
      </c>
      <c r="B739" s="16"/>
      <c r="C739" s="16"/>
    </row>
    <row r="740">
      <c r="A740" s="16" t="s">
        <v>174</v>
      </c>
      <c r="B740" s="16"/>
      <c r="C740" s="16"/>
    </row>
    <row r="741">
      <c r="A741" s="16" t="s">
        <v>174</v>
      </c>
      <c r="B741" s="16"/>
      <c r="C741" s="16"/>
    </row>
    <row r="742">
      <c r="A742" s="16" t="s">
        <v>174</v>
      </c>
      <c r="B742" s="16"/>
      <c r="C742" s="16"/>
    </row>
    <row r="743">
      <c r="A743" s="16" t="s">
        <v>174</v>
      </c>
      <c r="B743" s="16"/>
      <c r="C743" s="16"/>
    </row>
    <row r="744">
      <c r="A744" s="16" t="s">
        <v>174</v>
      </c>
      <c r="B744" s="16"/>
      <c r="C744" s="16"/>
    </row>
    <row r="745">
      <c r="A745" s="16" t="s">
        <v>174</v>
      </c>
      <c r="B745" s="16"/>
      <c r="C745" s="16"/>
    </row>
    <row r="746">
      <c r="A746" s="16" t="s">
        <v>174</v>
      </c>
      <c r="B746" s="16"/>
      <c r="C746" s="16"/>
    </row>
    <row r="747">
      <c r="A747" s="16" t="s">
        <v>174</v>
      </c>
      <c r="B747" s="16"/>
      <c r="C747" s="16"/>
    </row>
    <row r="748">
      <c r="A748" s="16" t="s">
        <v>174</v>
      </c>
      <c r="B748" s="16"/>
      <c r="C748" s="16"/>
    </row>
    <row r="749">
      <c r="A749" s="16" t="s">
        <v>174</v>
      </c>
      <c r="B749" s="16"/>
      <c r="C749" s="16"/>
    </row>
    <row r="750">
      <c r="A750" s="16" t="s">
        <v>174</v>
      </c>
      <c r="B750" s="16"/>
      <c r="C750" s="16"/>
    </row>
    <row r="751">
      <c r="A751" s="16" t="s">
        <v>174</v>
      </c>
      <c r="B751" s="16"/>
      <c r="C751" s="16"/>
    </row>
    <row r="752">
      <c r="A752" s="16" t="s">
        <v>174</v>
      </c>
      <c r="B752" s="16"/>
      <c r="C752" s="16"/>
    </row>
    <row r="753">
      <c r="A753" s="16" t="s">
        <v>174</v>
      </c>
      <c r="B753" s="16"/>
      <c r="C753" s="16"/>
    </row>
    <row r="754">
      <c r="A754" s="16" t="s">
        <v>174</v>
      </c>
      <c r="B754" s="16"/>
      <c r="C754" s="16"/>
    </row>
    <row r="755">
      <c r="A755" s="16" t="s">
        <v>174</v>
      </c>
      <c r="B755" s="16"/>
      <c r="C755" s="16"/>
    </row>
    <row r="756">
      <c r="A756" s="16" t="s">
        <v>174</v>
      </c>
      <c r="B756" s="16"/>
      <c r="C756" s="16"/>
    </row>
    <row r="757">
      <c r="A757" s="16" t="s">
        <v>174</v>
      </c>
      <c r="B757" s="16"/>
      <c r="C757" s="16"/>
    </row>
    <row r="758">
      <c r="A758" s="16" t="s">
        <v>174</v>
      </c>
      <c r="B758" s="16"/>
      <c r="C758" s="16"/>
    </row>
    <row r="759">
      <c r="A759" s="16" t="s">
        <v>174</v>
      </c>
      <c r="B759" s="16"/>
      <c r="C759" s="16"/>
    </row>
    <row r="760">
      <c r="A760" s="16" t="s">
        <v>174</v>
      </c>
      <c r="B760" s="16"/>
      <c r="C760" s="16"/>
    </row>
    <row r="761">
      <c r="A761" s="16" t="s">
        <v>174</v>
      </c>
      <c r="B761" s="16"/>
      <c r="C761" s="16"/>
    </row>
    <row r="762">
      <c r="A762" s="16" t="s">
        <v>174</v>
      </c>
      <c r="B762" s="16"/>
      <c r="C762" s="16"/>
    </row>
    <row r="763">
      <c r="A763" s="16" t="s">
        <v>174</v>
      </c>
      <c r="B763" s="16"/>
      <c r="C763" s="16"/>
    </row>
    <row r="764">
      <c r="A764" s="16" t="s">
        <v>174</v>
      </c>
      <c r="B764" s="16"/>
      <c r="C764" s="16"/>
    </row>
    <row r="765">
      <c r="A765" s="16" t="s">
        <v>174</v>
      </c>
      <c r="B765" s="16"/>
      <c r="C765" s="16"/>
    </row>
    <row r="766">
      <c r="A766" s="16" t="s">
        <v>174</v>
      </c>
      <c r="B766" s="16"/>
      <c r="C766" s="16"/>
    </row>
    <row r="767">
      <c r="A767" s="16" t="s">
        <v>174</v>
      </c>
      <c r="B767" s="16"/>
      <c r="C767" s="16"/>
    </row>
    <row r="768">
      <c r="A768" s="16" t="s">
        <v>174</v>
      </c>
      <c r="B768" s="16"/>
      <c r="C768" s="16"/>
    </row>
    <row r="769">
      <c r="A769" s="16" t="s">
        <v>174</v>
      </c>
      <c r="B769" s="16"/>
      <c r="C769" s="16"/>
    </row>
    <row r="770">
      <c r="A770" s="16" t="s">
        <v>174</v>
      </c>
      <c r="B770" s="16"/>
      <c r="C770" s="16"/>
    </row>
    <row r="771">
      <c r="A771" s="16" t="s">
        <v>174</v>
      </c>
      <c r="B771" s="16"/>
      <c r="C771" s="16"/>
    </row>
    <row r="772">
      <c r="A772" s="16" t="s">
        <v>174</v>
      </c>
      <c r="B772" s="16"/>
      <c r="C772" s="16"/>
    </row>
    <row r="773">
      <c r="A773" s="16" t="s">
        <v>174</v>
      </c>
      <c r="B773" s="16"/>
      <c r="C773" s="16"/>
    </row>
    <row r="774">
      <c r="A774" s="16" t="s">
        <v>174</v>
      </c>
      <c r="B774" s="16"/>
      <c r="C774" s="16"/>
    </row>
    <row r="775">
      <c r="A775" s="16" t="s">
        <v>174</v>
      </c>
      <c r="B775" s="16"/>
      <c r="C775" s="16"/>
    </row>
    <row r="776">
      <c r="A776" s="16" t="s">
        <v>174</v>
      </c>
      <c r="B776" s="16"/>
      <c r="C776" s="16"/>
    </row>
    <row r="777">
      <c r="A777" s="16" t="s">
        <v>174</v>
      </c>
      <c r="B777" s="16"/>
      <c r="C777" s="16"/>
    </row>
    <row r="778">
      <c r="A778" s="16" t="s">
        <v>174</v>
      </c>
      <c r="B778" s="16"/>
      <c r="C778" s="16"/>
    </row>
    <row r="779">
      <c r="A779" s="16" t="s">
        <v>174</v>
      </c>
      <c r="B779" s="16"/>
      <c r="C779" s="16"/>
    </row>
    <row r="780">
      <c r="A780" s="16" t="s">
        <v>174</v>
      </c>
      <c r="B780" s="16"/>
      <c r="C780" s="16"/>
    </row>
    <row r="781">
      <c r="A781" s="16" t="s">
        <v>174</v>
      </c>
      <c r="B781" s="16"/>
      <c r="C781" s="16"/>
    </row>
    <row r="782">
      <c r="A782" s="16" t="s">
        <v>174</v>
      </c>
      <c r="B782" s="16"/>
      <c r="C782" s="16"/>
    </row>
    <row r="783">
      <c r="A783" s="16" t="s">
        <v>174</v>
      </c>
      <c r="B783" s="16"/>
      <c r="C783" s="16"/>
    </row>
    <row r="784">
      <c r="A784" s="16" t="s">
        <v>174</v>
      </c>
      <c r="B784" s="16"/>
      <c r="C784" s="16"/>
    </row>
    <row r="785">
      <c r="A785" s="16" t="s">
        <v>174</v>
      </c>
      <c r="B785" s="16"/>
      <c r="C785" s="16"/>
    </row>
    <row r="786">
      <c r="A786" s="16" t="s">
        <v>174</v>
      </c>
      <c r="B786" s="16"/>
      <c r="C786" s="16"/>
    </row>
    <row r="787">
      <c r="A787" s="16" t="s">
        <v>174</v>
      </c>
      <c r="B787" s="16"/>
      <c r="C787" s="16"/>
    </row>
    <row r="788">
      <c r="A788" s="16" t="s">
        <v>174</v>
      </c>
      <c r="B788" s="16"/>
      <c r="C788" s="16"/>
    </row>
    <row r="789">
      <c r="A789" s="16" t="s">
        <v>174</v>
      </c>
      <c r="B789" s="16"/>
      <c r="C789" s="16"/>
    </row>
    <row r="790">
      <c r="A790" s="16" t="s">
        <v>174</v>
      </c>
      <c r="B790" s="16"/>
      <c r="C790" s="16"/>
    </row>
    <row r="791">
      <c r="A791" s="16" t="s">
        <v>174</v>
      </c>
      <c r="B791" s="16"/>
      <c r="C791" s="16"/>
    </row>
    <row r="792">
      <c r="A792" s="16" t="s">
        <v>174</v>
      </c>
      <c r="B792" s="16"/>
      <c r="C792" s="16"/>
    </row>
    <row r="793">
      <c r="A793" s="16" t="s">
        <v>174</v>
      </c>
      <c r="B793" s="16"/>
      <c r="C793" s="16"/>
    </row>
    <row r="794">
      <c r="A794" s="16" t="s">
        <v>174</v>
      </c>
      <c r="B794" s="16"/>
      <c r="C794" s="16"/>
    </row>
    <row r="795">
      <c r="A795" s="16" t="s">
        <v>174</v>
      </c>
      <c r="B795" s="16"/>
      <c r="C795" s="16"/>
    </row>
    <row r="796">
      <c r="A796" s="16" t="s">
        <v>174</v>
      </c>
      <c r="B796" s="16"/>
      <c r="C796" s="16"/>
    </row>
    <row r="797">
      <c r="A797" s="16" t="s">
        <v>174</v>
      </c>
      <c r="B797" s="16"/>
      <c r="C797" s="16"/>
    </row>
    <row r="798">
      <c r="A798" s="16" t="s">
        <v>174</v>
      </c>
      <c r="B798" s="16"/>
      <c r="C798" s="16"/>
    </row>
    <row r="799">
      <c r="A799" s="16" t="s">
        <v>174</v>
      </c>
      <c r="B799" s="16"/>
      <c r="C799" s="16"/>
    </row>
    <row r="800">
      <c r="A800" s="16" t="s">
        <v>174</v>
      </c>
      <c r="B800" s="16"/>
      <c r="C800" s="16"/>
    </row>
    <row r="801">
      <c r="A801" s="16" t="s">
        <v>174</v>
      </c>
      <c r="B801" s="16"/>
      <c r="C801" s="16"/>
    </row>
    <row r="802">
      <c r="A802" s="16" t="s">
        <v>174</v>
      </c>
      <c r="B802" s="16"/>
      <c r="C802" s="16"/>
    </row>
    <row r="803">
      <c r="A803" s="16" t="s">
        <v>174</v>
      </c>
      <c r="B803" s="16"/>
      <c r="C803" s="16"/>
    </row>
    <row r="804">
      <c r="A804" s="16" t="s">
        <v>174</v>
      </c>
      <c r="B804" s="16"/>
      <c r="C804" s="16"/>
    </row>
    <row r="805">
      <c r="A805" s="16" t="s">
        <v>174</v>
      </c>
      <c r="B805" s="16"/>
      <c r="C805" s="16"/>
    </row>
    <row r="806">
      <c r="A806" s="16" t="s">
        <v>174</v>
      </c>
      <c r="B806" s="16"/>
      <c r="C806" s="16"/>
    </row>
    <row r="807">
      <c r="A807" s="16" t="s">
        <v>174</v>
      </c>
      <c r="B807" s="16"/>
      <c r="C807" s="16"/>
    </row>
    <row r="808">
      <c r="A808" s="16" t="s">
        <v>174</v>
      </c>
      <c r="B808" s="16"/>
      <c r="C808" s="16"/>
    </row>
    <row r="809">
      <c r="A809" s="16" t="s">
        <v>174</v>
      </c>
      <c r="B809" s="16"/>
      <c r="C809" s="16"/>
    </row>
    <row r="810">
      <c r="A810" s="16" t="s">
        <v>174</v>
      </c>
      <c r="B810" s="16"/>
      <c r="C810" s="16"/>
    </row>
    <row r="811">
      <c r="A811" s="16" t="s">
        <v>174</v>
      </c>
      <c r="B811" s="16"/>
      <c r="C811" s="16"/>
    </row>
    <row r="812">
      <c r="A812" s="16" t="s">
        <v>174</v>
      </c>
      <c r="B812" s="16"/>
      <c r="C812" s="16"/>
    </row>
    <row r="813">
      <c r="A813" s="16" t="s">
        <v>174</v>
      </c>
      <c r="B813" s="16"/>
      <c r="C813" s="16"/>
    </row>
    <row r="814">
      <c r="A814" s="16" t="s">
        <v>174</v>
      </c>
      <c r="B814" s="16"/>
      <c r="C814" s="16"/>
    </row>
    <row r="815">
      <c r="A815" s="16" t="s">
        <v>174</v>
      </c>
      <c r="B815" s="16"/>
      <c r="C815" s="16"/>
    </row>
    <row r="816">
      <c r="A816" s="16" t="s">
        <v>174</v>
      </c>
      <c r="B816" s="16"/>
      <c r="C816" s="16"/>
    </row>
    <row r="817">
      <c r="A817" s="16" t="s">
        <v>174</v>
      </c>
      <c r="B817" s="16"/>
      <c r="C817" s="16"/>
    </row>
    <row r="818">
      <c r="A818" s="16" t="s">
        <v>174</v>
      </c>
      <c r="B818" s="16"/>
      <c r="C818" s="16"/>
    </row>
    <row r="819">
      <c r="A819" s="16" t="s">
        <v>174</v>
      </c>
      <c r="B819" s="16"/>
      <c r="C819" s="16"/>
    </row>
    <row r="820">
      <c r="A820" s="16" t="s">
        <v>174</v>
      </c>
      <c r="B820" s="16"/>
      <c r="C820" s="16"/>
    </row>
    <row r="821">
      <c r="A821" s="16" t="s">
        <v>174</v>
      </c>
      <c r="B821" s="16"/>
      <c r="C821" s="16"/>
    </row>
    <row r="822">
      <c r="A822" s="16" t="s">
        <v>174</v>
      </c>
      <c r="B822" s="16"/>
      <c r="C822" s="16"/>
    </row>
    <row r="823">
      <c r="A823" s="16" t="s">
        <v>174</v>
      </c>
      <c r="B823" s="16"/>
      <c r="C823" s="16"/>
    </row>
    <row r="824">
      <c r="A824" s="16" t="s">
        <v>174</v>
      </c>
      <c r="B824" s="16"/>
      <c r="C824" s="16"/>
    </row>
    <row r="825">
      <c r="A825" s="16" t="s">
        <v>174</v>
      </c>
      <c r="B825" s="16"/>
      <c r="C825" s="16"/>
    </row>
    <row r="826">
      <c r="A826" s="16" t="s">
        <v>174</v>
      </c>
      <c r="B826" s="16"/>
      <c r="C826" s="16"/>
    </row>
    <row r="827">
      <c r="A827" s="16" t="s">
        <v>174</v>
      </c>
      <c r="B827" s="16"/>
      <c r="C827" s="16"/>
    </row>
    <row r="828">
      <c r="A828" s="16" t="s">
        <v>174</v>
      </c>
      <c r="B828" s="16"/>
      <c r="C828" s="16"/>
    </row>
    <row r="829">
      <c r="A829" s="16" t="s">
        <v>174</v>
      </c>
      <c r="B829" s="16"/>
      <c r="C829" s="16"/>
    </row>
    <row r="830">
      <c r="A830" s="16" t="s">
        <v>174</v>
      </c>
      <c r="B830" s="16"/>
      <c r="C830" s="16"/>
    </row>
    <row r="831">
      <c r="A831" s="16" t="s">
        <v>174</v>
      </c>
      <c r="B831" s="16"/>
      <c r="C831" s="16"/>
    </row>
    <row r="832">
      <c r="A832" s="16" t="s">
        <v>174</v>
      </c>
      <c r="B832" s="16"/>
      <c r="C832" s="16"/>
    </row>
    <row r="833">
      <c r="A833" s="16" t="s">
        <v>174</v>
      </c>
      <c r="B833" s="16"/>
      <c r="C833" s="16"/>
    </row>
    <row r="834">
      <c r="A834" s="16" t="s">
        <v>174</v>
      </c>
      <c r="B834" s="16"/>
      <c r="C834" s="16"/>
    </row>
    <row r="835">
      <c r="A835" s="16" t="s">
        <v>174</v>
      </c>
      <c r="B835" s="16"/>
      <c r="C835" s="16"/>
    </row>
    <row r="836">
      <c r="A836" s="16" t="s">
        <v>174</v>
      </c>
      <c r="B836" s="16"/>
      <c r="C836" s="16"/>
    </row>
    <row r="837">
      <c r="A837" s="16" t="s">
        <v>174</v>
      </c>
      <c r="B837" s="16"/>
      <c r="C837" s="16"/>
    </row>
    <row r="838">
      <c r="A838" s="16" t="s">
        <v>174</v>
      </c>
      <c r="B838" s="16"/>
      <c r="C838" s="16"/>
    </row>
    <row r="839">
      <c r="A839" s="16" t="s">
        <v>174</v>
      </c>
      <c r="B839" s="16"/>
      <c r="C839" s="16"/>
    </row>
    <row r="840">
      <c r="A840" s="16" t="s">
        <v>174</v>
      </c>
      <c r="B840" s="16"/>
      <c r="C840" s="16"/>
    </row>
    <row r="841">
      <c r="A841" s="16" t="s">
        <v>174</v>
      </c>
      <c r="B841" s="16"/>
      <c r="C841" s="16"/>
    </row>
    <row r="842">
      <c r="A842" s="16" t="s">
        <v>174</v>
      </c>
      <c r="B842" s="16"/>
      <c r="C842" s="16"/>
    </row>
    <row r="843">
      <c r="A843" s="16" t="s">
        <v>174</v>
      </c>
      <c r="B843" s="16"/>
      <c r="C843" s="16"/>
    </row>
    <row r="844">
      <c r="A844" s="16" t="s">
        <v>174</v>
      </c>
      <c r="B844" s="16"/>
      <c r="C844" s="16"/>
    </row>
    <row r="845">
      <c r="A845" s="16" t="s">
        <v>174</v>
      </c>
      <c r="B845" s="16"/>
      <c r="C845" s="16"/>
    </row>
    <row r="846">
      <c r="A846" s="16" t="s">
        <v>174</v>
      </c>
      <c r="B846" s="16"/>
      <c r="C846" s="16"/>
    </row>
    <row r="847">
      <c r="A847" s="16" t="s">
        <v>174</v>
      </c>
      <c r="B847" s="16"/>
      <c r="C847" s="16"/>
    </row>
    <row r="848">
      <c r="A848" s="16" t="s">
        <v>174</v>
      </c>
      <c r="B848" s="16"/>
      <c r="C848" s="16"/>
    </row>
    <row r="849">
      <c r="A849" s="16" t="s">
        <v>174</v>
      </c>
      <c r="B849" s="16"/>
      <c r="C849" s="16"/>
    </row>
    <row r="850">
      <c r="A850" s="16" t="s">
        <v>174</v>
      </c>
      <c r="B850" s="16"/>
      <c r="C850" s="16"/>
    </row>
    <row r="851">
      <c r="A851" s="16" t="s">
        <v>174</v>
      </c>
      <c r="B851" s="16"/>
      <c r="C851" s="16"/>
    </row>
    <row r="852">
      <c r="A852" s="16" t="s">
        <v>174</v>
      </c>
      <c r="B852" s="16"/>
      <c r="C852" s="16"/>
    </row>
    <row r="853">
      <c r="A853" s="16" t="s">
        <v>174</v>
      </c>
      <c r="B853" s="16"/>
      <c r="C853" s="16"/>
    </row>
    <row r="854">
      <c r="A854" s="16" t="s">
        <v>174</v>
      </c>
      <c r="B854" s="16"/>
      <c r="C854" s="16"/>
    </row>
    <row r="855">
      <c r="A855" s="16" t="s">
        <v>174</v>
      </c>
      <c r="B855" s="16"/>
      <c r="C855" s="16"/>
    </row>
    <row r="856">
      <c r="A856" s="16" t="s">
        <v>174</v>
      </c>
      <c r="B856" s="16"/>
      <c r="C856" s="16"/>
    </row>
    <row r="857">
      <c r="A857" s="16" t="s">
        <v>174</v>
      </c>
      <c r="B857" s="16"/>
      <c r="C857" s="16"/>
    </row>
    <row r="858">
      <c r="A858" s="16" t="s">
        <v>174</v>
      </c>
      <c r="B858" s="16"/>
      <c r="C858" s="16"/>
    </row>
    <row r="859">
      <c r="A859" s="16" t="s">
        <v>174</v>
      </c>
      <c r="B859" s="16"/>
      <c r="C859" s="16"/>
    </row>
    <row r="860">
      <c r="A860" s="16" t="s">
        <v>174</v>
      </c>
      <c r="B860" s="16"/>
      <c r="C860" s="16"/>
    </row>
    <row r="861">
      <c r="A861" s="16" t="s">
        <v>174</v>
      </c>
      <c r="B861" s="16"/>
      <c r="C861" s="16"/>
    </row>
    <row r="862">
      <c r="A862" s="16" t="s">
        <v>174</v>
      </c>
      <c r="B862" s="16"/>
      <c r="C862" s="16"/>
    </row>
    <row r="863">
      <c r="A863" s="16" t="s">
        <v>174</v>
      </c>
      <c r="B863" s="16"/>
      <c r="C863" s="16"/>
    </row>
    <row r="864">
      <c r="A864" s="16" t="s">
        <v>174</v>
      </c>
      <c r="B864" s="16"/>
      <c r="C864" s="16"/>
    </row>
    <row r="865">
      <c r="A865" s="16" t="s">
        <v>174</v>
      </c>
      <c r="B865" s="16"/>
      <c r="C865" s="16"/>
    </row>
    <row r="866">
      <c r="A866" s="16" t="s">
        <v>174</v>
      </c>
      <c r="B866" s="16"/>
      <c r="C866" s="16"/>
    </row>
    <row r="867">
      <c r="A867" s="16" t="s">
        <v>174</v>
      </c>
      <c r="B867" s="16"/>
      <c r="C867" s="16"/>
    </row>
    <row r="868">
      <c r="A868" s="16" t="s">
        <v>174</v>
      </c>
      <c r="B868" s="16"/>
      <c r="C868" s="16"/>
    </row>
    <row r="869">
      <c r="A869" s="16" t="s">
        <v>174</v>
      </c>
      <c r="B869" s="16"/>
      <c r="C869" s="16"/>
    </row>
    <row r="870">
      <c r="A870" s="16" t="s">
        <v>174</v>
      </c>
      <c r="B870" s="16"/>
      <c r="C870" s="16"/>
    </row>
    <row r="871">
      <c r="A871" s="16" t="s">
        <v>174</v>
      </c>
      <c r="B871" s="16"/>
      <c r="C871" s="16"/>
    </row>
    <row r="872">
      <c r="A872" s="16" t="s">
        <v>174</v>
      </c>
      <c r="B872" s="16"/>
      <c r="C872" s="16"/>
    </row>
    <row r="873">
      <c r="A873" s="16" t="s">
        <v>174</v>
      </c>
      <c r="B873" s="16"/>
      <c r="C873" s="16"/>
    </row>
    <row r="874">
      <c r="A874" s="16" t="s">
        <v>174</v>
      </c>
      <c r="B874" s="16"/>
      <c r="C874" s="16"/>
    </row>
    <row r="875">
      <c r="A875" s="16" t="s">
        <v>174</v>
      </c>
      <c r="B875" s="16"/>
      <c r="C875" s="16"/>
    </row>
    <row r="876">
      <c r="A876" s="16" t="s">
        <v>174</v>
      </c>
      <c r="B876" s="16"/>
      <c r="C876" s="16"/>
    </row>
    <row r="877">
      <c r="A877" s="16" t="s">
        <v>174</v>
      </c>
      <c r="B877" s="16"/>
      <c r="C877" s="16"/>
    </row>
    <row r="878">
      <c r="A878" s="16" t="s">
        <v>174</v>
      </c>
      <c r="B878" s="16"/>
      <c r="C878" s="16"/>
    </row>
    <row r="879">
      <c r="A879" s="16" t="s">
        <v>174</v>
      </c>
      <c r="B879" s="16"/>
      <c r="C879" s="16"/>
    </row>
    <row r="880">
      <c r="A880" s="16" t="s">
        <v>174</v>
      </c>
      <c r="B880" s="16"/>
      <c r="C880" s="16"/>
    </row>
    <row r="881">
      <c r="A881" s="16" t="s">
        <v>174</v>
      </c>
      <c r="B881" s="16"/>
      <c r="C881" s="16"/>
    </row>
    <row r="882">
      <c r="A882" s="16" t="s">
        <v>174</v>
      </c>
      <c r="B882" s="16"/>
      <c r="C882" s="16"/>
    </row>
    <row r="883">
      <c r="A883" s="16" t="s">
        <v>174</v>
      </c>
      <c r="B883" s="16"/>
      <c r="C883" s="16"/>
    </row>
    <row r="884">
      <c r="A884" s="16" t="s">
        <v>174</v>
      </c>
      <c r="B884" s="16"/>
      <c r="C884" s="16"/>
    </row>
    <row r="885">
      <c r="A885" s="16" t="s">
        <v>174</v>
      </c>
      <c r="B885" s="16"/>
      <c r="C885" s="16"/>
    </row>
    <row r="886">
      <c r="A886" s="16" t="s">
        <v>174</v>
      </c>
      <c r="B886" s="16"/>
      <c r="C886" s="16"/>
    </row>
    <row r="887">
      <c r="A887" s="16" t="s">
        <v>174</v>
      </c>
      <c r="B887" s="16"/>
      <c r="C887" s="16"/>
    </row>
    <row r="888">
      <c r="A888" s="16" t="s">
        <v>174</v>
      </c>
      <c r="B888" s="16"/>
      <c r="C888" s="16"/>
    </row>
    <row r="889">
      <c r="A889" s="16" t="s">
        <v>174</v>
      </c>
      <c r="B889" s="16"/>
      <c r="C889" s="16"/>
    </row>
    <row r="890">
      <c r="A890" s="16" t="s">
        <v>174</v>
      </c>
      <c r="B890" s="16"/>
      <c r="C890" s="16"/>
    </row>
    <row r="891">
      <c r="A891" s="16" t="s">
        <v>174</v>
      </c>
      <c r="B891" s="16"/>
      <c r="C891" s="16"/>
    </row>
    <row r="892">
      <c r="A892" s="16" t="s">
        <v>174</v>
      </c>
      <c r="B892" s="16"/>
      <c r="C892" s="16"/>
    </row>
    <row r="893">
      <c r="A893" s="16" t="s">
        <v>174</v>
      </c>
      <c r="B893" s="16"/>
      <c r="C893" s="16"/>
    </row>
    <row r="894">
      <c r="A894" s="16" t="s">
        <v>174</v>
      </c>
      <c r="B894" s="16"/>
      <c r="C894" s="16"/>
    </row>
    <row r="895">
      <c r="A895" s="16" t="s">
        <v>174</v>
      </c>
      <c r="B895" s="16"/>
      <c r="C895" s="16"/>
    </row>
    <row r="896">
      <c r="A896" s="16" t="s">
        <v>174</v>
      </c>
      <c r="B896" s="16"/>
      <c r="C896" s="16"/>
    </row>
    <row r="897">
      <c r="A897" s="16" t="s">
        <v>174</v>
      </c>
      <c r="B897" s="16"/>
      <c r="C897" s="16"/>
    </row>
    <row r="898">
      <c r="A898" s="16" t="s">
        <v>174</v>
      </c>
      <c r="B898" s="16"/>
      <c r="C898" s="16"/>
    </row>
    <row r="899">
      <c r="A899" s="16" t="s">
        <v>174</v>
      </c>
      <c r="B899" s="16"/>
      <c r="C899" s="16"/>
    </row>
    <row r="900">
      <c r="A900" s="16" t="s">
        <v>174</v>
      </c>
      <c r="B900" s="16"/>
      <c r="C900" s="16"/>
    </row>
    <row r="901">
      <c r="A901" s="16" t="s">
        <v>174</v>
      </c>
      <c r="B901" s="16"/>
      <c r="C901" s="16"/>
    </row>
    <row r="902">
      <c r="A902" s="16" t="s">
        <v>174</v>
      </c>
      <c r="B902" s="16"/>
      <c r="C902" s="16"/>
    </row>
    <row r="903">
      <c r="A903" s="16" t="s">
        <v>174</v>
      </c>
      <c r="B903" s="16"/>
      <c r="C903" s="16"/>
    </row>
    <row r="904">
      <c r="A904" s="16" t="s">
        <v>174</v>
      </c>
      <c r="B904" s="16"/>
      <c r="C904" s="16"/>
    </row>
    <row r="905">
      <c r="A905" s="16" t="s">
        <v>174</v>
      </c>
      <c r="B905" s="16"/>
      <c r="C905" s="16"/>
    </row>
    <row r="906">
      <c r="A906" s="16" t="s">
        <v>174</v>
      </c>
      <c r="B906" s="16"/>
      <c r="C906" s="16"/>
    </row>
    <row r="907">
      <c r="A907" s="16" t="s">
        <v>174</v>
      </c>
      <c r="B907" s="16"/>
      <c r="C907" s="16"/>
    </row>
    <row r="908">
      <c r="A908" s="16" t="s">
        <v>174</v>
      </c>
      <c r="B908" s="16"/>
      <c r="C908" s="16"/>
    </row>
    <row r="909">
      <c r="A909" s="16" t="s">
        <v>174</v>
      </c>
      <c r="B909" s="16"/>
      <c r="C909" s="16"/>
    </row>
    <row r="910">
      <c r="A910" s="16" t="s">
        <v>174</v>
      </c>
      <c r="B910" s="16"/>
      <c r="C910" s="16"/>
    </row>
    <row r="911">
      <c r="A911" s="16" t="s">
        <v>174</v>
      </c>
      <c r="B911" s="16"/>
      <c r="C911" s="16"/>
    </row>
    <row r="912">
      <c r="A912" s="16" t="s">
        <v>174</v>
      </c>
      <c r="B912" s="16"/>
      <c r="C912" s="16"/>
    </row>
    <row r="913">
      <c r="A913" s="16" t="s">
        <v>174</v>
      </c>
      <c r="B913" s="16"/>
      <c r="C913" s="16"/>
    </row>
    <row r="914">
      <c r="A914" s="16" t="s">
        <v>174</v>
      </c>
      <c r="B914" s="16"/>
      <c r="C914" s="16"/>
    </row>
    <row r="915">
      <c r="A915" s="16" t="s">
        <v>174</v>
      </c>
      <c r="B915" s="16"/>
      <c r="C915" s="16"/>
    </row>
    <row r="916">
      <c r="A916" s="16" t="s">
        <v>174</v>
      </c>
      <c r="B916" s="16"/>
      <c r="C916" s="16"/>
    </row>
    <row r="917">
      <c r="A917" s="16" t="s">
        <v>174</v>
      </c>
      <c r="B917" s="16"/>
      <c r="C917" s="16"/>
    </row>
    <row r="918">
      <c r="A918" s="16" t="s">
        <v>174</v>
      </c>
      <c r="B918" s="16"/>
      <c r="C918" s="16"/>
    </row>
    <row r="919">
      <c r="A919" s="16" t="s">
        <v>174</v>
      </c>
      <c r="B919" s="16"/>
      <c r="C919" s="16"/>
    </row>
    <row r="920">
      <c r="A920" s="16" t="s">
        <v>174</v>
      </c>
      <c r="B920" s="16"/>
      <c r="C920" s="16"/>
    </row>
    <row r="921">
      <c r="A921" s="16" t="s">
        <v>174</v>
      </c>
      <c r="B921" s="16"/>
      <c r="C921" s="16"/>
    </row>
    <row r="922">
      <c r="A922" s="16" t="s">
        <v>174</v>
      </c>
      <c r="B922" s="16"/>
      <c r="C922" s="16"/>
    </row>
    <row r="923">
      <c r="A923" s="16" t="s">
        <v>174</v>
      </c>
      <c r="B923" s="16"/>
      <c r="C923" s="16"/>
    </row>
    <row r="924">
      <c r="A924" s="16" t="s">
        <v>174</v>
      </c>
      <c r="B924" s="16"/>
      <c r="C924" s="16"/>
    </row>
    <row r="925">
      <c r="A925" s="16" t="s">
        <v>174</v>
      </c>
      <c r="B925" s="16"/>
      <c r="C925" s="16"/>
    </row>
    <row r="926">
      <c r="A926" s="16" t="s">
        <v>174</v>
      </c>
      <c r="B926" s="16"/>
      <c r="C926" s="16"/>
    </row>
    <row r="927">
      <c r="A927" s="16" t="s">
        <v>174</v>
      </c>
      <c r="B927" s="16"/>
      <c r="C927" s="16"/>
    </row>
    <row r="928">
      <c r="A928" s="16" t="s">
        <v>174</v>
      </c>
      <c r="B928" s="16"/>
      <c r="C928" s="16"/>
    </row>
    <row r="929">
      <c r="A929" s="16" t="s">
        <v>174</v>
      </c>
      <c r="B929" s="16"/>
      <c r="C929" s="16"/>
    </row>
    <row r="930">
      <c r="A930" s="16" t="s">
        <v>174</v>
      </c>
      <c r="B930" s="16"/>
      <c r="C930" s="16"/>
    </row>
    <row r="931">
      <c r="A931" s="16" t="s">
        <v>174</v>
      </c>
      <c r="B931" s="16"/>
      <c r="C931" s="16"/>
    </row>
    <row r="932">
      <c r="A932" s="16" t="s">
        <v>174</v>
      </c>
      <c r="B932" s="16"/>
      <c r="C932" s="16"/>
    </row>
    <row r="933">
      <c r="A933" s="16" t="s">
        <v>174</v>
      </c>
      <c r="B933" s="16"/>
      <c r="C933" s="16"/>
    </row>
    <row r="934">
      <c r="A934" s="16" t="s">
        <v>174</v>
      </c>
      <c r="B934" s="16"/>
      <c r="C934" s="16"/>
    </row>
    <row r="935">
      <c r="A935" s="16" t="s">
        <v>174</v>
      </c>
      <c r="B935" s="16"/>
      <c r="C935" s="16"/>
    </row>
    <row r="936">
      <c r="A936" s="16" t="s">
        <v>174</v>
      </c>
      <c r="B936" s="16"/>
      <c r="C936" s="16"/>
    </row>
    <row r="937">
      <c r="A937" s="16" t="s">
        <v>174</v>
      </c>
      <c r="B937" s="16"/>
      <c r="C937" s="16"/>
    </row>
    <row r="938">
      <c r="A938" s="16" t="s">
        <v>174</v>
      </c>
      <c r="B938" s="16"/>
      <c r="C938" s="16"/>
    </row>
    <row r="939">
      <c r="A939" s="16" t="s">
        <v>174</v>
      </c>
      <c r="B939" s="16"/>
      <c r="C939" s="16"/>
    </row>
    <row r="940">
      <c r="A940" s="16" t="s">
        <v>174</v>
      </c>
      <c r="B940" s="16"/>
      <c r="C940" s="16"/>
    </row>
    <row r="941">
      <c r="A941" s="16" t="s">
        <v>174</v>
      </c>
      <c r="B941" s="16"/>
      <c r="C941" s="16"/>
    </row>
    <row r="942">
      <c r="A942" s="16" t="s">
        <v>174</v>
      </c>
      <c r="B942" s="16"/>
      <c r="C942" s="16"/>
    </row>
    <row r="943">
      <c r="A943" s="16" t="s">
        <v>174</v>
      </c>
      <c r="B943" s="16"/>
      <c r="C943" s="16"/>
    </row>
    <row r="944">
      <c r="A944" s="16" t="s">
        <v>174</v>
      </c>
      <c r="B944" s="16"/>
      <c r="C944" s="16"/>
    </row>
    <row r="945">
      <c r="A945" s="16" t="s">
        <v>174</v>
      </c>
      <c r="B945" s="16"/>
      <c r="C945" s="16"/>
    </row>
    <row r="946">
      <c r="A946" s="16" t="s">
        <v>174</v>
      </c>
      <c r="B946" s="16"/>
      <c r="C946" s="16"/>
    </row>
    <row r="947">
      <c r="A947" s="16" t="s">
        <v>174</v>
      </c>
      <c r="B947" s="16"/>
      <c r="C947" s="16"/>
    </row>
    <row r="948">
      <c r="A948" s="16" t="s">
        <v>174</v>
      </c>
      <c r="B948" s="16"/>
      <c r="C948" s="16"/>
    </row>
    <row r="949">
      <c r="A949" s="16" t="s">
        <v>174</v>
      </c>
      <c r="B949" s="16"/>
      <c r="C949" s="16"/>
    </row>
    <row r="950">
      <c r="A950" s="16" t="s">
        <v>174</v>
      </c>
      <c r="B950" s="16"/>
      <c r="C950" s="16"/>
    </row>
    <row r="951">
      <c r="A951" s="16" t="s">
        <v>174</v>
      </c>
      <c r="B951" s="16"/>
      <c r="C951" s="16"/>
    </row>
    <row r="952">
      <c r="A952" s="16" t="s">
        <v>174</v>
      </c>
      <c r="B952" s="16"/>
      <c r="C952" s="16"/>
    </row>
    <row r="953">
      <c r="A953" s="16" t="s">
        <v>174</v>
      </c>
      <c r="B953" s="16"/>
      <c r="C953" s="16"/>
    </row>
    <row r="954">
      <c r="A954" s="16" t="s">
        <v>174</v>
      </c>
      <c r="B954" s="16"/>
      <c r="C954" s="16"/>
    </row>
    <row r="955">
      <c r="A955" s="16" t="s">
        <v>174</v>
      </c>
      <c r="B955" s="16"/>
      <c r="C955" s="16"/>
    </row>
    <row r="956">
      <c r="A956" s="16" t="s">
        <v>174</v>
      </c>
      <c r="B956" s="16"/>
      <c r="C956" s="16"/>
    </row>
    <row r="957">
      <c r="A957" s="16" t="s">
        <v>174</v>
      </c>
      <c r="B957" s="16"/>
      <c r="C957" s="16"/>
    </row>
    <row r="958">
      <c r="A958" s="16" t="s">
        <v>174</v>
      </c>
      <c r="B958" s="16"/>
      <c r="C958" s="16"/>
    </row>
    <row r="959">
      <c r="A959" s="16" t="s">
        <v>174</v>
      </c>
      <c r="B959" s="16"/>
      <c r="C959" s="16"/>
    </row>
    <row r="960">
      <c r="A960" s="16" t="s">
        <v>174</v>
      </c>
      <c r="B960" s="16"/>
      <c r="C960" s="16"/>
    </row>
    <row r="961">
      <c r="A961" s="16" t="s">
        <v>174</v>
      </c>
      <c r="B961" s="16"/>
      <c r="C961" s="16"/>
    </row>
    <row r="962">
      <c r="A962" s="16" t="s">
        <v>174</v>
      </c>
      <c r="B962" s="16"/>
      <c r="C962" s="16"/>
    </row>
    <row r="963">
      <c r="A963" s="16" t="s">
        <v>174</v>
      </c>
      <c r="B963" s="16"/>
      <c r="C963" s="16"/>
    </row>
    <row r="964">
      <c r="A964" s="16" t="s">
        <v>174</v>
      </c>
      <c r="B964" s="16"/>
      <c r="C964" s="16"/>
    </row>
    <row r="965">
      <c r="A965" s="16" t="s">
        <v>174</v>
      </c>
      <c r="B965" s="16"/>
      <c r="C965" s="16"/>
    </row>
    <row r="966">
      <c r="A966" s="16" t="s">
        <v>174</v>
      </c>
      <c r="B966" s="16"/>
      <c r="C966" s="16"/>
    </row>
    <row r="967">
      <c r="A967" s="16" t="s">
        <v>174</v>
      </c>
      <c r="B967" s="16"/>
      <c r="C967" s="16"/>
    </row>
    <row r="968">
      <c r="A968" s="16" t="s">
        <v>174</v>
      </c>
      <c r="B968" s="16"/>
      <c r="C968" s="16"/>
    </row>
    <row r="969">
      <c r="A969" s="16" t="s">
        <v>174</v>
      </c>
      <c r="B969" s="16"/>
      <c r="C969" s="16"/>
    </row>
    <row r="970">
      <c r="A970" s="16" t="s">
        <v>174</v>
      </c>
      <c r="B970" s="16"/>
      <c r="C970" s="16"/>
    </row>
    <row r="971">
      <c r="A971" s="16" t="s">
        <v>174</v>
      </c>
      <c r="B971" s="16"/>
      <c r="C971" s="16"/>
    </row>
    <row r="972">
      <c r="A972" s="16" t="s">
        <v>174</v>
      </c>
      <c r="B972" s="16"/>
      <c r="C972" s="16"/>
    </row>
    <row r="973">
      <c r="A973" s="16" t="s">
        <v>174</v>
      </c>
      <c r="B973" s="16"/>
      <c r="C973" s="16"/>
    </row>
    <row r="974">
      <c r="A974" s="16" t="s">
        <v>174</v>
      </c>
      <c r="B974" s="16"/>
      <c r="C974" s="16"/>
    </row>
    <row r="975">
      <c r="A975" s="16" t="s">
        <v>174</v>
      </c>
      <c r="B975" s="16"/>
      <c r="C975" s="16"/>
    </row>
    <row r="976">
      <c r="A976" s="16" t="s">
        <v>174</v>
      </c>
      <c r="B976" s="16"/>
      <c r="C976" s="16"/>
    </row>
    <row r="977">
      <c r="A977" s="16" t="s">
        <v>174</v>
      </c>
      <c r="B977" s="16"/>
      <c r="C977" s="16"/>
    </row>
    <row r="978">
      <c r="A978" s="16" t="s">
        <v>174</v>
      </c>
      <c r="B978" s="16"/>
      <c r="C978" s="16"/>
    </row>
    <row r="979">
      <c r="A979" s="16" t="s">
        <v>174</v>
      </c>
      <c r="B979" s="16"/>
      <c r="C979" s="16"/>
    </row>
    <row r="980">
      <c r="A980" s="16" t="s">
        <v>174</v>
      </c>
      <c r="B980" s="16"/>
      <c r="C980" s="16"/>
    </row>
    <row r="981">
      <c r="A981" s="16" t="s">
        <v>174</v>
      </c>
      <c r="B981" s="16"/>
      <c r="C981" s="16"/>
    </row>
    <row r="982">
      <c r="A982" s="16" t="s">
        <v>174</v>
      </c>
      <c r="B982" s="16"/>
      <c r="C982" s="16"/>
    </row>
    <row r="983">
      <c r="A983" s="16" t="s">
        <v>174</v>
      </c>
      <c r="B983" s="16"/>
      <c r="C983" s="16"/>
    </row>
    <row r="984">
      <c r="A984" s="16" t="s">
        <v>174</v>
      </c>
      <c r="B984" s="16"/>
      <c r="C984" s="16"/>
    </row>
    <row r="985">
      <c r="A985" s="16" t="s">
        <v>174</v>
      </c>
      <c r="B985" s="16"/>
      <c r="C985" s="16"/>
    </row>
    <row r="986">
      <c r="A986" s="16" t="s">
        <v>174</v>
      </c>
      <c r="B986" s="16"/>
      <c r="C986" s="16"/>
    </row>
    <row r="987">
      <c r="A987" s="16" t="s">
        <v>174</v>
      </c>
      <c r="B987" s="16"/>
      <c r="C987" s="16"/>
    </row>
    <row r="988">
      <c r="A988" s="16" t="s">
        <v>174</v>
      </c>
      <c r="B988" s="16"/>
      <c r="C988" s="16"/>
    </row>
    <row r="989">
      <c r="A989" s="16" t="s">
        <v>174</v>
      </c>
      <c r="B989" s="16"/>
      <c r="C989" s="16"/>
    </row>
    <row r="990">
      <c r="A990" s="16" t="s">
        <v>174</v>
      </c>
      <c r="B990" s="16"/>
      <c r="C990" s="16"/>
    </row>
    <row r="991">
      <c r="A991" s="16" t="s">
        <v>174</v>
      </c>
      <c r="B991" s="16"/>
      <c r="C991" s="16"/>
    </row>
    <row r="992">
      <c r="A992" s="16" t="s">
        <v>174</v>
      </c>
      <c r="B992" s="16"/>
      <c r="C992" s="16"/>
    </row>
    <row r="993">
      <c r="A993" s="16" t="s">
        <v>174</v>
      </c>
      <c r="B993" s="16"/>
      <c r="C993" s="16"/>
    </row>
    <row r="994">
      <c r="A994" s="16" t="s">
        <v>174</v>
      </c>
      <c r="B994" s="16"/>
      <c r="C994" s="16"/>
    </row>
    <row r="995">
      <c r="A995" s="16" t="s">
        <v>174</v>
      </c>
      <c r="B995" s="16"/>
      <c r="C995" s="16"/>
    </row>
    <row r="996">
      <c r="A996" s="16" t="s">
        <v>174</v>
      </c>
      <c r="B996" s="16"/>
      <c r="C996" s="16"/>
    </row>
    <row r="997">
      <c r="A997" s="16" t="s">
        <v>174</v>
      </c>
      <c r="B997" s="16"/>
      <c r="C997" s="16"/>
    </row>
    <row r="998">
      <c r="A998" s="16" t="s">
        <v>174</v>
      </c>
      <c r="B998" s="16"/>
      <c r="C998" s="16"/>
    </row>
    <row r="999">
      <c r="A999" s="16" t="s">
        <v>174</v>
      </c>
      <c r="B999" s="16"/>
      <c r="C999" s="16"/>
    </row>
    <row r="1000">
      <c r="A1000" s="16" t="s">
        <v>174</v>
      </c>
      <c r="B1000" s="16"/>
      <c r="C1000" s="16"/>
    </row>
  </sheetData>
  <dataValidations>
    <dataValidation type="list" allowBlank="1" showErrorMessage="1" sqref="C2:C1000">
      <formula1>"Q1,Q2,Q3,Q4"</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4563</v>
      </c>
      <c r="B1" s="19" t="s">
        <v>2274</v>
      </c>
      <c r="D1" s="19" t="s">
        <v>4564</v>
      </c>
      <c r="G1" s="19" t="s">
        <v>4565</v>
      </c>
      <c r="J1" s="19" t="s">
        <v>4566</v>
      </c>
    </row>
    <row r="2">
      <c r="A2" s="19" t="s">
        <v>4567</v>
      </c>
      <c r="B2" s="16">
        <f>COUNTA(Leads!B3:B1000)</f>
        <v>132</v>
      </c>
      <c r="D2" s="16" t="str">
        <f>IFERROR(__xludf.DUMMYFUNCTION("QUERY(Leads!O3:O1000, ""SELECT O, COUNT(O) WHERE O IS NOT NULL GROUP BY O LABEL O 'Status', COUNT(O) 'Count'"", 0)"),"Status")</f>
        <v>Status</v>
      </c>
      <c r="E2" s="16" t="str">
        <f>IFERROR(__xludf.DUMMYFUNCTION("""COMPUTED_VALUE"""),"Count")</f>
        <v>Count</v>
      </c>
      <c r="G2" s="16" t="str">
        <f>IFERROR(__xludf.DUMMYFUNCTION("QUERY(Leads!H3:H1000, ""SELECT H, COUNT(H) WHERE H IS NOT NULL GROUP BY H LABEL H 'Source', COUNT(H) 'Count'"", 0)"),"Source")</f>
        <v>Source</v>
      </c>
      <c r="H2" s="16" t="str">
        <f>IFERROR(__xludf.DUMMYFUNCTION("""COMPUTED_VALUE"""),"Count")</f>
        <v>Count</v>
      </c>
      <c r="J2" s="16" t="str">
        <f>IFERROR(__xludf.DUMMYFUNCTION("QUERY(Leads!J3:J1000, ""SELECT J, COUNT(J) WHERE J IS NOT NULL GROUP BY J LABEL J 'Industry', COUNT(J) 'Count'"", 0)"),"Industry")</f>
        <v>Industry</v>
      </c>
      <c r="K2" s="16" t="str">
        <f>IFERROR(__xludf.DUMMYFUNCTION("""COMPUTED_VALUE"""),"Count")</f>
        <v>Count</v>
      </c>
    </row>
    <row r="3">
      <c r="A3" s="19" t="s">
        <v>4585</v>
      </c>
      <c r="B3" s="16">
        <f>COUNTIF(Leads!V3:V1000, TRUE)</f>
        <v>0</v>
      </c>
      <c r="D3" s="16" t="str">
        <f>IFERROR(__xludf.DUMMYFUNCTION("""COMPUTED_VALUE"""),"In Discussion")</f>
        <v>In Discussion</v>
      </c>
      <c r="E3" s="16">
        <f>IFERROR(__xludf.DUMMYFUNCTION("""COMPUTED_VALUE"""),1.0)</f>
        <v>1</v>
      </c>
      <c r="J3" s="16" t="str">
        <f>IFERROR(__xludf.DUMMYFUNCTION("""COMPUTED_VALUE"""),"AI Solutions")</f>
        <v>AI Solutions</v>
      </c>
      <c r="K3" s="16">
        <f>IFERROR(__xludf.DUMMYFUNCTION("""COMPUTED_VALUE"""),3.0)</f>
        <v>3</v>
      </c>
    </row>
    <row r="4">
      <c r="A4" s="19" t="s">
        <v>4591</v>
      </c>
      <c r="B4" s="16">
        <f>IFERROR(AVERAGE(Leads!Z3:Z1000), 0)</f>
        <v>15</v>
      </c>
      <c r="D4" s="16" t="str">
        <f>IFERROR(__xludf.DUMMYFUNCTION("""COMPUTED_VALUE"""),"Proposal Sent")</f>
        <v>Proposal Sent</v>
      </c>
      <c r="E4" s="16">
        <f>IFERROR(__xludf.DUMMYFUNCTION("""COMPUTED_VALUE"""),1.0)</f>
        <v>1</v>
      </c>
      <c r="J4" s="16" t="str">
        <f>IFERROR(__xludf.DUMMYFUNCTION("""COMPUTED_VALUE"""),"Ed-Tech")</f>
        <v>Ed-Tech</v>
      </c>
      <c r="K4" s="16">
        <f>IFERROR(__xludf.DUMMYFUNCTION("""COMPUTED_VALUE"""),4.0)</f>
        <v>4</v>
      </c>
    </row>
    <row r="5">
      <c r="A5" s="19" t="s">
        <v>4598</v>
      </c>
      <c r="B5" s="16">
        <f>IFERROR(AVERAGE(Leads!X3:X1000), 0)</f>
        <v>2</v>
      </c>
      <c r="D5" s="16" t="str">
        <f>IFERROR(__xludf.DUMMYFUNCTION("""COMPUTED_VALUE"""),"Ready")</f>
        <v>Ready</v>
      </c>
      <c r="E5" s="16">
        <f>IFERROR(__xludf.DUMMYFUNCTION("""COMPUTED_VALUE"""),2.0)</f>
        <v>2</v>
      </c>
      <c r="J5" s="16" t="str">
        <f>IFERROR(__xludf.DUMMYFUNCTION("""COMPUTED_VALUE"""),"Edtech and Ai")</f>
        <v>Edtech and Ai</v>
      </c>
      <c r="K5" s="16">
        <f>IFERROR(__xludf.DUMMYFUNCTION("""COMPUTED_VALUE"""),1.0)</f>
        <v>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29.0"/>
  </cols>
  <sheetData>
    <row r="1">
      <c r="A1" s="67" t="s">
        <v>4</v>
      </c>
    </row>
    <row r="2">
      <c r="A2" s="68" t="str">
        <f>HYPERLINK("mailto:rachel.decker@relias.com","rachel.decker@relias.com")</f>
        <v>rachel.decker@relias.com</v>
      </c>
      <c r="B2" s="69" t="s">
        <v>4680</v>
      </c>
    </row>
    <row r="3">
      <c r="A3" s="68" t="str">
        <f>HYPERLINK("mailto:rdecker@relias.com","rdecker@relias.com")</f>
        <v>rdecker@relias.com</v>
      </c>
      <c r="B3" s="69" t="s">
        <v>4683</v>
      </c>
    </row>
    <row r="4">
      <c r="A4" s="68" t="str">
        <f>HYPERLINK("mailto:rachel@relias.com","rachel@relias.com")</f>
        <v>rachel@relias.com</v>
      </c>
      <c r="B4" s="69" t="s">
        <v>4686</v>
      </c>
    </row>
    <row r="5">
      <c r="A5" s="68" t="str">
        <f>HYPERLINK("mailto:rachel.d@relias.com","rachel.d@relias.com")</f>
        <v>rachel.d@relias.com</v>
      </c>
      <c r="B5" s="69" t="s">
        <v>4688</v>
      </c>
    </row>
    <row r="6">
      <c r="A6" s="68" t="str">
        <f>HYPERLINK("mailto:r.decker@relias.com","r.decker@relias.com")</f>
        <v>r.decker@relias.com</v>
      </c>
      <c r="B6" s="69" t="s">
        <v>4692</v>
      </c>
    </row>
    <row r="7">
      <c r="A7" s="68" t="str">
        <f>HYPERLINK("mailto:rachel_decker@relias.com","rachel_decker@relias.com")</f>
        <v>rachel_decker@relias.com</v>
      </c>
      <c r="B7" s="69" t="s">
        <v>4693</v>
      </c>
    </row>
    <row r="8">
      <c r="A8" s="68" t="str">
        <f>HYPERLINK("mailto:rachel-decker@relias.com","rachel-decker@relias.com")</f>
        <v>rachel-decker@relias.com</v>
      </c>
      <c r="B8" s="69" t="s">
        <v>4694</v>
      </c>
    </row>
    <row r="9">
      <c r="A9" s="68" t="str">
        <f>HYPERLINK("mailto:racheld@relias.com","racheld@relias.com")</f>
        <v>racheld@relias.com</v>
      </c>
      <c r="B9" s="69" t="s">
        <v>4698</v>
      </c>
    </row>
    <row r="10">
      <c r="A10" s="68" t="str">
        <f>HYPERLINK("mailto:decker.rachel@relias.com","decker.rachel@relias.com")</f>
        <v>decker.rachel@relias.com</v>
      </c>
      <c r="B10" s="69" t="s">
        <v>4699</v>
      </c>
    </row>
    <row r="11">
      <c r="A11" s="68" t="str">
        <f>HYPERLINK("mailto:racheldecker@relias.com","racheldecker@relias.com")</f>
        <v>racheldecker@relias.com</v>
      </c>
      <c r="B11" s="69" t="s">
        <v>4700</v>
      </c>
    </row>
    <row r="12">
      <c r="A12" s="68" t="str">
        <f>HYPERLINK("mailto:decker@relias.com","decker@relias.com")</f>
        <v>decker@relias.com</v>
      </c>
      <c r="B12" s="69" t="s">
        <v>4703</v>
      </c>
    </row>
    <row r="13">
      <c r="A13" s="68" t="str">
        <f>HYPERLINK("mailto:rd@relias.com","rd@relias.com")</f>
        <v>rd@relias.com</v>
      </c>
      <c r="B13" s="69" t="s">
        <v>4705</v>
      </c>
    </row>
    <row r="14">
      <c r="A14" s="68" t="str">
        <f>HYPERLINK("mailto:r.d@relias.com","r.d@relias.com")</f>
        <v>r.d@relias.com</v>
      </c>
      <c r="B14" s="69" t="s">
        <v>4707</v>
      </c>
    </row>
    <row r="15">
      <c r="A15" s="70"/>
      <c r="B15" s="70"/>
    </row>
  </sheetData>
  <mergeCells count="1">
    <mergeCell ref="A1:B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4754</v>
      </c>
      <c r="B1" s="19" t="s">
        <v>2274</v>
      </c>
      <c r="D1" s="19" t="s">
        <v>4755</v>
      </c>
      <c r="E1" s="71" t="s">
        <v>4756</v>
      </c>
      <c r="F1" s="71" t="s">
        <v>4757</v>
      </c>
      <c r="H1" s="19" t="s">
        <v>4758</v>
      </c>
      <c r="I1" s="19" t="s">
        <v>4760</v>
      </c>
      <c r="K1" s="19" t="s">
        <v>4761</v>
      </c>
      <c r="L1" s="72" t="s">
        <v>4756</v>
      </c>
    </row>
    <row r="2">
      <c r="A2" s="19" t="s">
        <v>4764</v>
      </c>
      <c r="B2" s="71">
        <v>1250000.0</v>
      </c>
      <c r="D2" s="19" t="s">
        <v>4766</v>
      </c>
      <c r="E2" s="71">
        <v>80000.0</v>
      </c>
      <c r="F2" s="71">
        <v>100000.0</v>
      </c>
      <c r="H2" s="19" t="s">
        <v>4767</v>
      </c>
      <c r="I2" s="25">
        <v>450.0</v>
      </c>
      <c r="K2" s="19" t="s">
        <v>2302</v>
      </c>
      <c r="L2" s="72">
        <v>350000.0</v>
      </c>
    </row>
    <row r="3">
      <c r="A3" s="19" t="s">
        <v>4769</v>
      </c>
      <c r="B3" s="25">
        <v>145.0</v>
      </c>
      <c r="D3" s="19" t="s">
        <v>4770</v>
      </c>
      <c r="E3" s="71">
        <v>95000.0</v>
      </c>
      <c r="F3" s="71">
        <v>100000.0</v>
      </c>
      <c r="H3" s="19" t="s">
        <v>4771</v>
      </c>
      <c r="I3" s="25">
        <v>300.0</v>
      </c>
      <c r="K3" s="19" t="s">
        <v>2296</v>
      </c>
      <c r="L3" s="72">
        <v>280000.0</v>
      </c>
    </row>
    <row r="4">
      <c r="A4" s="19" t="s">
        <v>4772</v>
      </c>
      <c r="B4" s="73">
        <v>0.28</v>
      </c>
      <c r="D4" s="19" t="s">
        <v>4776</v>
      </c>
      <c r="E4" s="71">
        <v>110000.0</v>
      </c>
      <c r="F4" s="71">
        <v>100000.0</v>
      </c>
      <c r="H4" s="19" t="s">
        <v>4777</v>
      </c>
      <c r="I4" s="25">
        <v>600.0</v>
      </c>
      <c r="K4" s="19" t="s">
        <v>2307</v>
      </c>
      <c r="L4" s="72">
        <v>420000.0</v>
      </c>
    </row>
    <row r="5">
      <c r="A5" s="19" t="s">
        <v>4778</v>
      </c>
      <c r="B5" s="72">
        <v>8620.0</v>
      </c>
      <c r="D5" s="19" t="s">
        <v>4779</v>
      </c>
      <c r="E5" s="71">
        <v>105000.0</v>
      </c>
      <c r="F5" s="71">
        <v>110000.0</v>
      </c>
      <c r="H5" s="19" t="s">
        <v>4780</v>
      </c>
      <c r="I5" s="25">
        <v>250.0</v>
      </c>
      <c r="K5" s="19" t="s">
        <v>4781</v>
      </c>
      <c r="L5" s="72">
        <v>310000.0</v>
      </c>
    </row>
    <row r="6">
      <c r="D6" s="19" t="s">
        <v>4782</v>
      </c>
      <c r="E6" s="71">
        <v>120000.0</v>
      </c>
      <c r="F6" s="71">
        <v>110000.0</v>
      </c>
      <c r="H6" s="19" t="s">
        <v>4783</v>
      </c>
      <c r="I6" s="25">
        <v>150.0</v>
      </c>
      <c r="K6" s="19" t="s">
        <v>4784</v>
      </c>
      <c r="L6" s="72">
        <v>250000.0</v>
      </c>
    </row>
    <row r="7">
      <c r="D7" s="19" t="s">
        <v>4785</v>
      </c>
      <c r="E7" s="71">
        <v>135000.0</v>
      </c>
      <c r="F7" s="71">
        <v>110000.0</v>
      </c>
      <c r="L7" s="74"/>
    </row>
    <row r="8">
      <c r="D8" s="19" t="s">
        <v>4786</v>
      </c>
      <c r="E8" s="71">
        <v>150000.0</v>
      </c>
      <c r="F8" s="71">
        <v>120000.0</v>
      </c>
      <c r="L8" s="74"/>
    </row>
    <row r="9">
      <c r="D9" s="19" t="s">
        <v>4789</v>
      </c>
      <c r="E9" s="71">
        <v>145000.0</v>
      </c>
      <c r="F9" s="71">
        <v>120000.0</v>
      </c>
      <c r="L9" s="74"/>
    </row>
    <row r="10">
      <c r="D10" s="19" t="s">
        <v>4791</v>
      </c>
      <c r="E10" s="71">
        <v>160000.0</v>
      </c>
      <c r="F10" s="71">
        <v>120000.0</v>
      </c>
      <c r="L10" s="74"/>
    </row>
    <row r="11">
      <c r="D11" s="19" t="s">
        <v>4792</v>
      </c>
      <c r="E11" s="71">
        <v>180000.0</v>
      </c>
      <c r="F11" s="71">
        <v>130000.0</v>
      </c>
      <c r="L11" s="74"/>
    </row>
    <row r="12">
      <c r="D12" s="19" t="s">
        <v>4793</v>
      </c>
      <c r="E12" s="71">
        <v>190000.0</v>
      </c>
      <c r="F12" s="71">
        <v>130000.0</v>
      </c>
      <c r="L12" s="74"/>
    </row>
    <row r="13">
      <c r="D13" s="19" t="s">
        <v>4794</v>
      </c>
      <c r="E13" s="71">
        <v>210000.0</v>
      </c>
      <c r="F13" s="71">
        <v>130000.0</v>
      </c>
      <c r="L13" s="74"/>
    </row>
    <row r="14">
      <c r="E14" s="75"/>
      <c r="F14" s="75"/>
      <c r="L14" s="74"/>
    </row>
    <row r="15">
      <c r="E15" s="75"/>
      <c r="F15" s="75"/>
      <c r="L15" s="74"/>
    </row>
    <row r="16">
      <c r="E16" s="75"/>
      <c r="F16" s="75"/>
      <c r="L16" s="74"/>
    </row>
    <row r="17">
      <c r="E17" s="75"/>
      <c r="F17" s="75"/>
      <c r="L17" s="74"/>
    </row>
    <row r="18">
      <c r="E18" s="75"/>
      <c r="F18" s="75"/>
      <c r="L18" s="74"/>
    </row>
    <row r="19">
      <c r="E19" s="75"/>
      <c r="F19" s="75"/>
      <c r="L19" s="74"/>
    </row>
    <row r="20">
      <c r="E20" s="75"/>
      <c r="F20" s="75"/>
      <c r="L20" s="74"/>
    </row>
    <row r="21">
      <c r="E21" s="75"/>
      <c r="F21" s="75"/>
      <c r="L21" s="74"/>
    </row>
    <row r="22">
      <c r="E22" s="75"/>
      <c r="F22" s="75"/>
      <c r="L22" s="74"/>
    </row>
    <row r="23">
      <c r="E23" s="75"/>
      <c r="F23" s="75"/>
      <c r="L23" s="74"/>
    </row>
    <row r="24">
      <c r="E24" s="75"/>
      <c r="F24" s="75"/>
      <c r="L24" s="74"/>
    </row>
    <row r="25">
      <c r="E25" s="75"/>
      <c r="F25" s="75"/>
      <c r="L25" s="74"/>
    </row>
    <row r="26">
      <c r="E26" s="75"/>
      <c r="F26" s="75"/>
      <c r="L26" s="74"/>
    </row>
    <row r="27">
      <c r="E27" s="75"/>
      <c r="F27" s="75"/>
      <c r="L27" s="74"/>
    </row>
    <row r="28">
      <c r="E28" s="75"/>
      <c r="F28" s="75"/>
      <c r="L28" s="74"/>
    </row>
    <row r="29">
      <c r="E29" s="75"/>
      <c r="F29" s="75"/>
      <c r="L29" s="74"/>
    </row>
    <row r="30">
      <c r="E30" s="75"/>
      <c r="F30" s="75"/>
      <c r="L30" s="74"/>
    </row>
    <row r="31">
      <c r="E31" s="75"/>
      <c r="F31" s="75"/>
      <c r="L31" s="74"/>
    </row>
    <row r="32">
      <c r="E32" s="75"/>
      <c r="F32" s="75"/>
      <c r="L32" s="74"/>
    </row>
    <row r="33">
      <c r="E33" s="75"/>
      <c r="F33" s="75"/>
      <c r="L33" s="74"/>
    </row>
    <row r="34">
      <c r="E34" s="75"/>
      <c r="F34" s="75"/>
      <c r="L34" s="74"/>
    </row>
    <row r="35">
      <c r="E35" s="75"/>
      <c r="F35" s="75"/>
      <c r="L35" s="74"/>
    </row>
    <row r="36">
      <c r="E36" s="75"/>
      <c r="F36" s="75"/>
      <c r="L36" s="74"/>
    </row>
    <row r="37">
      <c r="E37" s="75"/>
      <c r="F37" s="75"/>
      <c r="L37" s="74"/>
    </row>
    <row r="38">
      <c r="E38" s="75"/>
      <c r="F38" s="75"/>
      <c r="L38" s="74"/>
    </row>
    <row r="39">
      <c r="E39" s="75"/>
      <c r="F39" s="75"/>
      <c r="L39" s="74"/>
    </row>
    <row r="40">
      <c r="E40" s="75"/>
      <c r="F40" s="75"/>
      <c r="L40" s="74"/>
    </row>
    <row r="41">
      <c r="E41" s="75"/>
      <c r="F41" s="75"/>
      <c r="L41" s="74"/>
    </row>
    <row r="42">
      <c r="E42" s="75"/>
      <c r="F42" s="75"/>
      <c r="L42" s="74"/>
    </row>
    <row r="43">
      <c r="E43" s="75"/>
      <c r="F43" s="75"/>
      <c r="L43" s="74"/>
    </row>
    <row r="44">
      <c r="E44" s="75"/>
      <c r="F44" s="75"/>
      <c r="L44" s="74"/>
    </row>
    <row r="45">
      <c r="E45" s="75"/>
      <c r="F45" s="75"/>
      <c r="L45" s="74"/>
    </row>
    <row r="46">
      <c r="E46" s="75"/>
      <c r="F46" s="75"/>
      <c r="L46" s="74"/>
    </row>
    <row r="47">
      <c r="E47" s="75"/>
      <c r="F47" s="75"/>
      <c r="L47" s="74"/>
    </row>
    <row r="48">
      <c r="E48" s="75"/>
      <c r="F48" s="75"/>
      <c r="L48" s="74"/>
    </row>
    <row r="49">
      <c r="E49" s="75"/>
      <c r="F49" s="75"/>
      <c r="L49" s="74"/>
    </row>
    <row r="50">
      <c r="E50" s="75"/>
      <c r="F50" s="75"/>
      <c r="L50" s="74"/>
    </row>
    <row r="51">
      <c r="E51" s="75"/>
      <c r="F51" s="75"/>
      <c r="L51" s="74"/>
    </row>
    <row r="52">
      <c r="E52" s="75"/>
      <c r="F52" s="75"/>
      <c r="L52" s="74"/>
    </row>
    <row r="53">
      <c r="E53" s="75"/>
      <c r="F53" s="75"/>
      <c r="L53" s="74"/>
    </row>
    <row r="54">
      <c r="E54" s="75"/>
      <c r="F54" s="75"/>
      <c r="L54" s="74"/>
    </row>
    <row r="55">
      <c r="E55" s="75"/>
      <c r="F55" s="75"/>
      <c r="L55" s="74"/>
    </row>
    <row r="56">
      <c r="E56" s="75"/>
      <c r="F56" s="75"/>
      <c r="L56" s="74"/>
    </row>
    <row r="57">
      <c r="E57" s="75"/>
      <c r="F57" s="75"/>
      <c r="L57" s="74"/>
    </row>
    <row r="58">
      <c r="E58" s="75"/>
      <c r="F58" s="75"/>
      <c r="L58" s="74"/>
    </row>
    <row r="59">
      <c r="E59" s="75"/>
      <c r="F59" s="75"/>
      <c r="L59" s="74"/>
    </row>
    <row r="60">
      <c r="E60" s="75"/>
      <c r="F60" s="75"/>
      <c r="L60" s="74"/>
    </row>
    <row r="61">
      <c r="E61" s="75"/>
      <c r="F61" s="75"/>
      <c r="L61" s="74"/>
    </row>
    <row r="62">
      <c r="E62" s="75"/>
      <c r="F62" s="75"/>
      <c r="L62" s="74"/>
    </row>
    <row r="63">
      <c r="E63" s="75"/>
      <c r="F63" s="75"/>
      <c r="L63" s="74"/>
    </row>
    <row r="64">
      <c r="E64" s="75"/>
      <c r="F64" s="75"/>
      <c r="L64" s="74"/>
    </row>
    <row r="65">
      <c r="E65" s="75"/>
      <c r="F65" s="75"/>
      <c r="L65" s="74"/>
    </row>
    <row r="66">
      <c r="E66" s="75"/>
      <c r="F66" s="75"/>
      <c r="L66" s="74"/>
    </row>
    <row r="67">
      <c r="E67" s="75"/>
      <c r="F67" s="75"/>
      <c r="L67" s="74"/>
    </row>
    <row r="68">
      <c r="E68" s="75"/>
      <c r="F68" s="75"/>
      <c r="L68" s="74"/>
    </row>
    <row r="69">
      <c r="E69" s="75"/>
      <c r="F69" s="75"/>
      <c r="L69" s="74"/>
    </row>
    <row r="70">
      <c r="E70" s="75"/>
      <c r="F70" s="75"/>
      <c r="L70" s="74"/>
    </row>
    <row r="71">
      <c r="E71" s="75"/>
      <c r="F71" s="75"/>
      <c r="L71" s="74"/>
    </row>
    <row r="72">
      <c r="E72" s="75"/>
      <c r="F72" s="75"/>
      <c r="L72" s="74"/>
    </row>
    <row r="73">
      <c r="E73" s="75"/>
      <c r="F73" s="75"/>
      <c r="L73" s="74"/>
    </row>
    <row r="74">
      <c r="E74" s="75"/>
      <c r="F74" s="75"/>
      <c r="L74" s="74"/>
    </row>
    <row r="75">
      <c r="E75" s="75"/>
      <c r="F75" s="75"/>
      <c r="L75" s="74"/>
    </row>
    <row r="76">
      <c r="E76" s="75"/>
      <c r="F76" s="75"/>
      <c r="L76" s="74"/>
    </row>
    <row r="77">
      <c r="E77" s="75"/>
      <c r="F77" s="75"/>
      <c r="L77" s="74"/>
    </row>
    <row r="78">
      <c r="E78" s="75"/>
      <c r="F78" s="75"/>
      <c r="L78" s="74"/>
    </row>
    <row r="79">
      <c r="E79" s="75"/>
      <c r="F79" s="75"/>
      <c r="L79" s="74"/>
    </row>
    <row r="80">
      <c r="E80" s="75"/>
      <c r="F80" s="75"/>
      <c r="L80" s="74"/>
    </row>
    <row r="81">
      <c r="E81" s="75"/>
      <c r="F81" s="75"/>
      <c r="L81" s="74"/>
    </row>
    <row r="82">
      <c r="E82" s="75"/>
      <c r="F82" s="75"/>
      <c r="L82" s="74"/>
    </row>
    <row r="83">
      <c r="E83" s="75"/>
      <c r="F83" s="75"/>
      <c r="L83" s="74"/>
    </row>
    <row r="84">
      <c r="E84" s="75"/>
      <c r="F84" s="75"/>
      <c r="L84" s="74"/>
    </row>
    <row r="85">
      <c r="E85" s="75"/>
      <c r="F85" s="75"/>
      <c r="L85" s="74"/>
    </row>
    <row r="86">
      <c r="E86" s="75"/>
      <c r="F86" s="75"/>
      <c r="L86" s="74"/>
    </row>
    <row r="87">
      <c r="E87" s="75"/>
      <c r="F87" s="75"/>
      <c r="L87" s="74"/>
    </row>
    <row r="88">
      <c r="E88" s="75"/>
      <c r="F88" s="75"/>
      <c r="L88" s="74"/>
    </row>
    <row r="89">
      <c r="E89" s="75"/>
      <c r="F89" s="75"/>
      <c r="L89" s="74"/>
    </row>
    <row r="90">
      <c r="E90" s="75"/>
      <c r="F90" s="75"/>
      <c r="L90" s="74"/>
    </row>
    <row r="91">
      <c r="E91" s="75"/>
      <c r="F91" s="75"/>
      <c r="L91" s="74"/>
    </row>
    <row r="92">
      <c r="E92" s="75"/>
      <c r="F92" s="75"/>
      <c r="L92" s="74"/>
    </row>
    <row r="93">
      <c r="E93" s="75"/>
      <c r="F93" s="75"/>
      <c r="L93" s="74"/>
    </row>
    <row r="94">
      <c r="E94" s="75"/>
      <c r="F94" s="75"/>
      <c r="L94" s="74"/>
    </row>
    <row r="95">
      <c r="E95" s="75"/>
      <c r="F95" s="75"/>
      <c r="L95" s="74"/>
    </row>
    <row r="96">
      <c r="E96" s="75"/>
      <c r="F96" s="75"/>
      <c r="L96" s="74"/>
    </row>
    <row r="97">
      <c r="E97" s="75"/>
      <c r="F97" s="75"/>
      <c r="L97" s="74"/>
    </row>
    <row r="98">
      <c r="E98" s="75"/>
      <c r="F98" s="75"/>
      <c r="L98" s="74"/>
    </row>
    <row r="99">
      <c r="E99" s="75"/>
      <c r="F99" s="75"/>
      <c r="L99" s="74"/>
    </row>
    <row r="100">
      <c r="E100" s="75"/>
      <c r="F100" s="75"/>
      <c r="L100" s="74"/>
    </row>
    <row r="101">
      <c r="E101" s="75"/>
      <c r="F101" s="75"/>
      <c r="L101" s="74"/>
    </row>
    <row r="102">
      <c r="E102" s="75"/>
      <c r="F102" s="75"/>
      <c r="L102" s="74"/>
    </row>
    <row r="103">
      <c r="E103" s="75"/>
      <c r="F103" s="75"/>
      <c r="L103" s="74"/>
    </row>
    <row r="104">
      <c r="E104" s="75"/>
      <c r="F104" s="75"/>
      <c r="L104" s="74"/>
    </row>
    <row r="105">
      <c r="E105" s="75"/>
      <c r="F105" s="75"/>
      <c r="L105" s="74"/>
    </row>
    <row r="106">
      <c r="E106" s="75"/>
      <c r="F106" s="75"/>
      <c r="L106" s="74"/>
    </row>
    <row r="107">
      <c r="E107" s="75"/>
      <c r="F107" s="75"/>
      <c r="L107" s="74"/>
    </row>
    <row r="108">
      <c r="E108" s="75"/>
      <c r="F108" s="75"/>
      <c r="L108" s="74"/>
    </row>
    <row r="109">
      <c r="E109" s="75"/>
      <c r="F109" s="75"/>
      <c r="L109" s="74"/>
    </row>
    <row r="110">
      <c r="E110" s="75"/>
      <c r="F110" s="75"/>
      <c r="L110" s="74"/>
    </row>
    <row r="111">
      <c r="E111" s="75"/>
      <c r="F111" s="75"/>
      <c r="L111" s="74"/>
    </row>
    <row r="112">
      <c r="E112" s="75"/>
      <c r="F112" s="75"/>
      <c r="L112" s="74"/>
    </row>
    <row r="113">
      <c r="E113" s="75"/>
      <c r="F113" s="75"/>
      <c r="L113" s="74"/>
    </row>
    <row r="114">
      <c r="E114" s="75"/>
      <c r="F114" s="75"/>
      <c r="L114" s="74"/>
    </row>
    <row r="115">
      <c r="E115" s="75"/>
      <c r="F115" s="75"/>
      <c r="L115" s="74"/>
    </row>
    <row r="116">
      <c r="E116" s="75"/>
      <c r="F116" s="75"/>
      <c r="L116" s="74"/>
    </row>
    <row r="117">
      <c r="E117" s="75"/>
      <c r="F117" s="75"/>
      <c r="L117" s="74"/>
    </row>
    <row r="118">
      <c r="E118" s="75"/>
      <c r="F118" s="75"/>
      <c r="L118" s="74"/>
    </row>
    <row r="119">
      <c r="E119" s="75"/>
      <c r="F119" s="75"/>
      <c r="L119" s="74"/>
    </row>
    <row r="120">
      <c r="E120" s="75"/>
      <c r="F120" s="75"/>
      <c r="L120" s="74"/>
    </row>
    <row r="121">
      <c r="E121" s="75"/>
      <c r="F121" s="75"/>
      <c r="L121" s="74"/>
    </row>
    <row r="122">
      <c r="E122" s="75"/>
      <c r="F122" s="75"/>
      <c r="L122" s="74"/>
    </row>
    <row r="123">
      <c r="E123" s="75"/>
      <c r="F123" s="75"/>
      <c r="L123" s="74"/>
    </row>
    <row r="124">
      <c r="E124" s="75"/>
      <c r="F124" s="75"/>
      <c r="L124" s="74"/>
    </row>
    <row r="125">
      <c r="E125" s="75"/>
      <c r="F125" s="75"/>
      <c r="L125" s="74"/>
    </row>
    <row r="126">
      <c r="E126" s="75"/>
      <c r="F126" s="75"/>
      <c r="L126" s="74"/>
    </row>
    <row r="127">
      <c r="E127" s="75"/>
      <c r="F127" s="75"/>
      <c r="L127" s="74"/>
    </row>
    <row r="128">
      <c r="E128" s="75"/>
      <c r="F128" s="75"/>
      <c r="L128" s="74"/>
    </row>
    <row r="129">
      <c r="E129" s="75"/>
      <c r="F129" s="75"/>
      <c r="L129" s="74"/>
    </row>
    <row r="130">
      <c r="E130" s="75"/>
      <c r="F130" s="75"/>
      <c r="L130" s="74"/>
    </row>
    <row r="131">
      <c r="E131" s="75"/>
      <c r="F131" s="75"/>
      <c r="L131" s="74"/>
    </row>
    <row r="132">
      <c r="E132" s="75"/>
      <c r="F132" s="75"/>
      <c r="L132" s="74"/>
    </row>
    <row r="133">
      <c r="E133" s="75"/>
      <c r="F133" s="75"/>
      <c r="L133" s="74"/>
    </row>
    <row r="134">
      <c r="E134" s="75"/>
      <c r="F134" s="75"/>
      <c r="L134" s="74"/>
    </row>
    <row r="135">
      <c r="E135" s="75"/>
      <c r="F135" s="75"/>
      <c r="L135" s="74"/>
    </row>
    <row r="136">
      <c r="E136" s="75"/>
      <c r="F136" s="75"/>
      <c r="L136" s="74"/>
    </row>
    <row r="137">
      <c r="E137" s="75"/>
      <c r="F137" s="75"/>
      <c r="L137" s="74"/>
    </row>
    <row r="138">
      <c r="E138" s="75"/>
      <c r="F138" s="75"/>
      <c r="L138" s="74"/>
    </row>
    <row r="139">
      <c r="E139" s="75"/>
      <c r="F139" s="75"/>
      <c r="L139" s="74"/>
    </row>
    <row r="140">
      <c r="E140" s="75"/>
      <c r="F140" s="75"/>
      <c r="L140" s="74"/>
    </row>
    <row r="141">
      <c r="E141" s="75"/>
      <c r="F141" s="75"/>
      <c r="L141" s="74"/>
    </row>
    <row r="142">
      <c r="E142" s="75"/>
      <c r="F142" s="75"/>
      <c r="L142" s="74"/>
    </row>
    <row r="143">
      <c r="E143" s="75"/>
      <c r="F143" s="75"/>
      <c r="L143" s="74"/>
    </row>
    <row r="144">
      <c r="E144" s="75"/>
      <c r="F144" s="75"/>
      <c r="L144" s="74"/>
    </row>
    <row r="145">
      <c r="E145" s="75"/>
      <c r="F145" s="75"/>
      <c r="L145" s="74"/>
    </row>
    <row r="146">
      <c r="E146" s="75"/>
      <c r="F146" s="75"/>
      <c r="L146" s="74"/>
    </row>
    <row r="147">
      <c r="E147" s="75"/>
      <c r="F147" s="75"/>
      <c r="L147" s="74"/>
    </row>
    <row r="148">
      <c r="E148" s="75"/>
      <c r="F148" s="75"/>
      <c r="L148" s="74"/>
    </row>
    <row r="149">
      <c r="E149" s="75"/>
      <c r="F149" s="75"/>
      <c r="L149" s="74"/>
    </row>
    <row r="150">
      <c r="E150" s="75"/>
      <c r="F150" s="75"/>
      <c r="L150" s="74"/>
    </row>
    <row r="151">
      <c r="E151" s="75"/>
      <c r="F151" s="75"/>
      <c r="L151" s="74"/>
    </row>
    <row r="152">
      <c r="E152" s="75"/>
      <c r="F152" s="75"/>
      <c r="L152" s="74"/>
    </row>
    <row r="153">
      <c r="E153" s="75"/>
      <c r="F153" s="75"/>
      <c r="L153" s="74"/>
    </row>
    <row r="154">
      <c r="E154" s="75"/>
      <c r="F154" s="75"/>
      <c r="L154" s="74"/>
    </row>
    <row r="155">
      <c r="E155" s="75"/>
      <c r="F155" s="75"/>
      <c r="L155" s="74"/>
    </row>
    <row r="156">
      <c r="E156" s="75"/>
      <c r="F156" s="75"/>
      <c r="L156" s="74"/>
    </row>
    <row r="157">
      <c r="E157" s="75"/>
      <c r="F157" s="75"/>
      <c r="L157" s="74"/>
    </row>
    <row r="158">
      <c r="E158" s="75"/>
      <c r="F158" s="75"/>
      <c r="L158" s="74"/>
    </row>
    <row r="159">
      <c r="E159" s="75"/>
      <c r="F159" s="75"/>
      <c r="L159" s="74"/>
    </row>
    <row r="160">
      <c r="E160" s="75"/>
      <c r="F160" s="75"/>
      <c r="L160" s="74"/>
    </row>
    <row r="161">
      <c r="E161" s="75"/>
      <c r="F161" s="75"/>
      <c r="L161" s="74"/>
    </row>
    <row r="162">
      <c r="E162" s="75"/>
      <c r="F162" s="75"/>
      <c r="L162" s="74"/>
    </row>
    <row r="163">
      <c r="E163" s="75"/>
      <c r="F163" s="75"/>
      <c r="L163" s="74"/>
    </row>
    <row r="164">
      <c r="E164" s="75"/>
      <c r="F164" s="75"/>
      <c r="L164" s="74"/>
    </row>
    <row r="165">
      <c r="E165" s="75"/>
      <c r="F165" s="75"/>
      <c r="L165" s="74"/>
    </row>
    <row r="166">
      <c r="E166" s="75"/>
      <c r="F166" s="75"/>
      <c r="L166" s="74"/>
    </row>
    <row r="167">
      <c r="E167" s="75"/>
      <c r="F167" s="75"/>
      <c r="L167" s="74"/>
    </row>
    <row r="168">
      <c r="E168" s="75"/>
      <c r="F168" s="75"/>
      <c r="L168" s="74"/>
    </row>
    <row r="169">
      <c r="E169" s="75"/>
      <c r="F169" s="75"/>
      <c r="L169" s="74"/>
    </row>
    <row r="170">
      <c r="E170" s="75"/>
      <c r="F170" s="75"/>
      <c r="L170" s="74"/>
    </row>
    <row r="171">
      <c r="E171" s="75"/>
      <c r="F171" s="75"/>
      <c r="L171" s="74"/>
    </row>
    <row r="172">
      <c r="E172" s="75"/>
      <c r="F172" s="75"/>
      <c r="L172" s="74"/>
    </row>
    <row r="173">
      <c r="E173" s="75"/>
      <c r="F173" s="75"/>
      <c r="L173" s="74"/>
    </row>
    <row r="174">
      <c r="E174" s="75"/>
      <c r="F174" s="75"/>
      <c r="L174" s="74"/>
    </row>
    <row r="175">
      <c r="E175" s="75"/>
      <c r="F175" s="75"/>
      <c r="L175" s="74"/>
    </row>
    <row r="176">
      <c r="E176" s="75"/>
      <c r="F176" s="75"/>
      <c r="L176" s="74"/>
    </row>
    <row r="177">
      <c r="E177" s="75"/>
      <c r="F177" s="75"/>
      <c r="L177" s="74"/>
    </row>
    <row r="178">
      <c r="E178" s="75"/>
      <c r="F178" s="75"/>
      <c r="L178" s="74"/>
    </row>
    <row r="179">
      <c r="E179" s="75"/>
      <c r="F179" s="75"/>
      <c r="L179" s="74"/>
    </row>
    <row r="180">
      <c r="E180" s="75"/>
      <c r="F180" s="75"/>
      <c r="L180" s="74"/>
    </row>
    <row r="181">
      <c r="E181" s="75"/>
      <c r="F181" s="75"/>
      <c r="L181" s="74"/>
    </row>
    <row r="182">
      <c r="E182" s="75"/>
      <c r="F182" s="75"/>
      <c r="L182" s="74"/>
    </row>
    <row r="183">
      <c r="E183" s="75"/>
      <c r="F183" s="75"/>
      <c r="L183" s="74"/>
    </row>
    <row r="184">
      <c r="E184" s="75"/>
      <c r="F184" s="75"/>
      <c r="L184" s="74"/>
    </row>
    <row r="185">
      <c r="E185" s="75"/>
      <c r="F185" s="75"/>
      <c r="L185" s="74"/>
    </row>
    <row r="186">
      <c r="E186" s="75"/>
      <c r="F186" s="75"/>
      <c r="L186" s="74"/>
    </row>
    <row r="187">
      <c r="E187" s="75"/>
      <c r="F187" s="75"/>
      <c r="L187" s="74"/>
    </row>
    <row r="188">
      <c r="E188" s="75"/>
      <c r="F188" s="75"/>
      <c r="L188" s="74"/>
    </row>
    <row r="189">
      <c r="E189" s="75"/>
      <c r="F189" s="75"/>
      <c r="L189" s="74"/>
    </row>
    <row r="190">
      <c r="E190" s="75"/>
      <c r="F190" s="75"/>
      <c r="L190" s="74"/>
    </row>
    <row r="191">
      <c r="E191" s="75"/>
      <c r="F191" s="75"/>
      <c r="L191" s="74"/>
    </row>
    <row r="192">
      <c r="E192" s="75"/>
      <c r="F192" s="75"/>
      <c r="L192" s="74"/>
    </row>
    <row r="193">
      <c r="E193" s="75"/>
      <c r="F193" s="75"/>
      <c r="L193" s="74"/>
    </row>
    <row r="194">
      <c r="E194" s="75"/>
      <c r="F194" s="75"/>
      <c r="L194" s="74"/>
    </row>
    <row r="195">
      <c r="E195" s="75"/>
      <c r="F195" s="75"/>
      <c r="L195" s="74"/>
    </row>
    <row r="196">
      <c r="E196" s="75"/>
      <c r="F196" s="75"/>
      <c r="L196" s="74"/>
    </row>
    <row r="197">
      <c r="E197" s="75"/>
      <c r="F197" s="75"/>
      <c r="L197" s="74"/>
    </row>
    <row r="198">
      <c r="E198" s="75"/>
      <c r="F198" s="75"/>
      <c r="L198" s="74"/>
    </row>
    <row r="199">
      <c r="E199" s="75"/>
      <c r="F199" s="75"/>
      <c r="L199" s="74"/>
    </row>
    <row r="200">
      <c r="E200" s="75"/>
      <c r="F200" s="75"/>
      <c r="L200" s="74"/>
    </row>
    <row r="201">
      <c r="E201" s="75"/>
      <c r="F201" s="75"/>
      <c r="L201" s="74"/>
    </row>
    <row r="202">
      <c r="E202" s="75"/>
      <c r="F202" s="75"/>
      <c r="L202" s="74"/>
    </row>
    <row r="203">
      <c r="E203" s="75"/>
      <c r="F203" s="75"/>
      <c r="L203" s="74"/>
    </row>
    <row r="204">
      <c r="E204" s="75"/>
      <c r="F204" s="75"/>
      <c r="L204" s="74"/>
    </row>
    <row r="205">
      <c r="E205" s="75"/>
      <c r="F205" s="75"/>
      <c r="L205" s="74"/>
    </row>
    <row r="206">
      <c r="E206" s="75"/>
      <c r="F206" s="75"/>
      <c r="L206" s="74"/>
    </row>
    <row r="207">
      <c r="E207" s="75"/>
      <c r="F207" s="75"/>
      <c r="L207" s="74"/>
    </row>
    <row r="208">
      <c r="E208" s="75"/>
      <c r="F208" s="75"/>
      <c r="L208" s="74"/>
    </row>
    <row r="209">
      <c r="E209" s="75"/>
      <c r="F209" s="75"/>
      <c r="L209" s="74"/>
    </row>
    <row r="210">
      <c r="E210" s="75"/>
      <c r="F210" s="75"/>
      <c r="L210" s="74"/>
    </row>
    <row r="211">
      <c r="E211" s="75"/>
      <c r="F211" s="75"/>
      <c r="L211" s="74"/>
    </row>
    <row r="212">
      <c r="E212" s="75"/>
      <c r="F212" s="75"/>
      <c r="L212" s="74"/>
    </row>
    <row r="213">
      <c r="E213" s="75"/>
      <c r="F213" s="75"/>
      <c r="L213" s="74"/>
    </row>
    <row r="214">
      <c r="E214" s="75"/>
      <c r="F214" s="75"/>
      <c r="L214" s="74"/>
    </row>
    <row r="215">
      <c r="E215" s="75"/>
      <c r="F215" s="75"/>
      <c r="L215" s="74"/>
    </row>
    <row r="216">
      <c r="E216" s="75"/>
      <c r="F216" s="75"/>
      <c r="L216" s="74"/>
    </row>
    <row r="217">
      <c r="E217" s="75"/>
      <c r="F217" s="75"/>
      <c r="L217" s="74"/>
    </row>
    <row r="218">
      <c r="E218" s="75"/>
      <c r="F218" s="75"/>
      <c r="L218" s="74"/>
    </row>
    <row r="219">
      <c r="E219" s="75"/>
      <c r="F219" s="75"/>
      <c r="L219" s="74"/>
    </row>
    <row r="220">
      <c r="E220" s="75"/>
      <c r="F220" s="75"/>
      <c r="L220" s="74"/>
    </row>
    <row r="221">
      <c r="E221" s="75"/>
      <c r="F221" s="75"/>
      <c r="L221" s="74"/>
    </row>
    <row r="222">
      <c r="E222" s="75"/>
      <c r="F222" s="75"/>
      <c r="L222" s="74"/>
    </row>
    <row r="223">
      <c r="E223" s="75"/>
      <c r="F223" s="75"/>
      <c r="L223" s="74"/>
    </row>
    <row r="224">
      <c r="E224" s="75"/>
      <c r="F224" s="75"/>
      <c r="L224" s="74"/>
    </row>
    <row r="225">
      <c r="E225" s="75"/>
      <c r="F225" s="75"/>
      <c r="L225" s="74"/>
    </row>
    <row r="226">
      <c r="E226" s="75"/>
      <c r="F226" s="75"/>
      <c r="L226" s="74"/>
    </row>
    <row r="227">
      <c r="E227" s="75"/>
      <c r="F227" s="75"/>
      <c r="L227" s="74"/>
    </row>
    <row r="228">
      <c r="E228" s="75"/>
      <c r="F228" s="75"/>
      <c r="L228" s="74"/>
    </row>
    <row r="229">
      <c r="E229" s="75"/>
      <c r="F229" s="75"/>
      <c r="L229" s="74"/>
    </row>
    <row r="230">
      <c r="E230" s="75"/>
      <c r="F230" s="75"/>
      <c r="L230" s="74"/>
    </row>
    <row r="231">
      <c r="E231" s="75"/>
      <c r="F231" s="75"/>
      <c r="L231" s="74"/>
    </row>
    <row r="232">
      <c r="E232" s="75"/>
      <c r="F232" s="75"/>
      <c r="L232" s="74"/>
    </row>
    <row r="233">
      <c r="E233" s="75"/>
      <c r="F233" s="75"/>
      <c r="L233" s="74"/>
    </row>
    <row r="234">
      <c r="E234" s="75"/>
      <c r="F234" s="75"/>
      <c r="L234" s="74"/>
    </row>
    <row r="235">
      <c r="E235" s="75"/>
      <c r="F235" s="75"/>
      <c r="L235" s="74"/>
    </row>
    <row r="236">
      <c r="E236" s="75"/>
      <c r="F236" s="75"/>
      <c r="L236" s="74"/>
    </row>
    <row r="237">
      <c r="E237" s="75"/>
      <c r="F237" s="75"/>
      <c r="L237" s="74"/>
    </row>
    <row r="238">
      <c r="E238" s="75"/>
      <c r="F238" s="75"/>
      <c r="L238" s="74"/>
    </row>
    <row r="239">
      <c r="E239" s="75"/>
      <c r="F239" s="75"/>
      <c r="L239" s="74"/>
    </row>
    <row r="240">
      <c r="E240" s="75"/>
      <c r="F240" s="75"/>
      <c r="L240" s="74"/>
    </row>
    <row r="241">
      <c r="E241" s="75"/>
      <c r="F241" s="75"/>
      <c r="L241" s="74"/>
    </row>
    <row r="242">
      <c r="E242" s="75"/>
      <c r="F242" s="75"/>
      <c r="L242" s="74"/>
    </row>
    <row r="243">
      <c r="E243" s="75"/>
      <c r="F243" s="75"/>
      <c r="L243" s="74"/>
    </row>
    <row r="244">
      <c r="E244" s="75"/>
      <c r="F244" s="75"/>
      <c r="L244" s="74"/>
    </row>
    <row r="245">
      <c r="E245" s="75"/>
      <c r="F245" s="75"/>
      <c r="L245" s="74"/>
    </row>
    <row r="246">
      <c r="E246" s="75"/>
      <c r="F246" s="75"/>
      <c r="L246" s="74"/>
    </row>
    <row r="247">
      <c r="E247" s="75"/>
      <c r="F247" s="75"/>
      <c r="L247" s="74"/>
    </row>
    <row r="248">
      <c r="E248" s="75"/>
      <c r="F248" s="75"/>
      <c r="L248" s="74"/>
    </row>
    <row r="249">
      <c r="E249" s="75"/>
      <c r="F249" s="75"/>
      <c r="L249" s="74"/>
    </row>
    <row r="250">
      <c r="E250" s="75"/>
      <c r="F250" s="75"/>
      <c r="L250" s="74"/>
    </row>
    <row r="251">
      <c r="E251" s="75"/>
      <c r="F251" s="75"/>
      <c r="L251" s="74"/>
    </row>
    <row r="252">
      <c r="E252" s="75"/>
      <c r="F252" s="75"/>
      <c r="L252" s="74"/>
    </row>
    <row r="253">
      <c r="E253" s="75"/>
      <c r="F253" s="75"/>
      <c r="L253" s="74"/>
    </row>
    <row r="254">
      <c r="E254" s="75"/>
      <c r="F254" s="75"/>
      <c r="L254" s="74"/>
    </row>
    <row r="255">
      <c r="E255" s="75"/>
      <c r="F255" s="75"/>
      <c r="L255" s="74"/>
    </row>
    <row r="256">
      <c r="E256" s="75"/>
      <c r="F256" s="75"/>
      <c r="L256" s="74"/>
    </row>
    <row r="257">
      <c r="E257" s="75"/>
      <c r="F257" s="75"/>
      <c r="L257" s="74"/>
    </row>
    <row r="258">
      <c r="E258" s="75"/>
      <c r="F258" s="75"/>
      <c r="L258" s="74"/>
    </row>
    <row r="259">
      <c r="E259" s="75"/>
      <c r="F259" s="75"/>
      <c r="L259" s="74"/>
    </row>
    <row r="260">
      <c r="E260" s="75"/>
      <c r="F260" s="75"/>
      <c r="L260" s="74"/>
    </row>
    <row r="261">
      <c r="E261" s="75"/>
      <c r="F261" s="75"/>
      <c r="L261" s="74"/>
    </row>
    <row r="262">
      <c r="E262" s="75"/>
      <c r="F262" s="75"/>
      <c r="L262" s="74"/>
    </row>
    <row r="263">
      <c r="E263" s="75"/>
      <c r="F263" s="75"/>
      <c r="L263" s="74"/>
    </row>
    <row r="264">
      <c r="E264" s="75"/>
      <c r="F264" s="75"/>
      <c r="L264" s="74"/>
    </row>
    <row r="265">
      <c r="E265" s="75"/>
      <c r="F265" s="75"/>
      <c r="L265" s="74"/>
    </row>
    <row r="266">
      <c r="E266" s="75"/>
      <c r="F266" s="75"/>
      <c r="L266" s="74"/>
    </row>
    <row r="267">
      <c r="E267" s="75"/>
      <c r="F267" s="75"/>
      <c r="L267" s="74"/>
    </row>
    <row r="268">
      <c r="E268" s="75"/>
      <c r="F268" s="75"/>
      <c r="L268" s="74"/>
    </row>
    <row r="269">
      <c r="E269" s="75"/>
      <c r="F269" s="75"/>
      <c r="L269" s="74"/>
    </row>
    <row r="270">
      <c r="E270" s="75"/>
      <c r="F270" s="75"/>
      <c r="L270" s="74"/>
    </row>
    <row r="271">
      <c r="E271" s="75"/>
      <c r="F271" s="75"/>
      <c r="L271" s="74"/>
    </row>
    <row r="272">
      <c r="E272" s="75"/>
      <c r="F272" s="75"/>
      <c r="L272" s="74"/>
    </row>
    <row r="273">
      <c r="E273" s="75"/>
      <c r="F273" s="75"/>
      <c r="L273" s="74"/>
    </row>
    <row r="274">
      <c r="E274" s="75"/>
      <c r="F274" s="75"/>
      <c r="L274" s="74"/>
    </row>
    <row r="275">
      <c r="E275" s="75"/>
      <c r="F275" s="75"/>
      <c r="L275" s="74"/>
    </row>
    <row r="276">
      <c r="E276" s="75"/>
      <c r="F276" s="75"/>
      <c r="L276" s="74"/>
    </row>
    <row r="277">
      <c r="E277" s="75"/>
      <c r="F277" s="75"/>
      <c r="L277" s="74"/>
    </row>
    <row r="278">
      <c r="E278" s="75"/>
      <c r="F278" s="75"/>
      <c r="L278" s="74"/>
    </row>
    <row r="279">
      <c r="E279" s="75"/>
      <c r="F279" s="75"/>
      <c r="L279" s="74"/>
    </row>
    <row r="280">
      <c r="E280" s="75"/>
      <c r="F280" s="75"/>
      <c r="L280" s="74"/>
    </row>
    <row r="281">
      <c r="E281" s="75"/>
      <c r="F281" s="75"/>
      <c r="L281" s="74"/>
    </row>
    <row r="282">
      <c r="E282" s="75"/>
      <c r="F282" s="75"/>
      <c r="L282" s="74"/>
    </row>
    <row r="283">
      <c r="E283" s="75"/>
      <c r="F283" s="75"/>
      <c r="L283" s="74"/>
    </row>
    <row r="284">
      <c r="E284" s="75"/>
      <c r="F284" s="75"/>
      <c r="L284" s="74"/>
    </row>
    <row r="285">
      <c r="E285" s="75"/>
      <c r="F285" s="75"/>
      <c r="L285" s="74"/>
    </row>
    <row r="286">
      <c r="E286" s="75"/>
      <c r="F286" s="75"/>
      <c r="L286" s="74"/>
    </row>
    <row r="287">
      <c r="E287" s="75"/>
      <c r="F287" s="75"/>
      <c r="L287" s="74"/>
    </row>
    <row r="288">
      <c r="E288" s="75"/>
      <c r="F288" s="75"/>
      <c r="L288" s="74"/>
    </row>
    <row r="289">
      <c r="E289" s="75"/>
      <c r="F289" s="75"/>
      <c r="L289" s="74"/>
    </row>
    <row r="290">
      <c r="E290" s="75"/>
      <c r="F290" s="75"/>
      <c r="L290" s="74"/>
    </row>
    <row r="291">
      <c r="E291" s="75"/>
      <c r="F291" s="75"/>
      <c r="L291" s="74"/>
    </row>
    <row r="292">
      <c r="E292" s="75"/>
      <c r="F292" s="75"/>
      <c r="L292" s="74"/>
    </row>
    <row r="293">
      <c r="E293" s="75"/>
      <c r="F293" s="75"/>
      <c r="L293" s="74"/>
    </row>
    <row r="294">
      <c r="E294" s="75"/>
      <c r="F294" s="75"/>
      <c r="L294" s="74"/>
    </row>
    <row r="295">
      <c r="E295" s="75"/>
      <c r="F295" s="75"/>
      <c r="L295" s="74"/>
    </row>
    <row r="296">
      <c r="E296" s="75"/>
      <c r="F296" s="75"/>
      <c r="L296" s="74"/>
    </row>
    <row r="297">
      <c r="E297" s="75"/>
      <c r="F297" s="75"/>
      <c r="L297" s="74"/>
    </row>
    <row r="298">
      <c r="E298" s="75"/>
      <c r="F298" s="75"/>
      <c r="L298" s="74"/>
    </row>
    <row r="299">
      <c r="E299" s="75"/>
      <c r="F299" s="75"/>
      <c r="L299" s="74"/>
    </row>
    <row r="300">
      <c r="E300" s="75"/>
      <c r="F300" s="75"/>
      <c r="L300" s="74"/>
    </row>
    <row r="301">
      <c r="E301" s="75"/>
      <c r="F301" s="75"/>
      <c r="L301" s="74"/>
    </row>
    <row r="302">
      <c r="E302" s="75"/>
      <c r="F302" s="75"/>
      <c r="L302" s="74"/>
    </row>
    <row r="303">
      <c r="E303" s="75"/>
      <c r="F303" s="75"/>
      <c r="L303" s="74"/>
    </row>
    <row r="304">
      <c r="E304" s="75"/>
      <c r="F304" s="75"/>
      <c r="L304" s="74"/>
    </row>
    <row r="305">
      <c r="E305" s="75"/>
      <c r="F305" s="75"/>
      <c r="L305" s="74"/>
    </row>
    <row r="306">
      <c r="E306" s="75"/>
      <c r="F306" s="75"/>
      <c r="L306" s="74"/>
    </row>
    <row r="307">
      <c r="E307" s="75"/>
      <c r="F307" s="75"/>
      <c r="L307" s="74"/>
    </row>
    <row r="308">
      <c r="E308" s="75"/>
      <c r="F308" s="75"/>
      <c r="L308" s="74"/>
    </row>
    <row r="309">
      <c r="E309" s="75"/>
      <c r="F309" s="75"/>
      <c r="L309" s="74"/>
    </row>
    <row r="310">
      <c r="E310" s="75"/>
      <c r="F310" s="75"/>
      <c r="L310" s="74"/>
    </row>
    <row r="311">
      <c r="E311" s="75"/>
      <c r="F311" s="75"/>
      <c r="L311" s="74"/>
    </row>
    <row r="312">
      <c r="E312" s="75"/>
      <c r="F312" s="75"/>
      <c r="L312" s="74"/>
    </row>
    <row r="313">
      <c r="E313" s="75"/>
      <c r="F313" s="75"/>
      <c r="L313" s="74"/>
    </row>
    <row r="314">
      <c r="E314" s="75"/>
      <c r="F314" s="75"/>
      <c r="L314" s="74"/>
    </row>
    <row r="315">
      <c r="E315" s="75"/>
      <c r="F315" s="75"/>
      <c r="L315" s="74"/>
    </row>
    <row r="316">
      <c r="E316" s="75"/>
      <c r="F316" s="75"/>
      <c r="L316" s="74"/>
    </row>
    <row r="317">
      <c r="E317" s="75"/>
      <c r="F317" s="75"/>
      <c r="L317" s="74"/>
    </row>
    <row r="318">
      <c r="E318" s="75"/>
      <c r="F318" s="75"/>
      <c r="L318" s="74"/>
    </row>
    <row r="319">
      <c r="E319" s="75"/>
      <c r="F319" s="75"/>
      <c r="L319" s="74"/>
    </row>
    <row r="320">
      <c r="E320" s="75"/>
      <c r="F320" s="75"/>
      <c r="L320" s="74"/>
    </row>
    <row r="321">
      <c r="E321" s="75"/>
      <c r="F321" s="75"/>
      <c r="L321" s="74"/>
    </row>
    <row r="322">
      <c r="E322" s="75"/>
      <c r="F322" s="75"/>
      <c r="L322" s="74"/>
    </row>
    <row r="323">
      <c r="E323" s="75"/>
      <c r="F323" s="75"/>
      <c r="L323" s="74"/>
    </row>
    <row r="324">
      <c r="E324" s="75"/>
      <c r="F324" s="75"/>
      <c r="L324" s="74"/>
    </row>
    <row r="325">
      <c r="E325" s="75"/>
      <c r="F325" s="75"/>
      <c r="L325" s="74"/>
    </row>
    <row r="326">
      <c r="E326" s="75"/>
      <c r="F326" s="75"/>
      <c r="L326" s="74"/>
    </row>
    <row r="327">
      <c r="E327" s="75"/>
      <c r="F327" s="75"/>
      <c r="L327" s="74"/>
    </row>
    <row r="328">
      <c r="E328" s="75"/>
      <c r="F328" s="75"/>
      <c r="L328" s="74"/>
    </row>
    <row r="329">
      <c r="E329" s="75"/>
      <c r="F329" s="75"/>
      <c r="L329" s="74"/>
    </row>
    <row r="330">
      <c r="E330" s="75"/>
      <c r="F330" s="75"/>
      <c r="L330" s="74"/>
    </row>
    <row r="331">
      <c r="E331" s="75"/>
      <c r="F331" s="75"/>
      <c r="L331" s="74"/>
    </row>
    <row r="332">
      <c r="E332" s="75"/>
      <c r="F332" s="75"/>
      <c r="L332" s="74"/>
    </row>
    <row r="333">
      <c r="E333" s="75"/>
      <c r="F333" s="75"/>
      <c r="L333" s="74"/>
    </row>
    <row r="334">
      <c r="E334" s="75"/>
      <c r="F334" s="75"/>
      <c r="L334" s="74"/>
    </row>
    <row r="335">
      <c r="E335" s="75"/>
      <c r="F335" s="75"/>
      <c r="L335" s="74"/>
    </row>
    <row r="336">
      <c r="E336" s="75"/>
      <c r="F336" s="75"/>
      <c r="L336" s="74"/>
    </row>
    <row r="337">
      <c r="E337" s="75"/>
      <c r="F337" s="75"/>
      <c r="L337" s="74"/>
    </row>
    <row r="338">
      <c r="E338" s="75"/>
      <c r="F338" s="75"/>
      <c r="L338" s="74"/>
    </row>
    <row r="339">
      <c r="E339" s="75"/>
      <c r="F339" s="75"/>
      <c r="L339" s="74"/>
    </row>
    <row r="340">
      <c r="E340" s="75"/>
      <c r="F340" s="75"/>
      <c r="L340" s="74"/>
    </row>
    <row r="341">
      <c r="E341" s="75"/>
      <c r="F341" s="75"/>
      <c r="L341" s="74"/>
    </row>
    <row r="342">
      <c r="E342" s="75"/>
      <c r="F342" s="75"/>
      <c r="L342" s="74"/>
    </row>
    <row r="343">
      <c r="E343" s="75"/>
      <c r="F343" s="75"/>
      <c r="L343" s="74"/>
    </row>
    <row r="344">
      <c r="E344" s="75"/>
      <c r="F344" s="75"/>
      <c r="L344" s="74"/>
    </row>
    <row r="345">
      <c r="E345" s="75"/>
      <c r="F345" s="75"/>
      <c r="L345" s="74"/>
    </row>
    <row r="346">
      <c r="E346" s="75"/>
      <c r="F346" s="75"/>
      <c r="L346" s="74"/>
    </row>
    <row r="347">
      <c r="E347" s="75"/>
      <c r="F347" s="75"/>
      <c r="L347" s="74"/>
    </row>
    <row r="348">
      <c r="E348" s="75"/>
      <c r="F348" s="75"/>
      <c r="L348" s="74"/>
    </row>
    <row r="349">
      <c r="E349" s="75"/>
      <c r="F349" s="75"/>
      <c r="L349" s="74"/>
    </row>
    <row r="350">
      <c r="E350" s="75"/>
      <c r="F350" s="75"/>
      <c r="L350" s="74"/>
    </row>
    <row r="351">
      <c r="E351" s="75"/>
      <c r="F351" s="75"/>
      <c r="L351" s="74"/>
    </row>
    <row r="352">
      <c r="E352" s="75"/>
      <c r="F352" s="75"/>
      <c r="L352" s="74"/>
    </row>
    <row r="353">
      <c r="E353" s="75"/>
      <c r="F353" s="75"/>
      <c r="L353" s="74"/>
    </row>
    <row r="354">
      <c r="E354" s="75"/>
      <c r="F354" s="75"/>
      <c r="L354" s="74"/>
    </row>
    <row r="355">
      <c r="E355" s="75"/>
      <c r="F355" s="75"/>
      <c r="L355" s="74"/>
    </row>
    <row r="356">
      <c r="E356" s="75"/>
      <c r="F356" s="75"/>
      <c r="L356" s="74"/>
    </row>
    <row r="357">
      <c r="E357" s="75"/>
      <c r="F357" s="75"/>
      <c r="L357" s="74"/>
    </row>
    <row r="358">
      <c r="E358" s="75"/>
      <c r="F358" s="75"/>
      <c r="L358" s="74"/>
    </row>
    <row r="359">
      <c r="E359" s="75"/>
      <c r="F359" s="75"/>
      <c r="L359" s="74"/>
    </row>
    <row r="360">
      <c r="E360" s="75"/>
      <c r="F360" s="75"/>
      <c r="L360" s="74"/>
    </row>
    <row r="361">
      <c r="E361" s="75"/>
      <c r="F361" s="75"/>
      <c r="L361" s="74"/>
    </row>
    <row r="362">
      <c r="E362" s="75"/>
      <c r="F362" s="75"/>
      <c r="L362" s="74"/>
    </row>
    <row r="363">
      <c r="E363" s="75"/>
      <c r="F363" s="75"/>
      <c r="L363" s="74"/>
    </row>
    <row r="364">
      <c r="E364" s="75"/>
      <c r="F364" s="75"/>
      <c r="L364" s="74"/>
    </row>
    <row r="365">
      <c r="E365" s="75"/>
      <c r="F365" s="75"/>
      <c r="L365" s="74"/>
    </row>
    <row r="366">
      <c r="E366" s="75"/>
      <c r="F366" s="75"/>
      <c r="L366" s="74"/>
    </row>
    <row r="367">
      <c r="E367" s="75"/>
      <c r="F367" s="75"/>
      <c r="L367" s="74"/>
    </row>
    <row r="368">
      <c r="E368" s="75"/>
      <c r="F368" s="75"/>
      <c r="L368" s="74"/>
    </row>
    <row r="369">
      <c r="E369" s="75"/>
      <c r="F369" s="75"/>
      <c r="L369" s="74"/>
    </row>
    <row r="370">
      <c r="E370" s="75"/>
      <c r="F370" s="75"/>
      <c r="L370" s="74"/>
    </row>
    <row r="371">
      <c r="E371" s="75"/>
      <c r="F371" s="75"/>
      <c r="L371" s="74"/>
    </row>
    <row r="372">
      <c r="E372" s="75"/>
      <c r="F372" s="75"/>
      <c r="L372" s="74"/>
    </row>
    <row r="373">
      <c r="E373" s="75"/>
      <c r="F373" s="75"/>
      <c r="L373" s="74"/>
    </row>
    <row r="374">
      <c r="E374" s="75"/>
      <c r="F374" s="75"/>
      <c r="L374" s="74"/>
    </row>
    <row r="375">
      <c r="E375" s="75"/>
      <c r="F375" s="75"/>
      <c r="L375" s="74"/>
    </row>
    <row r="376">
      <c r="E376" s="75"/>
      <c r="F376" s="75"/>
      <c r="L376" s="74"/>
    </row>
    <row r="377">
      <c r="E377" s="75"/>
      <c r="F377" s="75"/>
      <c r="L377" s="74"/>
    </row>
    <row r="378">
      <c r="E378" s="75"/>
      <c r="F378" s="75"/>
      <c r="L378" s="74"/>
    </row>
    <row r="379">
      <c r="E379" s="75"/>
      <c r="F379" s="75"/>
      <c r="L379" s="74"/>
    </row>
    <row r="380">
      <c r="E380" s="75"/>
      <c r="F380" s="75"/>
      <c r="L380" s="74"/>
    </row>
    <row r="381">
      <c r="E381" s="75"/>
      <c r="F381" s="75"/>
      <c r="L381" s="74"/>
    </row>
    <row r="382">
      <c r="E382" s="75"/>
      <c r="F382" s="75"/>
      <c r="L382" s="74"/>
    </row>
    <row r="383">
      <c r="E383" s="75"/>
      <c r="F383" s="75"/>
      <c r="L383" s="74"/>
    </row>
    <row r="384">
      <c r="E384" s="75"/>
      <c r="F384" s="75"/>
      <c r="L384" s="74"/>
    </row>
    <row r="385">
      <c r="E385" s="75"/>
      <c r="F385" s="75"/>
      <c r="L385" s="74"/>
    </row>
    <row r="386">
      <c r="E386" s="75"/>
      <c r="F386" s="75"/>
      <c r="L386" s="74"/>
    </row>
    <row r="387">
      <c r="E387" s="75"/>
      <c r="F387" s="75"/>
      <c r="L387" s="74"/>
    </row>
    <row r="388">
      <c r="E388" s="75"/>
      <c r="F388" s="75"/>
      <c r="L388" s="74"/>
    </row>
    <row r="389">
      <c r="E389" s="75"/>
      <c r="F389" s="75"/>
      <c r="L389" s="74"/>
    </row>
    <row r="390">
      <c r="E390" s="75"/>
      <c r="F390" s="75"/>
      <c r="L390" s="74"/>
    </row>
    <row r="391">
      <c r="E391" s="75"/>
      <c r="F391" s="75"/>
      <c r="L391" s="74"/>
    </row>
    <row r="392">
      <c r="E392" s="75"/>
      <c r="F392" s="75"/>
      <c r="L392" s="74"/>
    </row>
    <row r="393">
      <c r="E393" s="75"/>
      <c r="F393" s="75"/>
      <c r="L393" s="74"/>
    </row>
    <row r="394">
      <c r="E394" s="75"/>
      <c r="F394" s="75"/>
      <c r="L394" s="74"/>
    </row>
    <row r="395">
      <c r="E395" s="75"/>
      <c r="F395" s="75"/>
      <c r="L395" s="74"/>
    </row>
    <row r="396">
      <c r="E396" s="75"/>
      <c r="F396" s="75"/>
      <c r="L396" s="74"/>
    </row>
    <row r="397">
      <c r="E397" s="75"/>
      <c r="F397" s="75"/>
      <c r="L397" s="74"/>
    </row>
    <row r="398">
      <c r="E398" s="75"/>
      <c r="F398" s="75"/>
      <c r="L398" s="74"/>
    </row>
    <row r="399">
      <c r="E399" s="75"/>
      <c r="F399" s="75"/>
      <c r="L399" s="74"/>
    </row>
    <row r="400">
      <c r="E400" s="75"/>
      <c r="F400" s="75"/>
      <c r="L400" s="74"/>
    </row>
    <row r="401">
      <c r="E401" s="75"/>
      <c r="F401" s="75"/>
      <c r="L401" s="74"/>
    </row>
    <row r="402">
      <c r="E402" s="75"/>
      <c r="F402" s="75"/>
      <c r="L402" s="74"/>
    </row>
    <row r="403">
      <c r="E403" s="75"/>
      <c r="F403" s="75"/>
      <c r="L403" s="74"/>
    </row>
    <row r="404">
      <c r="E404" s="75"/>
      <c r="F404" s="75"/>
      <c r="L404" s="74"/>
    </row>
    <row r="405">
      <c r="E405" s="75"/>
      <c r="F405" s="75"/>
      <c r="L405" s="74"/>
    </row>
    <row r="406">
      <c r="E406" s="75"/>
      <c r="F406" s="75"/>
      <c r="L406" s="74"/>
    </row>
    <row r="407">
      <c r="E407" s="75"/>
      <c r="F407" s="75"/>
      <c r="L407" s="74"/>
    </row>
    <row r="408">
      <c r="E408" s="75"/>
      <c r="F408" s="75"/>
      <c r="L408" s="74"/>
    </row>
    <row r="409">
      <c r="E409" s="75"/>
      <c r="F409" s="75"/>
      <c r="L409" s="74"/>
    </row>
    <row r="410">
      <c r="E410" s="75"/>
      <c r="F410" s="75"/>
      <c r="L410" s="74"/>
    </row>
    <row r="411">
      <c r="E411" s="75"/>
      <c r="F411" s="75"/>
      <c r="L411" s="74"/>
    </row>
    <row r="412">
      <c r="E412" s="75"/>
      <c r="F412" s="75"/>
      <c r="L412" s="74"/>
    </row>
    <row r="413">
      <c r="E413" s="75"/>
      <c r="F413" s="75"/>
      <c r="L413" s="74"/>
    </row>
    <row r="414">
      <c r="E414" s="75"/>
      <c r="F414" s="75"/>
      <c r="L414" s="74"/>
    </row>
    <row r="415">
      <c r="E415" s="75"/>
      <c r="F415" s="75"/>
      <c r="L415" s="74"/>
    </row>
    <row r="416">
      <c r="E416" s="75"/>
      <c r="F416" s="75"/>
      <c r="L416" s="74"/>
    </row>
    <row r="417">
      <c r="E417" s="75"/>
      <c r="F417" s="75"/>
      <c r="L417" s="74"/>
    </row>
    <row r="418">
      <c r="E418" s="75"/>
      <c r="F418" s="75"/>
      <c r="L418" s="74"/>
    </row>
    <row r="419">
      <c r="E419" s="75"/>
      <c r="F419" s="75"/>
      <c r="L419" s="74"/>
    </row>
    <row r="420">
      <c r="E420" s="75"/>
      <c r="F420" s="75"/>
      <c r="L420" s="74"/>
    </row>
    <row r="421">
      <c r="E421" s="75"/>
      <c r="F421" s="75"/>
      <c r="L421" s="74"/>
    </row>
    <row r="422">
      <c r="E422" s="75"/>
      <c r="F422" s="75"/>
      <c r="L422" s="74"/>
    </row>
    <row r="423">
      <c r="E423" s="75"/>
      <c r="F423" s="75"/>
      <c r="L423" s="74"/>
    </row>
    <row r="424">
      <c r="E424" s="75"/>
      <c r="F424" s="75"/>
      <c r="L424" s="74"/>
    </row>
    <row r="425">
      <c r="E425" s="75"/>
      <c r="F425" s="75"/>
      <c r="L425" s="74"/>
    </row>
    <row r="426">
      <c r="E426" s="75"/>
      <c r="F426" s="75"/>
      <c r="L426" s="74"/>
    </row>
    <row r="427">
      <c r="E427" s="75"/>
      <c r="F427" s="75"/>
      <c r="L427" s="74"/>
    </row>
    <row r="428">
      <c r="E428" s="75"/>
      <c r="F428" s="75"/>
      <c r="L428" s="74"/>
    </row>
    <row r="429">
      <c r="E429" s="75"/>
      <c r="F429" s="75"/>
      <c r="L429" s="74"/>
    </row>
    <row r="430">
      <c r="E430" s="75"/>
      <c r="F430" s="75"/>
      <c r="L430" s="74"/>
    </row>
    <row r="431">
      <c r="E431" s="75"/>
      <c r="F431" s="75"/>
      <c r="L431" s="74"/>
    </row>
    <row r="432">
      <c r="E432" s="75"/>
      <c r="F432" s="75"/>
      <c r="L432" s="74"/>
    </row>
    <row r="433">
      <c r="E433" s="75"/>
      <c r="F433" s="75"/>
      <c r="L433" s="74"/>
    </row>
    <row r="434">
      <c r="E434" s="75"/>
      <c r="F434" s="75"/>
      <c r="L434" s="74"/>
    </row>
    <row r="435">
      <c r="E435" s="75"/>
      <c r="F435" s="75"/>
      <c r="L435" s="74"/>
    </row>
    <row r="436">
      <c r="E436" s="75"/>
      <c r="F436" s="75"/>
      <c r="L436" s="74"/>
    </row>
    <row r="437">
      <c r="E437" s="75"/>
      <c r="F437" s="75"/>
      <c r="L437" s="74"/>
    </row>
    <row r="438">
      <c r="E438" s="75"/>
      <c r="F438" s="75"/>
      <c r="L438" s="74"/>
    </row>
    <row r="439">
      <c r="E439" s="75"/>
      <c r="F439" s="75"/>
      <c r="L439" s="74"/>
    </row>
    <row r="440">
      <c r="E440" s="75"/>
      <c r="F440" s="75"/>
      <c r="L440" s="74"/>
    </row>
    <row r="441">
      <c r="E441" s="75"/>
      <c r="F441" s="75"/>
      <c r="L441" s="74"/>
    </row>
    <row r="442">
      <c r="E442" s="75"/>
      <c r="F442" s="75"/>
      <c r="L442" s="74"/>
    </row>
    <row r="443">
      <c r="E443" s="75"/>
      <c r="F443" s="75"/>
      <c r="L443" s="74"/>
    </row>
    <row r="444">
      <c r="E444" s="75"/>
      <c r="F444" s="75"/>
      <c r="L444" s="74"/>
    </row>
    <row r="445">
      <c r="E445" s="75"/>
      <c r="F445" s="75"/>
      <c r="L445" s="74"/>
    </row>
    <row r="446">
      <c r="E446" s="75"/>
      <c r="F446" s="75"/>
      <c r="L446" s="74"/>
    </row>
    <row r="447">
      <c r="E447" s="75"/>
      <c r="F447" s="75"/>
      <c r="L447" s="74"/>
    </row>
    <row r="448">
      <c r="E448" s="75"/>
      <c r="F448" s="75"/>
      <c r="L448" s="74"/>
    </row>
    <row r="449">
      <c r="E449" s="75"/>
      <c r="F449" s="75"/>
      <c r="L449" s="74"/>
    </row>
    <row r="450">
      <c r="E450" s="75"/>
      <c r="F450" s="75"/>
      <c r="L450" s="74"/>
    </row>
    <row r="451">
      <c r="E451" s="75"/>
      <c r="F451" s="75"/>
      <c r="L451" s="74"/>
    </row>
    <row r="452">
      <c r="E452" s="75"/>
      <c r="F452" s="75"/>
      <c r="L452" s="74"/>
    </row>
    <row r="453">
      <c r="E453" s="75"/>
      <c r="F453" s="75"/>
      <c r="L453" s="74"/>
    </row>
    <row r="454">
      <c r="E454" s="75"/>
      <c r="F454" s="75"/>
      <c r="L454" s="74"/>
    </row>
    <row r="455">
      <c r="E455" s="75"/>
      <c r="F455" s="75"/>
      <c r="L455" s="74"/>
    </row>
    <row r="456">
      <c r="E456" s="75"/>
      <c r="F456" s="75"/>
      <c r="L456" s="74"/>
    </row>
    <row r="457">
      <c r="E457" s="75"/>
      <c r="F457" s="75"/>
      <c r="L457" s="74"/>
    </row>
    <row r="458">
      <c r="E458" s="75"/>
      <c r="F458" s="75"/>
      <c r="L458" s="74"/>
    </row>
    <row r="459">
      <c r="E459" s="75"/>
      <c r="F459" s="75"/>
      <c r="L459" s="74"/>
    </row>
    <row r="460">
      <c r="E460" s="75"/>
      <c r="F460" s="75"/>
      <c r="L460" s="74"/>
    </row>
    <row r="461">
      <c r="E461" s="75"/>
      <c r="F461" s="75"/>
      <c r="L461" s="74"/>
    </row>
    <row r="462">
      <c r="E462" s="75"/>
      <c r="F462" s="75"/>
      <c r="L462" s="74"/>
    </row>
    <row r="463">
      <c r="E463" s="75"/>
      <c r="F463" s="75"/>
      <c r="L463" s="74"/>
    </row>
    <row r="464">
      <c r="E464" s="75"/>
      <c r="F464" s="75"/>
      <c r="L464" s="74"/>
    </row>
    <row r="465">
      <c r="E465" s="75"/>
      <c r="F465" s="75"/>
      <c r="L465" s="74"/>
    </row>
    <row r="466">
      <c r="E466" s="75"/>
      <c r="F466" s="75"/>
      <c r="L466" s="74"/>
    </row>
    <row r="467">
      <c r="E467" s="75"/>
      <c r="F467" s="75"/>
      <c r="L467" s="74"/>
    </row>
    <row r="468">
      <c r="E468" s="75"/>
      <c r="F468" s="75"/>
      <c r="L468" s="74"/>
    </row>
    <row r="469">
      <c r="E469" s="75"/>
      <c r="F469" s="75"/>
      <c r="L469" s="74"/>
    </row>
    <row r="470">
      <c r="E470" s="75"/>
      <c r="F470" s="75"/>
      <c r="L470" s="74"/>
    </row>
    <row r="471">
      <c r="E471" s="75"/>
      <c r="F471" s="75"/>
      <c r="L471" s="74"/>
    </row>
    <row r="472">
      <c r="E472" s="75"/>
      <c r="F472" s="75"/>
      <c r="L472" s="74"/>
    </row>
    <row r="473">
      <c r="E473" s="75"/>
      <c r="F473" s="75"/>
      <c r="L473" s="74"/>
    </row>
    <row r="474">
      <c r="E474" s="75"/>
      <c r="F474" s="75"/>
      <c r="L474" s="74"/>
    </row>
    <row r="475">
      <c r="E475" s="75"/>
      <c r="F475" s="75"/>
      <c r="L475" s="74"/>
    </row>
    <row r="476">
      <c r="E476" s="75"/>
      <c r="F476" s="75"/>
      <c r="L476" s="74"/>
    </row>
    <row r="477">
      <c r="E477" s="75"/>
      <c r="F477" s="75"/>
      <c r="L477" s="74"/>
    </row>
    <row r="478">
      <c r="E478" s="75"/>
      <c r="F478" s="75"/>
      <c r="L478" s="74"/>
    </row>
    <row r="479">
      <c r="E479" s="75"/>
      <c r="F479" s="75"/>
      <c r="L479" s="74"/>
    </row>
    <row r="480">
      <c r="E480" s="75"/>
      <c r="F480" s="75"/>
      <c r="L480" s="74"/>
    </row>
    <row r="481">
      <c r="E481" s="75"/>
      <c r="F481" s="75"/>
      <c r="L481" s="74"/>
    </row>
    <row r="482">
      <c r="E482" s="75"/>
      <c r="F482" s="75"/>
      <c r="L482" s="74"/>
    </row>
    <row r="483">
      <c r="E483" s="75"/>
      <c r="F483" s="75"/>
      <c r="L483" s="74"/>
    </row>
    <row r="484">
      <c r="E484" s="75"/>
      <c r="F484" s="75"/>
      <c r="L484" s="74"/>
    </row>
    <row r="485">
      <c r="E485" s="75"/>
      <c r="F485" s="75"/>
      <c r="L485" s="74"/>
    </row>
    <row r="486">
      <c r="E486" s="75"/>
      <c r="F486" s="75"/>
      <c r="L486" s="74"/>
    </row>
    <row r="487">
      <c r="E487" s="75"/>
      <c r="F487" s="75"/>
      <c r="L487" s="74"/>
    </row>
    <row r="488">
      <c r="E488" s="75"/>
      <c r="F488" s="75"/>
      <c r="L488" s="74"/>
    </row>
    <row r="489">
      <c r="E489" s="75"/>
      <c r="F489" s="75"/>
      <c r="L489" s="74"/>
    </row>
    <row r="490">
      <c r="E490" s="75"/>
      <c r="F490" s="75"/>
      <c r="L490" s="74"/>
    </row>
    <row r="491">
      <c r="E491" s="75"/>
      <c r="F491" s="75"/>
      <c r="L491" s="74"/>
    </row>
    <row r="492">
      <c r="E492" s="75"/>
      <c r="F492" s="75"/>
      <c r="L492" s="74"/>
    </row>
    <row r="493">
      <c r="E493" s="75"/>
      <c r="F493" s="75"/>
      <c r="L493" s="74"/>
    </row>
    <row r="494">
      <c r="E494" s="75"/>
      <c r="F494" s="75"/>
      <c r="L494" s="74"/>
    </row>
    <row r="495">
      <c r="E495" s="75"/>
      <c r="F495" s="75"/>
      <c r="L495" s="74"/>
    </row>
    <row r="496">
      <c r="E496" s="75"/>
      <c r="F496" s="75"/>
      <c r="L496" s="74"/>
    </row>
    <row r="497">
      <c r="E497" s="75"/>
      <c r="F497" s="75"/>
      <c r="L497" s="74"/>
    </row>
    <row r="498">
      <c r="E498" s="75"/>
      <c r="F498" s="75"/>
      <c r="L498" s="74"/>
    </row>
    <row r="499">
      <c r="E499" s="75"/>
      <c r="F499" s="75"/>
      <c r="L499" s="74"/>
    </row>
    <row r="500">
      <c r="E500" s="75"/>
      <c r="F500" s="75"/>
      <c r="L500" s="74"/>
    </row>
    <row r="501">
      <c r="E501" s="75"/>
      <c r="F501" s="75"/>
      <c r="L501" s="74"/>
    </row>
    <row r="502">
      <c r="E502" s="75"/>
      <c r="F502" s="75"/>
      <c r="L502" s="74"/>
    </row>
    <row r="503">
      <c r="E503" s="75"/>
      <c r="F503" s="75"/>
      <c r="L503" s="74"/>
    </row>
    <row r="504">
      <c r="E504" s="75"/>
      <c r="F504" s="75"/>
      <c r="L504" s="74"/>
    </row>
    <row r="505">
      <c r="E505" s="75"/>
      <c r="F505" s="75"/>
      <c r="L505" s="74"/>
    </row>
    <row r="506">
      <c r="E506" s="75"/>
      <c r="F506" s="75"/>
      <c r="L506" s="74"/>
    </row>
    <row r="507">
      <c r="E507" s="75"/>
      <c r="F507" s="75"/>
      <c r="L507" s="74"/>
    </row>
    <row r="508">
      <c r="E508" s="75"/>
      <c r="F508" s="75"/>
      <c r="L508" s="74"/>
    </row>
    <row r="509">
      <c r="E509" s="75"/>
      <c r="F509" s="75"/>
      <c r="L509" s="74"/>
    </row>
    <row r="510">
      <c r="E510" s="75"/>
      <c r="F510" s="75"/>
      <c r="L510" s="74"/>
    </row>
    <row r="511">
      <c r="E511" s="75"/>
      <c r="F511" s="75"/>
      <c r="L511" s="74"/>
    </row>
    <row r="512">
      <c r="E512" s="75"/>
      <c r="F512" s="75"/>
      <c r="L512" s="74"/>
    </row>
    <row r="513">
      <c r="E513" s="75"/>
      <c r="F513" s="75"/>
      <c r="L513" s="74"/>
    </row>
    <row r="514">
      <c r="E514" s="75"/>
      <c r="F514" s="75"/>
      <c r="L514" s="74"/>
    </row>
    <row r="515">
      <c r="E515" s="75"/>
      <c r="F515" s="75"/>
      <c r="L515" s="74"/>
    </row>
    <row r="516">
      <c r="E516" s="75"/>
      <c r="F516" s="75"/>
      <c r="L516" s="74"/>
    </row>
    <row r="517">
      <c r="E517" s="75"/>
      <c r="F517" s="75"/>
      <c r="L517" s="74"/>
    </row>
    <row r="518">
      <c r="E518" s="75"/>
      <c r="F518" s="75"/>
      <c r="L518" s="74"/>
    </row>
    <row r="519">
      <c r="E519" s="75"/>
      <c r="F519" s="75"/>
      <c r="L519" s="74"/>
    </row>
    <row r="520">
      <c r="E520" s="75"/>
      <c r="F520" s="75"/>
      <c r="L520" s="74"/>
    </row>
    <row r="521">
      <c r="E521" s="75"/>
      <c r="F521" s="75"/>
      <c r="L521" s="74"/>
    </row>
    <row r="522">
      <c r="E522" s="75"/>
      <c r="F522" s="75"/>
      <c r="L522" s="74"/>
    </row>
    <row r="523">
      <c r="E523" s="75"/>
      <c r="F523" s="75"/>
      <c r="L523" s="74"/>
    </row>
    <row r="524">
      <c r="E524" s="75"/>
      <c r="F524" s="75"/>
      <c r="L524" s="74"/>
    </row>
    <row r="525">
      <c r="E525" s="75"/>
      <c r="F525" s="75"/>
      <c r="L525" s="74"/>
    </row>
    <row r="526">
      <c r="E526" s="75"/>
      <c r="F526" s="75"/>
      <c r="L526" s="74"/>
    </row>
    <row r="527">
      <c r="E527" s="75"/>
      <c r="F527" s="75"/>
      <c r="L527" s="74"/>
    </row>
    <row r="528">
      <c r="E528" s="75"/>
      <c r="F528" s="75"/>
      <c r="L528" s="74"/>
    </row>
    <row r="529">
      <c r="E529" s="75"/>
      <c r="F529" s="75"/>
      <c r="L529" s="74"/>
    </row>
    <row r="530">
      <c r="E530" s="75"/>
      <c r="F530" s="75"/>
      <c r="L530" s="74"/>
    </row>
    <row r="531">
      <c r="E531" s="75"/>
      <c r="F531" s="75"/>
      <c r="L531" s="74"/>
    </row>
    <row r="532">
      <c r="E532" s="75"/>
      <c r="F532" s="75"/>
      <c r="L532" s="74"/>
    </row>
    <row r="533">
      <c r="E533" s="75"/>
      <c r="F533" s="75"/>
      <c r="L533" s="74"/>
    </row>
    <row r="534">
      <c r="E534" s="75"/>
      <c r="F534" s="75"/>
      <c r="L534" s="74"/>
    </row>
    <row r="535">
      <c r="E535" s="75"/>
      <c r="F535" s="75"/>
      <c r="L535" s="74"/>
    </row>
    <row r="536">
      <c r="E536" s="75"/>
      <c r="F536" s="75"/>
      <c r="L536" s="74"/>
    </row>
    <row r="537">
      <c r="E537" s="75"/>
      <c r="F537" s="75"/>
      <c r="L537" s="74"/>
    </row>
    <row r="538">
      <c r="E538" s="75"/>
      <c r="F538" s="75"/>
      <c r="L538" s="74"/>
    </row>
    <row r="539">
      <c r="E539" s="75"/>
      <c r="F539" s="75"/>
      <c r="L539" s="74"/>
    </row>
    <row r="540">
      <c r="E540" s="75"/>
      <c r="F540" s="75"/>
      <c r="L540" s="74"/>
    </row>
    <row r="541">
      <c r="E541" s="75"/>
      <c r="F541" s="75"/>
      <c r="L541" s="74"/>
    </row>
    <row r="542">
      <c r="E542" s="75"/>
      <c r="F542" s="75"/>
      <c r="L542" s="74"/>
    </row>
    <row r="543">
      <c r="E543" s="75"/>
      <c r="F543" s="75"/>
      <c r="L543" s="74"/>
    </row>
    <row r="544">
      <c r="E544" s="75"/>
      <c r="F544" s="75"/>
      <c r="L544" s="74"/>
    </row>
    <row r="545">
      <c r="E545" s="75"/>
      <c r="F545" s="75"/>
      <c r="L545" s="74"/>
    </row>
    <row r="546">
      <c r="E546" s="75"/>
      <c r="F546" s="75"/>
      <c r="L546" s="74"/>
    </row>
    <row r="547">
      <c r="E547" s="75"/>
      <c r="F547" s="75"/>
      <c r="L547" s="74"/>
    </row>
    <row r="548">
      <c r="E548" s="75"/>
      <c r="F548" s="75"/>
      <c r="L548" s="74"/>
    </row>
    <row r="549">
      <c r="E549" s="75"/>
      <c r="F549" s="75"/>
      <c r="L549" s="74"/>
    </row>
    <row r="550">
      <c r="E550" s="75"/>
      <c r="F550" s="75"/>
      <c r="L550" s="74"/>
    </row>
    <row r="551">
      <c r="E551" s="75"/>
      <c r="F551" s="75"/>
      <c r="L551" s="74"/>
    </row>
    <row r="552">
      <c r="E552" s="75"/>
      <c r="F552" s="75"/>
      <c r="L552" s="74"/>
    </row>
    <row r="553">
      <c r="E553" s="75"/>
      <c r="F553" s="75"/>
      <c r="L553" s="74"/>
    </row>
    <row r="554">
      <c r="E554" s="75"/>
      <c r="F554" s="75"/>
      <c r="L554" s="74"/>
    </row>
    <row r="555">
      <c r="E555" s="75"/>
      <c r="F555" s="75"/>
      <c r="L555" s="74"/>
    </row>
    <row r="556">
      <c r="E556" s="75"/>
      <c r="F556" s="75"/>
      <c r="L556" s="74"/>
    </row>
    <row r="557">
      <c r="E557" s="75"/>
      <c r="F557" s="75"/>
      <c r="L557" s="74"/>
    </row>
    <row r="558">
      <c r="E558" s="75"/>
      <c r="F558" s="75"/>
      <c r="L558" s="74"/>
    </row>
    <row r="559">
      <c r="E559" s="75"/>
      <c r="F559" s="75"/>
      <c r="L559" s="74"/>
    </row>
    <row r="560">
      <c r="E560" s="75"/>
      <c r="F560" s="75"/>
      <c r="L560" s="74"/>
    </row>
    <row r="561">
      <c r="E561" s="75"/>
      <c r="F561" s="75"/>
      <c r="L561" s="74"/>
    </row>
    <row r="562">
      <c r="E562" s="75"/>
      <c r="F562" s="75"/>
      <c r="L562" s="74"/>
    </row>
    <row r="563">
      <c r="E563" s="75"/>
      <c r="F563" s="75"/>
      <c r="L563" s="74"/>
    </row>
    <row r="564">
      <c r="E564" s="75"/>
      <c r="F564" s="75"/>
      <c r="L564" s="74"/>
    </row>
    <row r="565">
      <c r="E565" s="75"/>
      <c r="F565" s="75"/>
      <c r="L565" s="74"/>
    </row>
    <row r="566">
      <c r="E566" s="75"/>
      <c r="F566" s="75"/>
      <c r="L566" s="74"/>
    </row>
    <row r="567">
      <c r="E567" s="75"/>
      <c r="F567" s="75"/>
      <c r="L567" s="74"/>
    </row>
    <row r="568">
      <c r="E568" s="75"/>
      <c r="F568" s="75"/>
      <c r="L568" s="74"/>
    </row>
    <row r="569">
      <c r="E569" s="75"/>
      <c r="F569" s="75"/>
      <c r="L569" s="74"/>
    </row>
    <row r="570">
      <c r="E570" s="75"/>
      <c r="F570" s="75"/>
      <c r="L570" s="74"/>
    </row>
    <row r="571">
      <c r="E571" s="75"/>
      <c r="F571" s="75"/>
      <c r="L571" s="74"/>
    </row>
    <row r="572">
      <c r="E572" s="75"/>
      <c r="F572" s="75"/>
      <c r="L572" s="74"/>
    </row>
    <row r="573">
      <c r="E573" s="75"/>
      <c r="F573" s="75"/>
      <c r="L573" s="74"/>
    </row>
    <row r="574">
      <c r="E574" s="75"/>
      <c r="F574" s="75"/>
      <c r="L574" s="74"/>
    </row>
    <row r="575">
      <c r="E575" s="75"/>
      <c r="F575" s="75"/>
      <c r="L575" s="74"/>
    </row>
    <row r="576">
      <c r="E576" s="75"/>
      <c r="F576" s="75"/>
      <c r="L576" s="74"/>
    </row>
    <row r="577">
      <c r="E577" s="75"/>
      <c r="F577" s="75"/>
      <c r="L577" s="74"/>
    </row>
    <row r="578">
      <c r="E578" s="75"/>
      <c r="F578" s="75"/>
      <c r="L578" s="74"/>
    </row>
    <row r="579">
      <c r="E579" s="75"/>
      <c r="F579" s="75"/>
      <c r="L579" s="74"/>
    </row>
    <row r="580">
      <c r="E580" s="75"/>
      <c r="F580" s="75"/>
      <c r="L580" s="74"/>
    </row>
    <row r="581">
      <c r="E581" s="75"/>
      <c r="F581" s="75"/>
      <c r="L581" s="74"/>
    </row>
    <row r="582">
      <c r="E582" s="75"/>
      <c r="F582" s="75"/>
      <c r="L582" s="74"/>
    </row>
    <row r="583">
      <c r="E583" s="75"/>
      <c r="F583" s="75"/>
      <c r="L583" s="74"/>
    </row>
    <row r="584">
      <c r="E584" s="75"/>
      <c r="F584" s="75"/>
      <c r="L584" s="74"/>
    </row>
    <row r="585">
      <c r="E585" s="75"/>
      <c r="F585" s="75"/>
      <c r="L585" s="74"/>
    </row>
    <row r="586">
      <c r="E586" s="75"/>
      <c r="F586" s="75"/>
      <c r="L586" s="74"/>
    </row>
    <row r="587">
      <c r="E587" s="75"/>
      <c r="F587" s="75"/>
      <c r="L587" s="74"/>
    </row>
    <row r="588">
      <c r="E588" s="75"/>
      <c r="F588" s="75"/>
      <c r="L588" s="74"/>
    </row>
    <row r="589">
      <c r="E589" s="75"/>
      <c r="F589" s="75"/>
      <c r="L589" s="74"/>
    </row>
    <row r="590">
      <c r="E590" s="75"/>
      <c r="F590" s="75"/>
      <c r="L590" s="74"/>
    </row>
    <row r="591">
      <c r="E591" s="75"/>
      <c r="F591" s="75"/>
      <c r="L591" s="74"/>
    </row>
    <row r="592">
      <c r="E592" s="75"/>
      <c r="F592" s="75"/>
      <c r="L592" s="74"/>
    </row>
    <row r="593">
      <c r="E593" s="75"/>
      <c r="F593" s="75"/>
      <c r="L593" s="74"/>
    </row>
    <row r="594">
      <c r="E594" s="75"/>
      <c r="F594" s="75"/>
      <c r="L594" s="74"/>
    </row>
    <row r="595">
      <c r="E595" s="75"/>
      <c r="F595" s="75"/>
      <c r="L595" s="74"/>
    </row>
    <row r="596">
      <c r="E596" s="75"/>
      <c r="F596" s="75"/>
      <c r="L596" s="74"/>
    </row>
    <row r="597">
      <c r="E597" s="75"/>
      <c r="F597" s="75"/>
      <c r="L597" s="74"/>
    </row>
    <row r="598">
      <c r="E598" s="75"/>
      <c r="F598" s="75"/>
      <c r="L598" s="74"/>
    </row>
    <row r="599">
      <c r="E599" s="75"/>
      <c r="F599" s="75"/>
      <c r="L599" s="74"/>
    </row>
    <row r="600">
      <c r="E600" s="75"/>
      <c r="F600" s="75"/>
      <c r="L600" s="74"/>
    </row>
    <row r="601">
      <c r="E601" s="75"/>
      <c r="F601" s="75"/>
      <c r="L601" s="74"/>
    </row>
    <row r="602">
      <c r="E602" s="75"/>
      <c r="F602" s="75"/>
      <c r="L602" s="74"/>
    </row>
    <row r="603">
      <c r="E603" s="75"/>
      <c r="F603" s="75"/>
      <c r="L603" s="74"/>
    </row>
    <row r="604">
      <c r="E604" s="75"/>
      <c r="F604" s="75"/>
      <c r="L604" s="74"/>
    </row>
    <row r="605">
      <c r="E605" s="75"/>
      <c r="F605" s="75"/>
      <c r="L605" s="74"/>
    </row>
    <row r="606">
      <c r="E606" s="75"/>
      <c r="F606" s="75"/>
      <c r="L606" s="74"/>
    </row>
    <row r="607">
      <c r="E607" s="75"/>
      <c r="F607" s="75"/>
      <c r="L607" s="74"/>
    </row>
    <row r="608">
      <c r="E608" s="75"/>
      <c r="F608" s="75"/>
      <c r="L608" s="74"/>
    </row>
    <row r="609">
      <c r="E609" s="75"/>
      <c r="F609" s="75"/>
      <c r="L609" s="74"/>
    </row>
    <row r="610">
      <c r="E610" s="75"/>
      <c r="F610" s="75"/>
      <c r="L610" s="74"/>
    </row>
    <row r="611">
      <c r="E611" s="75"/>
      <c r="F611" s="75"/>
      <c r="L611" s="74"/>
    </row>
    <row r="612">
      <c r="E612" s="75"/>
      <c r="F612" s="75"/>
      <c r="L612" s="74"/>
    </row>
    <row r="613">
      <c r="E613" s="75"/>
      <c r="F613" s="75"/>
      <c r="L613" s="74"/>
    </row>
    <row r="614">
      <c r="E614" s="75"/>
      <c r="F614" s="75"/>
      <c r="L614" s="74"/>
    </row>
    <row r="615">
      <c r="E615" s="75"/>
      <c r="F615" s="75"/>
      <c r="L615" s="74"/>
    </row>
    <row r="616">
      <c r="E616" s="75"/>
      <c r="F616" s="75"/>
      <c r="L616" s="74"/>
    </row>
    <row r="617">
      <c r="E617" s="75"/>
      <c r="F617" s="75"/>
      <c r="L617" s="74"/>
    </row>
    <row r="618">
      <c r="E618" s="75"/>
      <c r="F618" s="75"/>
      <c r="L618" s="74"/>
    </row>
    <row r="619">
      <c r="E619" s="75"/>
      <c r="F619" s="75"/>
      <c r="L619" s="74"/>
    </row>
    <row r="620">
      <c r="E620" s="75"/>
      <c r="F620" s="75"/>
      <c r="L620" s="74"/>
    </row>
    <row r="621">
      <c r="E621" s="75"/>
      <c r="F621" s="75"/>
      <c r="L621" s="74"/>
    </row>
    <row r="622">
      <c r="E622" s="75"/>
      <c r="F622" s="75"/>
      <c r="L622" s="74"/>
    </row>
    <row r="623">
      <c r="E623" s="75"/>
      <c r="F623" s="75"/>
      <c r="L623" s="74"/>
    </row>
    <row r="624">
      <c r="E624" s="75"/>
      <c r="F624" s="75"/>
      <c r="L624" s="74"/>
    </row>
    <row r="625">
      <c r="E625" s="75"/>
      <c r="F625" s="75"/>
      <c r="L625" s="74"/>
    </row>
    <row r="626">
      <c r="E626" s="75"/>
      <c r="F626" s="75"/>
      <c r="L626" s="74"/>
    </row>
    <row r="627">
      <c r="E627" s="75"/>
      <c r="F627" s="75"/>
      <c r="L627" s="74"/>
    </row>
    <row r="628">
      <c r="E628" s="75"/>
      <c r="F628" s="75"/>
      <c r="L628" s="74"/>
    </row>
    <row r="629">
      <c r="E629" s="75"/>
      <c r="F629" s="75"/>
      <c r="L629" s="74"/>
    </row>
    <row r="630">
      <c r="E630" s="75"/>
      <c r="F630" s="75"/>
      <c r="L630" s="74"/>
    </row>
    <row r="631">
      <c r="E631" s="75"/>
      <c r="F631" s="75"/>
      <c r="L631" s="74"/>
    </row>
    <row r="632">
      <c r="E632" s="75"/>
      <c r="F632" s="75"/>
      <c r="L632" s="74"/>
    </row>
    <row r="633">
      <c r="E633" s="75"/>
      <c r="F633" s="75"/>
      <c r="L633" s="74"/>
    </row>
    <row r="634">
      <c r="E634" s="75"/>
      <c r="F634" s="75"/>
      <c r="L634" s="74"/>
    </row>
    <row r="635">
      <c r="E635" s="75"/>
      <c r="F635" s="75"/>
      <c r="L635" s="74"/>
    </row>
    <row r="636">
      <c r="E636" s="75"/>
      <c r="F636" s="75"/>
      <c r="L636" s="74"/>
    </row>
    <row r="637">
      <c r="E637" s="75"/>
      <c r="F637" s="75"/>
      <c r="L637" s="74"/>
    </row>
    <row r="638">
      <c r="E638" s="75"/>
      <c r="F638" s="75"/>
      <c r="L638" s="74"/>
    </row>
    <row r="639">
      <c r="E639" s="75"/>
      <c r="F639" s="75"/>
      <c r="L639" s="74"/>
    </row>
    <row r="640">
      <c r="E640" s="75"/>
      <c r="F640" s="75"/>
      <c r="L640" s="74"/>
    </row>
    <row r="641">
      <c r="E641" s="75"/>
      <c r="F641" s="75"/>
      <c r="L641" s="74"/>
    </row>
    <row r="642">
      <c r="E642" s="75"/>
      <c r="F642" s="75"/>
      <c r="L642" s="74"/>
    </row>
    <row r="643">
      <c r="E643" s="75"/>
      <c r="F643" s="75"/>
      <c r="L643" s="74"/>
    </row>
    <row r="644">
      <c r="E644" s="75"/>
      <c r="F644" s="75"/>
      <c r="L644" s="74"/>
    </row>
    <row r="645">
      <c r="E645" s="75"/>
      <c r="F645" s="75"/>
      <c r="L645" s="74"/>
    </row>
    <row r="646">
      <c r="E646" s="75"/>
      <c r="F646" s="75"/>
      <c r="L646" s="74"/>
    </row>
    <row r="647">
      <c r="E647" s="75"/>
      <c r="F647" s="75"/>
      <c r="L647" s="74"/>
    </row>
    <row r="648">
      <c r="E648" s="75"/>
      <c r="F648" s="75"/>
      <c r="L648" s="74"/>
    </row>
    <row r="649">
      <c r="E649" s="75"/>
      <c r="F649" s="75"/>
      <c r="L649" s="74"/>
    </row>
    <row r="650">
      <c r="E650" s="75"/>
      <c r="F650" s="75"/>
      <c r="L650" s="74"/>
    </row>
    <row r="651">
      <c r="E651" s="75"/>
      <c r="F651" s="75"/>
      <c r="L651" s="74"/>
    </row>
    <row r="652">
      <c r="E652" s="75"/>
      <c r="F652" s="75"/>
      <c r="L652" s="74"/>
    </row>
    <row r="653">
      <c r="E653" s="75"/>
      <c r="F653" s="75"/>
      <c r="L653" s="74"/>
    </row>
    <row r="654">
      <c r="E654" s="75"/>
      <c r="F654" s="75"/>
      <c r="L654" s="74"/>
    </row>
    <row r="655">
      <c r="E655" s="75"/>
      <c r="F655" s="75"/>
      <c r="L655" s="74"/>
    </row>
    <row r="656">
      <c r="E656" s="75"/>
      <c r="F656" s="75"/>
      <c r="L656" s="74"/>
    </row>
    <row r="657">
      <c r="E657" s="75"/>
      <c r="F657" s="75"/>
      <c r="L657" s="74"/>
    </row>
    <row r="658">
      <c r="E658" s="75"/>
      <c r="F658" s="75"/>
      <c r="L658" s="74"/>
    </row>
    <row r="659">
      <c r="E659" s="75"/>
      <c r="F659" s="75"/>
      <c r="L659" s="74"/>
    </row>
    <row r="660">
      <c r="E660" s="75"/>
      <c r="F660" s="75"/>
      <c r="L660" s="74"/>
    </row>
    <row r="661">
      <c r="E661" s="75"/>
      <c r="F661" s="75"/>
      <c r="L661" s="74"/>
    </row>
    <row r="662">
      <c r="E662" s="75"/>
      <c r="F662" s="75"/>
      <c r="L662" s="74"/>
    </row>
    <row r="663">
      <c r="E663" s="75"/>
      <c r="F663" s="75"/>
      <c r="L663" s="74"/>
    </row>
    <row r="664">
      <c r="E664" s="75"/>
      <c r="F664" s="75"/>
      <c r="L664" s="74"/>
    </row>
    <row r="665">
      <c r="E665" s="75"/>
      <c r="F665" s="75"/>
      <c r="L665" s="74"/>
    </row>
    <row r="666">
      <c r="E666" s="75"/>
      <c r="F666" s="75"/>
      <c r="L666" s="74"/>
    </row>
    <row r="667">
      <c r="E667" s="75"/>
      <c r="F667" s="75"/>
      <c r="L667" s="74"/>
    </row>
    <row r="668">
      <c r="E668" s="75"/>
      <c r="F668" s="75"/>
      <c r="L668" s="74"/>
    </row>
    <row r="669">
      <c r="E669" s="75"/>
      <c r="F669" s="75"/>
      <c r="L669" s="74"/>
    </row>
    <row r="670">
      <c r="E670" s="75"/>
      <c r="F670" s="75"/>
      <c r="L670" s="74"/>
    </row>
    <row r="671">
      <c r="E671" s="75"/>
      <c r="F671" s="75"/>
      <c r="L671" s="74"/>
    </row>
    <row r="672">
      <c r="E672" s="75"/>
      <c r="F672" s="75"/>
      <c r="L672" s="74"/>
    </row>
    <row r="673">
      <c r="E673" s="75"/>
      <c r="F673" s="75"/>
      <c r="L673" s="74"/>
    </row>
    <row r="674">
      <c r="E674" s="75"/>
      <c r="F674" s="75"/>
      <c r="L674" s="74"/>
    </row>
    <row r="675">
      <c r="E675" s="75"/>
      <c r="F675" s="75"/>
      <c r="L675" s="74"/>
    </row>
    <row r="676">
      <c r="E676" s="75"/>
      <c r="F676" s="75"/>
      <c r="L676" s="74"/>
    </row>
    <row r="677">
      <c r="E677" s="75"/>
      <c r="F677" s="75"/>
      <c r="L677" s="74"/>
    </row>
    <row r="678">
      <c r="E678" s="75"/>
      <c r="F678" s="75"/>
      <c r="L678" s="74"/>
    </row>
    <row r="679">
      <c r="E679" s="75"/>
      <c r="F679" s="75"/>
      <c r="L679" s="74"/>
    </row>
    <row r="680">
      <c r="E680" s="75"/>
      <c r="F680" s="75"/>
      <c r="L680" s="74"/>
    </row>
    <row r="681">
      <c r="E681" s="75"/>
      <c r="F681" s="75"/>
      <c r="L681" s="74"/>
    </row>
    <row r="682">
      <c r="E682" s="75"/>
      <c r="F682" s="75"/>
      <c r="L682" s="74"/>
    </row>
    <row r="683">
      <c r="E683" s="75"/>
      <c r="F683" s="75"/>
      <c r="L683" s="74"/>
    </row>
    <row r="684">
      <c r="E684" s="75"/>
      <c r="F684" s="75"/>
      <c r="L684" s="74"/>
    </row>
    <row r="685">
      <c r="E685" s="75"/>
      <c r="F685" s="75"/>
      <c r="L685" s="74"/>
    </row>
    <row r="686">
      <c r="E686" s="75"/>
      <c r="F686" s="75"/>
      <c r="L686" s="74"/>
    </row>
    <row r="687">
      <c r="E687" s="75"/>
      <c r="F687" s="75"/>
      <c r="L687" s="74"/>
    </row>
    <row r="688">
      <c r="E688" s="75"/>
      <c r="F688" s="75"/>
      <c r="L688" s="74"/>
    </row>
    <row r="689">
      <c r="E689" s="75"/>
      <c r="F689" s="75"/>
      <c r="L689" s="74"/>
    </row>
    <row r="690">
      <c r="E690" s="75"/>
      <c r="F690" s="75"/>
      <c r="L690" s="74"/>
    </row>
    <row r="691">
      <c r="E691" s="75"/>
      <c r="F691" s="75"/>
      <c r="L691" s="74"/>
    </row>
    <row r="692">
      <c r="E692" s="75"/>
      <c r="F692" s="75"/>
      <c r="L692" s="74"/>
    </row>
    <row r="693">
      <c r="E693" s="75"/>
      <c r="F693" s="75"/>
      <c r="L693" s="74"/>
    </row>
    <row r="694">
      <c r="E694" s="75"/>
      <c r="F694" s="75"/>
      <c r="L694" s="74"/>
    </row>
    <row r="695">
      <c r="E695" s="75"/>
      <c r="F695" s="75"/>
      <c r="L695" s="74"/>
    </row>
    <row r="696">
      <c r="E696" s="75"/>
      <c r="F696" s="75"/>
      <c r="L696" s="74"/>
    </row>
    <row r="697">
      <c r="E697" s="75"/>
      <c r="F697" s="75"/>
      <c r="L697" s="74"/>
    </row>
    <row r="698">
      <c r="E698" s="75"/>
      <c r="F698" s="75"/>
      <c r="L698" s="74"/>
    </row>
    <row r="699">
      <c r="E699" s="75"/>
      <c r="F699" s="75"/>
      <c r="L699" s="74"/>
    </row>
    <row r="700">
      <c r="E700" s="75"/>
      <c r="F700" s="75"/>
      <c r="L700" s="74"/>
    </row>
    <row r="701">
      <c r="E701" s="75"/>
      <c r="F701" s="75"/>
      <c r="L701" s="74"/>
    </row>
    <row r="702">
      <c r="E702" s="75"/>
      <c r="F702" s="75"/>
      <c r="L702" s="74"/>
    </row>
    <row r="703">
      <c r="E703" s="75"/>
      <c r="F703" s="75"/>
      <c r="L703" s="74"/>
    </row>
    <row r="704">
      <c r="E704" s="75"/>
      <c r="F704" s="75"/>
      <c r="L704" s="74"/>
    </row>
    <row r="705">
      <c r="E705" s="75"/>
      <c r="F705" s="75"/>
      <c r="L705" s="74"/>
    </row>
    <row r="706">
      <c r="E706" s="75"/>
      <c r="F706" s="75"/>
      <c r="L706" s="74"/>
    </row>
    <row r="707">
      <c r="E707" s="75"/>
      <c r="F707" s="75"/>
      <c r="L707" s="74"/>
    </row>
    <row r="708">
      <c r="E708" s="75"/>
      <c r="F708" s="75"/>
      <c r="L708" s="74"/>
    </row>
    <row r="709">
      <c r="E709" s="75"/>
      <c r="F709" s="75"/>
      <c r="L709" s="74"/>
    </row>
    <row r="710">
      <c r="E710" s="75"/>
      <c r="F710" s="75"/>
      <c r="L710" s="74"/>
    </row>
    <row r="711">
      <c r="E711" s="75"/>
      <c r="F711" s="75"/>
      <c r="L711" s="74"/>
    </row>
    <row r="712">
      <c r="E712" s="75"/>
      <c r="F712" s="75"/>
      <c r="L712" s="74"/>
    </row>
    <row r="713">
      <c r="E713" s="75"/>
      <c r="F713" s="75"/>
      <c r="L713" s="74"/>
    </row>
    <row r="714">
      <c r="E714" s="75"/>
      <c r="F714" s="75"/>
      <c r="L714" s="74"/>
    </row>
    <row r="715">
      <c r="E715" s="75"/>
      <c r="F715" s="75"/>
      <c r="L715" s="74"/>
    </row>
    <row r="716">
      <c r="E716" s="75"/>
      <c r="F716" s="75"/>
      <c r="L716" s="74"/>
    </row>
    <row r="717">
      <c r="E717" s="75"/>
      <c r="F717" s="75"/>
      <c r="L717" s="74"/>
    </row>
    <row r="718">
      <c r="E718" s="75"/>
      <c r="F718" s="75"/>
      <c r="L718" s="74"/>
    </row>
    <row r="719">
      <c r="E719" s="75"/>
      <c r="F719" s="75"/>
      <c r="L719" s="74"/>
    </row>
    <row r="720">
      <c r="E720" s="75"/>
      <c r="F720" s="75"/>
      <c r="L720" s="74"/>
    </row>
    <row r="721">
      <c r="E721" s="75"/>
      <c r="F721" s="75"/>
      <c r="L721" s="74"/>
    </row>
    <row r="722">
      <c r="E722" s="75"/>
      <c r="F722" s="75"/>
      <c r="L722" s="74"/>
    </row>
    <row r="723">
      <c r="E723" s="75"/>
      <c r="F723" s="75"/>
      <c r="L723" s="74"/>
    </row>
    <row r="724">
      <c r="E724" s="75"/>
      <c r="F724" s="75"/>
      <c r="L724" s="74"/>
    </row>
    <row r="725">
      <c r="E725" s="75"/>
      <c r="F725" s="75"/>
      <c r="L725" s="74"/>
    </row>
    <row r="726">
      <c r="E726" s="75"/>
      <c r="F726" s="75"/>
      <c r="L726" s="74"/>
    </row>
    <row r="727">
      <c r="E727" s="75"/>
      <c r="F727" s="75"/>
      <c r="L727" s="74"/>
    </row>
    <row r="728">
      <c r="E728" s="75"/>
      <c r="F728" s="75"/>
      <c r="L728" s="74"/>
    </row>
    <row r="729">
      <c r="E729" s="75"/>
      <c r="F729" s="75"/>
      <c r="L729" s="74"/>
    </row>
    <row r="730">
      <c r="E730" s="75"/>
      <c r="F730" s="75"/>
      <c r="L730" s="74"/>
    </row>
    <row r="731">
      <c r="E731" s="75"/>
      <c r="F731" s="75"/>
      <c r="L731" s="74"/>
    </row>
    <row r="732">
      <c r="E732" s="75"/>
      <c r="F732" s="75"/>
      <c r="L732" s="74"/>
    </row>
    <row r="733">
      <c r="E733" s="75"/>
      <c r="F733" s="75"/>
      <c r="L733" s="74"/>
    </row>
    <row r="734">
      <c r="E734" s="75"/>
      <c r="F734" s="75"/>
      <c r="L734" s="74"/>
    </row>
    <row r="735">
      <c r="E735" s="75"/>
      <c r="F735" s="75"/>
      <c r="L735" s="74"/>
    </row>
    <row r="736">
      <c r="E736" s="75"/>
      <c r="F736" s="75"/>
      <c r="L736" s="74"/>
    </row>
    <row r="737">
      <c r="E737" s="75"/>
      <c r="F737" s="75"/>
      <c r="L737" s="74"/>
    </row>
    <row r="738">
      <c r="E738" s="75"/>
      <c r="F738" s="75"/>
      <c r="L738" s="74"/>
    </row>
    <row r="739">
      <c r="E739" s="75"/>
      <c r="F739" s="75"/>
      <c r="L739" s="74"/>
    </row>
    <row r="740">
      <c r="E740" s="75"/>
      <c r="F740" s="75"/>
      <c r="L740" s="74"/>
    </row>
    <row r="741">
      <c r="E741" s="75"/>
      <c r="F741" s="75"/>
      <c r="L741" s="74"/>
    </row>
    <row r="742">
      <c r="E742" s="75"/>
      <c r="F742" s="75"/>
      <c r="L742" s="74"/>
    </row>
    <row r="743">
      <c r="E743" s="75"/>
      <c r="F743" s="75"/>
      <c r="L743" s="74"/>
    </row>
    <row r="744">
      <c r="E744" s="75"/>
      <c r="F744" s="75"/>
      <c r="L744" s="74"/>
    </row>
    <row r="745">
      <c r="E745" s="75"/>
      <c r="F745" s="75"/>
      <c r="L745" s="74"/>
    </row>
    <row r="746">
      <c r="E746" s="75"/>
      <c r="F746" s="75"/>
      <c r="L746" s="74"/>
    </row>
    <row r="747">
      <c r="E747" s="75"/>
      <c r="F747" s="75"/>
      <c r="L747" s="74"/>
    </row>
    <row r="748">
      <c r="E748" s="75"/>
      <c r="F748" s="75"/>
      <c r="L748" s="74"/>
    </row>
    <row r="749">
      <c r="E749" s="75"/>
      <c r="F749" s="75"/>
      <c r="L749" s="74"/>
    </row>
    <row r="750">
      <c r="E750" s="75"/>
      <c r="F750" s="75"/>
      <c r="L750" s="74"/>
    </row>
    <row r="751">
      <c r="E751" s="75"/>
      <c r="F751" s="75"/>
      <c r="L751" s="74"/>
    </row>
    <row r="752">
      <c r="E752" s="75"/>
      <c r="F752" s="75"/>
      <c r="L752" s="74"/>
    </row>
    <row r="753">
      <c r="E753" s="75"/>
      <c r="F753" s="75"/>
      <c r="L753" s="74"/>
    </row>
    <row r="754">
      <c r="E754" s="75"/>
      <c r="F754" s="75"/>
      <c r="L754" s="74"/>
    </row>
    <row r="755">
      <c r="E755" s="75"/>
      <c r="F755" s="75"/>
      <c r="L755" s="74"/>
    </row>
    <row r="756">
      <c r="E756" s="75"/>
      <c r="F756" s="75"/>
      <c r="L756" s="74"/>
    </row>
    <row r="757">
      <c r="E757" s="75"/>
      <c r="F757" s="75"/>
      <c r="L757" s="74"/>
    </row>
    <row r="758">
      <c r="E758" s="75"/>
      <c r="F758" s="75"/>
      <c r="L758" s="74"/>
    </row>
    <row r="759">
      <c r="E759" s="75"/>
      <c r="F759" s="75"/>
      <c r="L759" s="74"/>
    </row>
    <row r="760">
      <c r="E760" s="75"/>
      <c r="F760" s="75"/>
      <c r="L760" s="74"/>
    </row>
    <row r="761">
      <c r="E761" s="75"/>
      <c r="F761" s="75"/>
      <c r="L761" s="74"/>
    </row>
    <row r="762">
      <c r="E762" s="75"/>
      <c r="F762" s="75"/>
      <c r="L762" s="74"/>
    </row>
    <row r="763">
      <c r="E763" s="75"/>
      <c r="F763" s="75"/>
      <c r="L763" s="74"/>
    </row>
    <row r="764">
      <c r="E764" s="75"/>
      <c r="F764" s="75"/>
      <c r="L764" s="74"/>
    </row>
    <row r="765">
      <c r="E765" s="75"/>
      <c r="F765" s="75"/>
      <c r="L765" s="74"/>
    </row>
    <row r="766">
      <c r="E766" s="75"/>
      <c r="F766" s="75"/>
      <c r="L766" s="74"/>
    </row>
    <row r="767">
      <c r="E767" s="75"/>
      <c r="F767" s="75"/>
      <c r="L767" s="74"/>
    </row>
    <row r="768">
      <c r="E768" s="75"/>
      <c r="F768" s="75"/>
      <c r="L768" s="74"/>
    </row>
    <row r="769">
      <c r="E769" s="75"/>
      <c r="F769" s="75"/>
      <c r="L769" s="74"/>
    </row>
    <row r="770">
      <c r="E770" s="75"/>
      <c r="F770" s="75"/>
      <c r="L770" s="74"/>
    </row>
    <row r="771">
      <c r="E771" s="75"/>
      <c r="F771" s="75"/>
      <c r="L771" s="74"/>
    </row>
    <row r="772">
      <c r="E772" s="75"/>
      <c r="F772" s="75"/>
      <c r="L772" s="74"/>
    </row>
    <row r="773">
      <c r="E773" s="75"/>
      <c r="F773" s="75"/>
      <c r="L773" s="74"/>
    </row>
    <row r="774">
      <c r="E774" s="75"/>
      <c r="F774" s="75"/>
      <c r="L774" s="74"/>
    </row>
    <row r="775">
      <c r="E775" s="75"/>
      <c r="F775" s="75"/>
      <c r="L775" s="74"/>
    </row>
    <row r="776">
      <c r="E776" s="75"/>
      <c r="F776" s="75"/>
      <c r="L776" s="74"/>
    </row>
    <row r="777">
      <c r="E777" s="75"/>
      <c r="F777" s="75"/>
      <c r="L777" s="74"/>
    </row>
    <row r="778">
      <c r="E778" s="75"/>
      <c r="F778" s="75"/>
      <c r="L778" s="74"/>
    </row>
    <row r="779">
      <c r="E779" s="75"/>
      <c r="F779" s="75"/>
      <c r="L779" s="74"/>
    </row>
    <row r="780">
      <c r="E780" s="75"/>
      <c r="F780" s="75"/>
      <c r="L780" s="74"/>
    </row>
    <row r="781">
      <c r="E781" s="75"/>
      <c r="F781" s="75"/>
      <c r="L781" s="74"/>
    </row>
    <row r="782">
      <c r="E782" s="75"/>
      <c r="F782" s="75"/>
      <c r="L782" s="74"/>
    </row>
    <row r="783">
      <c r="E783" s="75"/>
      <c r="F783" s="75"/>
      <c r="L783" s="74"/>
    </row>
    <row r="784">
      <c r="E784" s="75"/>
      <c r="F784" s="75"/>
      <c r="L784" s="74"/>
    </row>
    <row r="785">
      <c r="E785" s="75"/>
      <c r="F785" s="75"/>
      <c r="L785" s="74"/>
    </row>
    <row r="786">
      <c r="E786" s="75"/>
      <c r="F786" s="75"/>
      <c r="L786" s="74"/>
    </row>
    <row r="787">
      <c r="E787" s="75"/>
      <c r="F787" s="75"/>
      <c r="L787" s="74"/>
    </row>
    <row r="788">
      <c r="E788" s="75"/>
      <c r="F788" s="75"/>
      <c r="L788" s="74"/>
    </row>
    <row r="789">
      <c r="E789" s="75"/>
      <c r="F789" s="75"/>
      <c r="L789" s="74"/>
    </row>
    <row r="790">
      <c r="E790" s="75"/>
      <c r="F790" s="75"/>
      <c r="L790" s="74"/>
    </row>
    <row r="791">
      <c r="E791" s="75"/>
      <c r="F791" s="75"/>
      <c r="L791" s="74"/>
    </row>
    <row r="792">
      <c r="E792" s="75"/>
      <c r="F792" s="75"/>
      <c r="L792" s="74"/>
    </row>
    <row r="793">
      <c r="E793" s="75"/>
      <c r="F793" s="75"/>
      <c r="L793" s="74"/>
    </row>
    <row r="794">
      <c r="E794" s="75"/>
      <c r="F794" s="75"/>
      <c r="L794" s="74"/>
    </row>
    <row r="795">
      <c r="E795" s="75"/>
      <c r="F795" s="75"/>
      <c r="L795" s="74"/>
    </row>
    <row r="796">
      <c r="E796" s="75"/>
      <c r="F796" s="75"/>
      <c r="L796" s="74"/>
    </row>
    <row r="797">
      <c r="E797" s="75"/>
      <c r="F797" s="75"/>
      <c r="L797" s="74"/>
    </row>
    <row r="798">
      <c r="E798" s="75"/>
      <c r="F798" s="75"/>
      <c r="L798" s="74"/>
    </row>
    <row r="799">
      <c r="E799" s="75"/>
      <c r="F799" s="75"/>
      <c r="L799" s="74"/>
    </row>
    <row r="800">
      <c r="E800" s="75"/>
      <c r="F800" s="75"/>
      <c r="L800" s="74"/>
    </row>
    <row r="801">
      <c r="E801" s="75"/>
      <c r="F801" s="75"/>
      <c r="L801" s="74"/>
    </row>
    <row r="802">
      <c r="E802" s="75"/>
      <c r="F802" s="75"/>
      <c r="L802" s="74"/>
    </row>
    <row r="803">
      <c r="E803" s="75"/>
      <c r="F803" s="75"/>
      <c r="L803" s="74"/>
    </row>
    <row r="804">
      <c r="E804" s="75"/>
      <c r="F804" s="75"/>
      <c r="L804" s="74"/>
    </row>
    <row r="805">
      <c r="E805" s="75"/>
      <c r="F805" s="75"/>
      <c r="L805" s="74"/>
    </row>
    <row r="806">
      <c r="E806" s="75"/>
      <c r="F806" s="75"/>
      <c r="L806" s="74"/>
    </row>
    <row r="807">
      <c r="E807" s="75"/>
      <c r="F807" s="75"/>
      <c r="L807" s="74"/>
    </row>
    <row r="808">
      <c r="E808" s="75"/>
      <c r="F808" s="75"/>
      <c r="L808" s="74"/>
    </row>
    <row r="809">
      <c r="E809" s="75"/>
      <c r="F809" s="75"/>
      <c r="L809" s="74"/>
    </row>
    <row r="810">
      <c r="E810" s="75"/>
      <c r="F810" s="75"/>
      <c r="L810" s="74"/>
    </row>
    <row r="811">
      <c r="E811" s="75"/>
      <c r="F811" s="75"/>
      <c r="L811" s="74"/>
    </row>
    <row r="812">
      <c r="E812" s="75"/>
      <c r="F812" s="75"/>
      <c r="L812" s="74"/>
    </row>
    <row r="813">
      <c r="E813" s="75"/>
      <c r="F813" s="75"/>
      <c r="L813" s="74"/>
    </row>
    <row r="814">
      <c r="E814" s="75"/>
      <c r="F814" s="75"/>
      <c r="L814" s="74"/>
    </row>
    <row r="815">
      <c r="E815" s="75"/>
      <c r="F815" s="75"/>
      <c r="L815" s="74"/>
    </row>
    <row r="816">
      <c r="E816" s="75"/>
      <c r="F816" s="75"/>
      <c r="L816" s="74"/>
    </row>
    <row r="817">
      <c r="E817" s="75"/>
      <c r="F817" s="75"/>
      <c r="L817" s="74"/>
    </row>
    <row r="818">
      <c r="E818" s="75"/>
      <c r="F818" s="75"/>
      <c r="L818" s="74"/>
    </row>
    <row r="819">
      <c r="E819" s="75"/>
      <c r="F819" s="75"/>
      <c r="L819" s="74"/>
    </row>
    <row r="820">
      <c r="E820" s="75"/>
      <c r="F820" s="75"/>
      <c r="L820" s="74"/>
    </row>
    <row r="821">
      <c r="E821" s="75"/>
      <c r="F821" s="75"/>
      <c r="L821" s="74"/>
    </row>
    <row r="822">
      <c r="E822" s="75"/>
      <c r="F822" s="75"/>
      <c r="L822" s="74"/>
    </row>
    <row r="823">
      <c r="E823" s="75"/>
      <c r="F823" s="75"/>
      <c r="L823" s="74"/>
    </row>
    <row r="824">
      <c r="E824" s="75"/>
      <c r="F824" s="75"/>
      <c r="L824" s="74"/>
    </row>
    <row r="825">
      <c r="E825" s="75"/>
      <c r="F825" s="75"/>
      <c r="L825" s="74"/>
    </row>
    <row r="826">
      <c r="E826" s="75"/>
      <c r="F826" s="75"/>
      <c r="L826" s="74"/>
    </row>
    <row r="827">
      <c r="E827" s="75"/>
      <c r="F827" s="75"/>
      <c r="L827" s="74"/>
    </row>
    <row r="828">
      <c r="E828" s="75"/>
      <c r="F828" s="75"/>
      <c r="L828" s="74"/>
    </row>
    <row r="829">
      <c r="E829" s="75"/>
      <c r="F829" s="75"/>
      <c r="L829" s="74"/>
    </row>
    <row r="830">
      <c r="E830" s="75"/>
      <c r="F830" s="75"/>
      <c r="L830" s="74"/>
    </row>
    <row r="831">
      <c r="E831" s="75"/>
      <c r="F831" s="75"/>
      <c r="L831" s="74"/>
    </row>
    <row r="832">
      <c r="E832" s="75"/>
      <c r="F832" s="75"/>
      <c r="L832" s="74"/>
    </row>
    <row r="833">
      <c r="E833" s="75"/>
      <c r="F833" s="75"/>
      <c r="L833" s="74"/>
    </row>
    <row r="834">
      <c r="E834" s="75"/>
      <c r="F834" s="75"/>
      <c r="L834" s="74"/>
    </row>
    <row r="835">
      <c r="E835" s="75"/>
      <c r="F835" s="75"/>
      <c r="L835" s="74"/>
    </row>
    <row r="836">
      <c r="E836" s="75"/>
      <c r="F836" s="75"/>
      <c r="L836" s="74"/>
    </row>
    <row r="837">
      <c r="E837" s="75"/>
      <c r="F837" s="75"/>
      <c r="L837" s="74"/>
    </row>
    <row r="838">
      <c r="E838" s="75"/>
      <c r="F838" s="75"/>
      <c r="L838" s="74"/>
    </row>
    <row r="839">
      <c r="E839" s="75"/>
      <c r="F839" s="75"/>
      <c r="L839" s="74"/>
    </row>
    <row r="840">
      <c r="E840" s="75"/>
      <c r="F840" s="75"/>
      <c r="L840" s="74"/>
    </row>
    <row r="841">
      <c r="E841" s="75"/>
      <c r="F841" s="75"/>
      <c r="L841" s="74"/>
    </row>
    <row r="842">
      <c r="E842" s="75"/>
      <c r="F842" s="75"/>
      <c r="L842" s="74"/>
    </row>
    <row r="843">
      <c r="E843" s="75"/>
      <c r="F843" s="75"/>
      <c r="L843" s="74"/>
    </row>
    <row r="844">
      <c r="E844" s="75"/>
      <c r="F844" s="75"/>
      <c r="L844" s="74"/>
    </row>
    <row r="845">
      <c r="E845" s="75"/>
      <c r="F845" s="75"/>
      <c r="L845" s="74"/>
    </row>
    <row r="846">
      <c r="E846" s="75"/>
      <c r="F846" s="75"/>
      <c r="L846" s="74"/>
    </row>
    <row r="847">
      <c r="E847" s="75"/>
      <c r="F847" s="75"/>
      <c r="L847" s="74"/>
    </row>
    <row r="848">
      <c r="E848" s="75"/>
      <c r="F848" s="75"/>
      <c r="L848" s="74"/>
    </row>
    <row r="849">
      <c r="E849" s="75"/>
      <c r="F849" s="75"/>
      <c r="L849" s="74"/>
    </row>
    <row r="850">
      <c r="E850" s="75"/>
      <c r="F850" s="75"/>
      <c r="L850" s="74"/>
    </row>
    <row r="851">
      <c r="E851" s="75"/>
      <c r="F851" s="75"/>
      <c r="L851" s="74"/>
    </row>
    <row r="852">
      <c r="E852" s="75"/>
      <c r="F852" s="75"/>
      <c r="L852" s="74"/>
    </row>
    <row r="853">
      <c r="E853" s="75"/>
      <c r="F853" s="75"/>
      <c r="L853" s="74"/>
    </row>
    <row r="854">
      <c r="E854" s="75"/>
      <c r="F854" s="75"/>
      <c r="L854" s="74"/>
    </row>
    <row r="855">
      <c r="E855" s="75"/>
      <c r="F855" s="75"/>
      <c r="L855" s="74"/>
    </row>
    <row r="856">
      <c r="E856" s="75"/>
      <c r="F856" s="75"/>
      <c r="L856" s="74"/>
    </row>
    <row r="857">
      <c r="E857" s="75"/>
      <c r="F857" s="75"/>
      <c r="L857" s="74"/>
    </row>
    <row r="858">
      <c r="E858" s="75"/>
      <c r="F858" s="75"/>
      <c r="L858" s="74"/>
    </row>
    <row r="859">
      <c r="E859" s="75"/>
      <c r="F859" s="75"/>
      <c r="L859" s="74"/>
    </row>
    <row r="860">
      <c r="E860" s="75"/>
      <c r="F860" s="75"/>
      <c r="L860" s="74"/>
    </row>
    <row r="861">
      <c r="E861" s="75"/>
      <c r="F861" s="75"/>
      <c r="L861" s="74"/>
    </row>
    <row r="862">
      <c r="E862" s="75"/>
      <c r="F862" s="75"/>
      <c r="L862" s="74"/>
    </row>
    <row r="863">
      <c r="E863" s="75"/>
      <c r="F863" s="75"/>
      <c r="L863" s="74"/>
    </row>
    <row r="864">
      <c r="E864" s="75"/>
      <c r="F864" s="75"/>
      <c r="L864" s="74"/>
    </row>
    <row r="865">
      <c r="E865" s="75"/>
      <c r="F865" s="75"/>
      <c r="L865" s="74"/>
    </row>
    <row r="866">
      <c r="E866" s="75"/>
      <c r="F866" s="75"/>
      <c r="L866" s="74"/>
    </row>
    <row r="867">
      <c r="E867" s="75"/>
      <c r="F867" s="75"/>
      <c r="L867" s="74"/>
    </row>
    <row r="868">
      <c r="E868" s="75"/>
      <c r="F868" s="75"/>
      <c r="L868" s="74"/>
    </row>
    <row r="869">
      <c r="E869" s="75"/>
      <c r="F869" s="75"/>
      <c r="L869" s="74"/>
    </row>
    <row r="870">
      <c r="E870" s="75"/>
      <c r="F870" s="75"/>
      <c r="L870" s="74"/>
    </row>
    <row r="871">
      <c r="E871" s="75"/>
      <c r="F871" s="75"/>
      <c r="L871" s="74"/>
    </row>
    <row r="872">
      <c r="E872" s="75"/>
      <c r="F872" s="75"/>
      <c r="L872" s="74"/>
    </row>
    <row r="873">
      <c r="E873" s="75"/>
      <c r="F873" s="75"/>
      <c r="L873" s="74"/>
    </row>
    <row r="874">
      <c r="E874" s="75"/>
      <c r="F874" s="75"/>
      <c r="L874" s="74"/>
    </row>
    <row r="875">
      <c r="E875" s="75"/>
      <c r="F875" s="75"/>
      <c r="L875" s="74"/>
    </row>
    <row r="876">
      <c r="E876" s="75"/>
      <c r="F876" s="75"/>
      <c r="L876" s="74"/>
    </row>
    <row r="877">
      <c r="E877" s="75"/>
      <c r="F877" s="75"/>
      <c r="L877" s="74"/>
    </row>
    <row r="878">
      <c r="E878" s="75"/>
      <c r="F878" s="75"/>
      <c r="L878" s="74"/>
    </row>
    <row r="879">
      <c r="E879" s="75"/>
      <c r="F879" s="75"/>
      <c r="L879" s="74"/>
    </row>
    <row r="880">
      <c r="E880" s="75"/>
      <c r="F880" s="75"/>
      <c r="L880" s="74"/>
    </row>
    <row r="881">
      <c r="E881" s="75"/>
      <c r="F881" s="75"/>
      <c r="L881" s="74"/>
    </row>
    <row r="882">
      <c r="E882" s="75"/>
      <c r="F882" s="75"/>
      <c r="L882" s="74"/>
    </row>
    <row r="883">
      <c r="E883" s="75"/>
      <c r="F883" s="75"/>
      <c r="L883" s="74"/>
    </row>
    <row r="884">
      <c r="E884" s="75"/>
      <c r="F884" s="75"/>
      <c r="L884" s="74"/>
    </row>
    <row r="885">
      <c r="E885" s="75"/>
      <c r="F885" s="75"/>
      <c r="L885" s="74"/>
    </row>
    <row r="886">
      <c r="E886" s="75"/>
      <c r="F886" s="75"/>
      <c r="L886" s="74"/>
    </row>
    <row r="887">
      <c r="E887" s="75"/>
      <c r="F887" s="75"/>
      <c r="L887" s="74"/>
    </row>
    <row r="888">
      <c r="E888" s="75"/>
      <c r="F888" s="75"/>
      <c r="L888" s="74"/>
    </row>
    <row r="889">
      <c r="E889" s="75"/>
      <c r="F889" s="75"/>
      <c r="L889" s="74"/>
    </row>
    <row r="890">
      <c r="E890" s="75"/>
      <c r="F890" s="75"/>
      <c r="L890" s="74"/>
    </row>
    <row r="891">
      <c r="E891" s="75"/>
      <c r="F891" s="75"/>
      <c r="L891" s="74"/>
    </row>
    <row r="892">
      <c r="E892" s="75"/>
      <c r="F892" s="75"/>
      <c r="L892" s="74"/>
    </row>
    <row r="893">
      <c r="E893" s="75"/>
      <c r="F893" s="75"/>
      <c r="L893" s="74"/>
    </row>
    <row r="894">
      <c r="E894" s="75"/>
      <c r="F894" s="75"/>
      <c r="L894" s="74"/>
    </row>
    <row r="895">
      <c r="E895" s="75"/>
      <c r="F895" s="75"/>
      <c r="L895" s="74"/>
    </row>
    <row r="896">
      <c r="E896" s="75"/>
      <c r="F896" s="75"/>
      <c r="L896" s="74"/>
    </row>
    <row r="897">
      <c r="E897" s="75"/>
      <c r="F897" s="75"/>
      <c r="L897" s="74"/>
    </row>
    <row r="898">
      <c r="E898" s="75"/>
      <c r="F898" s="75"/>
      <c r="L898" s="74"/>
    </row>
    <row r="899">
      <c r="E899" s="75"/>
      <c r="F899" s="75"/>
      <c r="L899" s="74"/>
    </row>
    <row r="900">
      <c r="E900" s="75"/>
      <c r="F900" s="75"/>
      <c r="L900" s="74"/>
    </row>
    <row r="901">
      <c r="E901" s="75"/>
      <c r="F901" s="75"/>
      <c r="L901" s="74"/>
    </row>
    <row r="902">
      <c r="E902" s="75"/>
      <c r="F902" s="75"/>
      <c r="L902" s="74"/>
    </row>
    <row r="903">
      <c r="E903" s="75"/>
      <c r="F903" s="75"/>
      <c r="L903" s="74"/>
    </row>
    <row r="904">
      <c r="E904" s="75"/>
      <c r="F904" s="75"/>
      <c r="L904" s="74"/>
    </row>
    <row r="905">
      <c r="E905" s="75"/>
      <c r="F905" s="75"/>
      <c r="L905" s="74"/>
    </row>
    <row r="906">
      <c r="E906" s="75"/>
      <c r="F906" s="75"/>
      <c r="L906" s="74"/>
    </row>
    <row r="907">
      <c r="E907" s="75"/>
      <c r="F907" s="75"/>
      <c r="L907" s="74"/>
    </row>
    <row r="908">
      <c r="E908" s="75"/>
      <c r="F908" s="75"/>
      <c r="L908" s="74"/>
    </row>
    <row r="909">
      <c r="E909" s="75"/>
      <c r="F909" s="75"/>
      <c r="L909" s="74"/>
    </row>
    <row r="910">
      <c r="E910" s="75"/>
      <c r="F910" s="75"/>
      <c r="L910" s="74"/>
    </row>
    <row r="911">
      <c r="E911" s="75"/>
      <c r="F911" s="75"/>
      <c r="L911" s="74"/>
    </row>
    <row r="912">
      <c r="E912" s="75"/>
      <c r="F912" s="75"/>
      <c r="L912" s="74"/>
    </row>
    <row r="913">
      <c r="E913" s="75"/>
      <c r="F913" s="75"/>
      <c r="L913" s="74"/>
    </row>
    <row r="914">
      <c r="E914" s="75"/>
      <c r="F914" s="75"/>
      <c r="L914" s="74"/>
    </row>
    <row r="915">
      <c r="E915" s="75"/>
      <c r="F915" s="75"/>
      <c r="L915" s="74"/>
    </row>
    <row r="916">
      <c r="E916" s="75"/>
      <c r="F916" s="75"/>
      <c r="L916" s="74"/>
    </row>
    <row r="917">
      <c r="E917" s="75"/>
      <c r="F917" s="75"/>
      <c r="L917" s="74"/>
    </row>
    <row r="918">
      <c r="E918" s="75"/>
      <c r="F918" s="75"/>
      <c r="L918" s="74"/>
    </row>
    <row r="919">
      <c r="E919" s="75"/>
      <c r="F919" s="75"/>
      <c r="L919" s="74"/>
    </row>
    <row r="920">
      <c r="E920" s="75"/>
      <c r="F920" s="75"/>
      <c r="L920" s="74"/>
    </row>
    <row r="921">
      <c r="E921" s="75"/>
      <c r="F921" s="75"/>
      <c r="L921" s="74"/>
    </row>
    <row r="922">
      <c r="E922" s="75"/>
      <c r="F922" s="75"/>
      <c r="L922" s="74"/>
    </row>
    <row r="923">
      <c r="E923" s="75"/>
      <c r="F923" s="75"/>
      <c r="L923" s="74"/>
    </row>
    <row r="924">
      <c r="E924" s="75"/>
      <c r="F924" s="75"/>
      <c r="L924" s="74"/>
    </row>
    <row r="925">
      <c r="E925" s="75"/>
      <c r="F925" s="75"/>
      <c r="L925" s="74"/>
    </row>
    <row r="926">
      <c r="E926" s="75"/>
      <c r="F926" s="75"/>
      <c r="L926" s="74"/>
    </row>
    <row r="927">
      <c r="E927" s="75"/>
      <c r="F927" s="75"/>
      <c r="L927" s="74"/>
    </row>
    <row r="928">
      <c r="E928" s="75"/>
      <c r="F928" s="75"/>
      <c r="L928" s="74"/>
    </row>
    <row r="929">
      <c r="E929" s="75"/>
      <c r="F929" s="75"/>
      <c r="L929" s="74"/>
    </row>
    <row r="930">
      <c r="E930" s="75"/>
      <c r="F930" s="75"/>
      <c r="L930" s="74"/>
    </row>
    <row r="931">
      <c r="E931" s="75"/>
      <c r="F931" s="75"/>
      <c r="L931" s="74"/>
    </row>
    <row r="932">
      <c r="E932" s="75"/>
      <c r="F932" s="75"/>
      <c r="L932" s="74"/>
    </row>
    <row r="933">
      <c r="E933" s="75"/>
      <c r="F933" s="75"/>
      <c r="L933" s="74"/>
    </row>
    <row r="934">
      <c r="E934" s="75"/>
      <c r="F934" s="75"/>
      <c r="L934" s="74"/>
    </row>
    <row r="935">
      <c r="E935" s="75"/>
      <c r="F935" s="75"/>
      <c r="L935" s="74"/>
    </row>
    <row r="936">
      <c r="E936" s="75"/>
      <c r="F936" s="75"/>
      <c r="L936" s="74"/>
    </row>
    <row r="937">
      <c r="E937" s="75"/>
      <c r="F937" s="75"/>
      <c r="L937" s="74"/>
    </row>
    <row r="938">
      <c r="E938" s="75"/>
      <c r="F938" s="75"/>
      <c r="L938" s="74"/>
    </row>
    <row r="939">
      <c r="E939" s="75"/>
      <c r="F939" s="75"/>
      <c r="L939" s="74"/>
    </row>
    <row r="940">
      <c r="E940" s="75"/>
      <c r="F940" s="75"/>
      <c r="L940" s="74"/>
    </row>
    <row r="941">
      <c r="E941" s="75"/>
      <c r="F941" s="75"/>
      <c r="L941" s="74"/>
    </row>
    <row r="942">
      <c r="E942" s="75"/>
      <c r="F942" s="75"/>
      <c r="L942" s="74"/>
    </row>
    <row r="943">
      <c r="E943" s="75"/>
      <c r="F943" s="75"/>
      <c r="L943" s="74"/>
    </row>
    <row r="944">
      <c r="E944" s="75"/>
      <c r="F944" s="75"/>
      <c r="L944" s="74"/>
    </row>
    <row r="945">
      <c r="E945" s="75"/>
      <c r="F945" s="75"/>
      <c r="L945" s="74"/>
    </row>
    <row r="946">
      <c r="E946" s="75"/>
      <c r="F946" s="75"/>
      <c r="L946" s="74"/>
    </row>
    <row r="947">
      <c r="E947" s="75"/>
      <c r="F947" s="75"/>
      <c r="L947" s="74"/>
    </row>
    <row r="948">
      <c r="E948" s="75"/>
      <c r="F948" s="75"/>
      <c r="L948" s="74"/>
    </row>
    <row r="949">
      <c r="E949" s="75"/>
      <c r="F949" s="75"/>
      <c r="L949" s="74"/>
    </row>
    <row r="950">
      <c r="E950" s="75"/>
      <c r="F950" s="75"/>
      <c r="L950" s="74"/>
    </row>
    <row r="951">
      <c r="E951" s="75"/>
      <c r="F951" s="75"/>
      <c r="L951" s="74"/>
    </row>
    <row r="952">
      <c r="E952" s="75"/>
      <c r="F952" s="75"/>
      <c r="L952" s="74"/>
    </row>
    <row r="953">
      <c r="E953" s="75"/>
      <c r="F953" s="75"/>
      <c r="L953" s="74"/>
    </row>
    <row r="954">
      <c r="E954" s="75"/>
      <c r="F954" s="75"/>
      <c r="L954" s="74"/>
    </row>
    <row r="955">
      <c r="E955" s="75"/>
      <c r="F955" s="75"/>
      <c r="L955" s="74"/>
    </row>
    <row r="956">
      <c r="E956" s="75"/>
      <c r="F956" s="75"/>
      <c r="L956" s="74"/>
    </row>
    <row r="957">
      <c r="E957" s="75"/>
      <c r="F957" s="75"/>
      <c r="L957" s="74"/>
    </row>
    <row r="958">
      <c r="E958" s="75"/>
      <c r="F958" s="75"/>
      <c r="L958" s="74"/>
    </row>
    <row r="959">
      <c r="E959" s="75"/>
      <c r="F959" s="75"/>
      <c r="L959" s="74"/>
    </row>
    <row r="960">
      <c r="E960" s="75"/>
      <c r="F960" s="75"/>
      <c r="L960" s="74"/>
    </row>
    <row r="961">
      <c r="E961" s="75"/>
      <c r="F961" s="75"/>
      <c r="L961" s="74"/>
    </row>
    <row r="962">
      <c r="E962" s="75"/>
      <c r="F962" s="75"/>
      <c r="L962" s="74"/>
    </row>
    <row r="963">
      <c r="E963" s="75"/>
      <c r="F963" s="75"/>
      <c r="L963" s="74"/>
    </row>
    <row r="964">
      <c r="E964" s="75"/>
      <c r="F964" s="75"/>
      <c r="L964" s="74"/>
    </row>
    <row r="965">
      <c r="E965" s="75"/>
      <c r="F965" s="75"/>
      <c r="L965" s="74"/>
    </row>
    <row r="966">
      <c r="E966" s="75"/>
      <c r="F966" s="75"/>
      <c r="L966" s="74"/>
    </row>
    <row r="967">
      <c r="E967" s="75"/>
      <c r="F967" s="75"/>
      <c r="L967" s="74"/>
    </row>
    <row r="968">
      <c r="E968" s="75"/>
      <c r="F968" s="75"/>
      <c r="L968" s="74"/>
    </row>
    <row r="969">
      <c r="E969" s="75"/>
      <c r="F969" s="75"/>
      <c r="L969" s="74"/>
    </row>
    <row r="970">
      <c r="E970" s="75"/>
      <c r="F970" s="75"/>
      <c r="L970" s="74"/>
    </row>
    <row r="971">
      <c r="E971" s="75"/>
      <c r="F971" s="75"/>
      <c r="L971" s="74"/>
    </row>
    <row r="972">
      <c r="E972" s="75"/>
      <c r="F972" s="75"/>
      <c r="L972" s="74"/>
    </row>
    <row r="973">
      <c r="E973" s="75"/>
      <c r="F973" s="75"/>
      <c r="L973" s="74"/>
    </row>
    <row r="974">
      <c r="E974" s="75"/>
      <c r="F974" s="75"/>
      <c r="L974" s="74"/>
    </row>
    <row r="975">
      <c r="E975" s="75"/>
      <c r="F975" s="75"/>
      <c r="L975" s="74"/>
    </row>
    <row r="976">
      <c r="E976" s="75"/>
      <c r="F976" s="75"/>
      <c r="L976" s="74"/>
    </row>
    <row r="977">
      <c r="E977" s="75"/>
      <c r="F977" s="75"/>
      <c r="L977" s="74"/>
    </row>
    <row r="978">
      <c r="E978" s="75"/>
      <c r="F978" s="75"/>
      <c r="L978" s="74"/>
    </row>
    <row r="979">
      <c r="E979" s="75"/>
      <c r="F979" s="75"/>
      <c r="L979" s="74"/>
    </row>
    <row r="980">
      <c r="E980" s="75"/>
      <c r="F980" s="75"/>
      <c r="L980" s="74"/>
    </row>
    <row r="981">
      <c r="E981" s="75"/>
      <c r="F981" s="75"/>
      <c r="L981" s="74"/>
    </row>
    <row r="982">
      <c r="E982" s="75"/>
      <c r="F982" s="75"/>
      <c r="L982" s="74"/>
    </row>
    <row r="983">
      <c r="E983" s="75"/>
      <c r="F983" s="75"/>
      <c r="L983" s="74"/>
    </row>
    <row r="984">
      <c r="E984" s="75"/>
      <c r="F984" s="75"/>
      <c r="L984" s="74"/>
    </row>
    <row r="985">
      <c r="E985" s="75"/>
      <c r="F985" s="75"/>
      <c r="L985" s="74"/>
    </row>
    <row r="986">
      <c r="E986" s="75"/>
      <c r="F986" s="75"/>
      <c r="L986" s="74"/>
    </row>
    <row r="987">
      <c r="E987" s="75"/>
      <c r="F987" s="75"/>
      <c r="L987" s="74"/>
    </row>
    <row r="988">
      <c r="E988" s="75"/>
      <c r="F988" s="75"/>
      <c r="L988" s="74"/>
    </row>
    <row r="989">
      <c r="E989" s="75"/>
      <c r="F989" s="75"/>
      <c r="L989" s="74"/>
    </row>
    <row r="990">
      <c r="E990" s="75"/>
      <c r="F990" s="75"/>
      <c r="L990" s="74"/>
    </row>
    <row r="991">
      <c r="E991" s="75"/>
      <c r="F991" s="75"/>
      <c r="L991" s="74"/>
    </row>
    <row r="992">
      <c r="E992" s="75"/>
      <c r="F992" s="75"/>
      <c r="L992" s="74"/>
    </row>
    <row r="993">
      <c r="E993" s="75"/>
      <c r="F993" s="75"/>
      <c r="L993" s="74"/>
    </row>
    <row r="994">
      <c r="E994" s="75"/>
      <c r="F994" s="75"/>
      <c r="L994" s="74"/>
    </row>
    <row r="995">
      <c r="E995" s="75"/>
      <c r="F995" s="75"/>
      <c r="L995" s="74"/>
    </row>
    <row r="996">
      <c r="E996" s="75"/>
      <c r="F996" s="75"/>
      <c r="L996" s="74"/>
    </row>
    <row r="997">
      <c r="E997" s="75"/>
      <c r="F997" s="75"/>
      <c r="L997" s="74"/>
    </row>
    <row r="998">
      <c r="E998" s="75"/>
      <c r="F998" s="75"/>
      <c r="L998" s="74"/>
    </row>
    <row r="999">
      <c r="E999" s="75"/>
      <c r="F999" s="75"/>
      <c r="L999" s="74"/>
    </row>
    <row r="1000">
      <c r="E1000" s="75"/>
      <c r="F1000" s="75"/>
      <c r="L1000" s="74"/>
    </row>
  </sheetData>
  <drawing r:id="rId1"/>
</worksheet>
</file>